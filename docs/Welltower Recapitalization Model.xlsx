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https://aspecthealthre-my.sharepoint.com/personal/chasesmith_aspecthealthre_com/Documents/Desktop/Aspect Health/Welltower Portfolio Model/"/>
    </mc:Choice>
  </mc:AlternateContent>
  <xr:revisionPtr revIDLastSave="408" documentId="13_ncr:1_{99D93487-7550-4574-860B-96DC4FAB7746}" xr6:coauthVersionLast="47" xr6:coauthVersionMax="47" xr10:uidLastSave="{9735066C-B9E6-4571-B1F5-470BAF1A2B79}"/>
  <bookViews>
    <workbookView xWindow="-110" yWindow="-110" windowWidth="19420" windowHeight="10420" tabRatio="950" xr2:uid="{EF3C5371-5854-4203-9E16-B52A23C6C420}"/>
  </bookViews>
  <sheets>
    <sheet name="Summary" sheetId="4" r:id="rId1"/>
    <sheet name="Portfolio-Level CF" sheetId="2" r:id="rId2"/>
    <sheet name="Property-Level CF" sheetId="13" r:id="rId3"/>
    <sheet name="JV Waterfall" sheetId="8" r:id="rId4"/>
    <sheet name="Rent Roll" sheetId="11" r:id="rId5"/>
    <sheet name="Cash Flow Dump" sheetId="18" r:id="rId6"/>
    <sheet name="Occupancy Report" sheetId="21" r:id="rId7"/>
    <sheet name="Narrative" sheetId="1" r:id="rId8"/>
  </sheets>
  <externalReferences>
    <externalReference r:id="rId9"/>
  </externalReferences>
  <definedNames>
    <definedName name="_Order1" hidden="1">0</definedName>
    <definedName name="Aspect_Equity_Interest">Summary!$C$22</definedName>
    <definedName name="Asset_Management_Fee">Summary!$C$10</definedName>
    <definedName name="Capital_Reserves__RSF">Summary!$C$11</definedName>
    <definedName name="Cost_of_Sale__Transfer_Tax___Broker_Fee">'Portfolio-Level CF'!$AC$52</definedName>
    <definedName name="Equity_Share_GP" localSheetId="3">'JV Waterfall'!$C$8</definedName>
    <definedName name="Equity_Share_LP" localSheetId="3">'JV Waterfall'!$C$9</definedName>
    <definedName name="Interest_Rate">Summary!$C$16</definedName>
    <definedName name="IntroPrintArea" localSheetId="3" hidden="1">#REF!</definedName>
    <definedName name="IntroPrintArea" hidden="1">#REF!</definedName>
    <definedName name="LTC">Summary!$C$15</definedName>
    <definedName name="Preferred_Return" localSheetId="3">'JV Waterfall'!$E$14</definedName>
    <definedName name="Total_Equity" localSheetId="3">'JV Waterfall'!$D$10</definedName>
    <definedName name="Welltower_Equity_Interest">Summary!$C$23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 i="11" l="1"/>
  <c r="G4" i="2"/>
  <c r="K11" i="11"/>
  <c r="K10" i="11"/>
  <c r="K9" i="11"/>
  <c r="J11" i="4"/>
  <c r="F14" i="4"/>
  <c r="M23" i="2"/>
  <c r="F11" i="2"/>
  <c r="F12" i="2"/>
  <c r="F14" i="11" l="1"/>
  <c r="F13" i="11"/>
  <c r="F12" i="11"/>
  <c r="F11" i="11"/>
  <c r="F9" i="11"/>
  <c r="F8" i="11"/>
  <c r="F7" i="11"/>
  <c r="F28" i="11"/>
  <c r="F27" i="11"/>
  <c r="F26" i="11"/>
  <c r="F25" i="11"/>
  <c r="F24" i="11"/>
  <c r="F40" i="11"/>
  <c r="F39" i="11"/>
  <c r="F38" i="11"/>
  <c r="F37" i="11"/>
  <c r="F53" i="11"/>
  <c r="F52" i="11"/>
  <c r="F51" i="11"/>
  <c r="F50" i="11"/>
  <c r="F49" i="11"/>
  <c r="F62" i="11"/>
  <c r="F72" i="11"/>
  <c r="F73" i="11"/>
  <c r="F71" i="11"/>
  <c r="AC52" i="2"/>
  <c r="C16" i="4"/>
  <c r="H4" i="2" l="1"/>
  <c r="DW3" i="13"/>
  <c r="EJ5" i="13"/>
  <c r="EJ6" i="13" s="1"/>
  <c r="EJ7" i="13" s="1"/>
  <c r="EJ8" i="13" s="1"/>
  <c r="EJ9" i="13" s="1"/>
  <c r="EJ10" i="13" s="1"/>
  <c r="EJ11" i="13" s="1"/>
  <c r="EJ12" i="13" s="1"/>
  <c r="EJ13" i="13" s="1"/>
  <c r="EJ14" i="13" s="1"/>
  <c r="EJ15" i="13" s="1"/>
  <c r="DY7" i="13"/>
  <c r="DZ7" i="13"/>
  <c r="EA7" i="13"/>
  <c r="EB7" i="13"/>
  <c r="EC7" i="13"/>
  <c r="ED7" i="13"/>
  <c r="EE7" i="13"/>
  <c r="EF7" i="13"/>
  <c r="EG7" i="13"/>
  <c r="EH7" i="13"/>
  <c r="DY9" i="13"/>
  <c r="DZ9" i="13"/>
  <c r="AD45" i="2" s="1"/>
  <c r="EA9" i="13"/>
  <c r="EB9" i="13"/>
  <c r="AF45" i="2" s="1"/>
  <c r="EC9" i="13"/>
  <c r="ED9" i="13"/>
  <c r="AH45" i="2" s="1"/>
  <c r="EE9" i="13"/>
  <c r="AI45" i="2" s="1"/>
  <c r="EF9" i="13"/>
  <c r="EG9" i="13"/>
  <c r="AK45" i="2" s="1"/>
  <c r="EH9" i="13"/>
  <c r="DY10" i="13"/>
  <c r="EK36" i="13" s="1"/>
  <c r="DZ10" i="13"/>
  <c r="EL36" i="13" s="1"/>
  <c r="EA10" i="13"/>
  <c r="EM35" i="13" s="1"/>
  <c r="EB10" i="13"/>
  <c r="EN36" i="13" s="1"/>
  <c r="EC10" i="13"/>
  <c r="EO37" i="13" s="1"/>
  <c r="ED10" i="13"/>
  <c r="EP35" i="13" s="1"/>
  <c r="EE10" i="13"/>
  <c r="EQ34" i="13" s="1"/>
  <c r="EF10" i="13"/>
  <c r="ER33" i="13" s="1"/>
  <c r="EG10" i="13"/>
  <c r="ES34" i="13" s="1"/>
  <c r="EH10" i="13"/>
  <c r="DY11" i="13"/>
  <c r="DZ11" i="13"/>
  <c r="EA11" i="13"/>
  <c r="EB11" i="13"/>
  <c r="EC11" i="13"/>
  <c r="ED11" i="13"/>
  <c r="EE11" i="13"/>
  <c r="EF11" i="13"/>
  <c r="EG11" i="13"/>
  <c r="EH11" i="13"/>
  <c r="DY12" i="13"/>
  <c r="DZ12" i="13"/>
  <c r="EA12" i="13"/>
  <c r="EB12" i="13"/>
  <c r="EC12" i="13"/>
  <c r="ED12" i="13"/>
  <c r="EE12" i="13"/>
  <c r="EF12" i="13"/>
  <c r="EG12" i="13"/>
  <c r="EH12" i="13"/>
  <c r="EJ19" i="13"/>
  <c r="EJ20" i="13" s="1"/>
  <c r="EJ21" i="13" s="1"/>
  <c r="EJ22" i="13" s="1"/>
  <c r="EJ23" i="13" s="1"/>
  <c r="EJ24" i="13" s="1"/>
  <c r="EJ25" i="13" s="1"/>
  <c r="EJ26" i="13" s="1"/>
  <c r="EJ27" i="13" s="1"/>
  <c r="EJ28" i="13" s="1"/>
  <c r="EJ29" i="13" s="1"/>
  <c r="EQ33" i="13"/>
  <c r="ET33" i="13"/>
  <c r="EK34" i="13"/>
  <c r="EM36" i="13"/>
  <c r="EL37" i="13"/>
  <c r="EJ41" i="13"/>
  <c r="EJ49" i="13" s="1"/>
  <c r="EJ42" i="13"/>
  <c r="EJ43" i="13"/>
  <c r="EJ51" i="13" s="1"/>
  <c r="EJ44" i="13"/>
  <c r="EJ45" i="13"/>
  <c r="EJ50" i="13"/>
  <c r="EJ52" i="13"/>
  <c r="EJ53" i="13"/>
  <c r="EJ57" i="13"/>
  <c r="EJ58" i="13"/>
  <c r="EJ59" i="13"/>
  <c r="EJ60" i="13"/>
  <c r="EJ61" i="13"/>
  <c r="EJ65" i="13"/>
  <c r="EJ66" i="13"/>
  <c r="EJ67" i="13"/>
  <c r="EJ68" i="13"/>
  <c r="EJ69" i="13"/>
  <c r="CX3" i="13"/>
  <c r="DK5" i="13"/>
  <c r="DK6" i="13"/>
  <c r="DK7" i="13" s="1"/>
  <c r="DK8" i="13" s="1"/>
  <c r="DK9" i="13" s="1"/>
  <c r="DK10" i="13" s="1"/>
  <c r="DK11" i="13" s="1"/>
  <c r="DK12" i="13" s="1"/>
  <c r="DK13" i="13" s="1"/>
  <c r="DK14" i="13" s="1"/>
  <c r="DK15" i="13" s="1"/>
  <c r="CZ7" i="13"/>
  <c r="DA7" i="13"/>
  <c r="DB7" i="13"/>
  <c r="DC7" i="13"/>
  <c r="DD7" i="13"/>
  <c r="DE7" i="13"/>
  <c r="DF7" i="13"/>
  <c r="DG7" i="13"/>
  <c r="DH7" i="13"/>
  <c r="DI7" i="13"/>
  <c r="CZ9" i="13"/>
  <c r="AC39" i="2" s="1"/>
  <c r="DA9" i="13"/>
  <c r="AD39" i="2" s="1"/>
  <c r="DB9" i="13"/>
  <c r="DC9" i="13"/>
  <c r="AF39" i="2" s="1"/>
  <c r="DD9" i="13"/>
  <c r="AG39" i="2" s="1"/>
  <c r="DE9" i="13"/>
  <c r="AH39" i="2" s="1"/>
  <c r="DF9" i="13"/>
  <c r="AI39" i="2" s="1"/>
  <c r="DG9" i="13"/>
  <c r="AJ39" i="2" s="1"/>
  <c r="DH9" i="13"/>
  <c r="AK39" i="2" s="1"/>
  <c r="DI9" i="13"/>
  <c r="AL39" i="2" s="1"/>
  <c r="CZ10" i="13"/>
  <c r="DL36" i="13" s="1"/>
  <c r="DA10" i="13"/>
  <c r="DM36" i="13" s="1"/>
  <c r="DB10" i="13"/>
  <c r="AE40" i="2" s="1"/>
  <c r="DC10" i="13"/>
  <c r="AF40" i="2" s="1"/>
  <c r="DD10" i="13"/>
  <c r="DP34" i="13" s="1"/>
  <c r="DE10" i="13"/>
  <c r="DQ33" i="13" s="1"/>
  <c r="DF10" i="13"/>
  <c r="DR34" i="13" s="1"/>
  <c r="DG10" i="13"/>
  <c r="DS37" i="13" s="1"/>
  <c r="DH10" i="13"/>
  <c r="DT33" i="13" s="1"/>
  <c r="DI10" i="13"/>
  <c r="DU35" i="13" s="1"/>
  <c r="CZ11" i="13"/>
  <c r="DA11" i="13"/>
  <c r="DB11" i="13"/>
  <c r="DC11" i="13"/>
  <c r="DD11" i="13"/>
  <c r="DE11" i="13"/>
  <c r="DF11" i="13"/>
  <c r="DG11" i="13"/>
  <c r="DH11" i="13"/>
  <c r="DI11" i="13"/>
  <c r="CZ12" i="13"/>
  <c r="DA12" i="13"/>
  <c r="DB12" i="13"/>
  <c r="DC12" i="13"/>
  <c r="DD12" i="13"/>
  <c r="DE12" i="13"/>
  <c r="DF12" i="13"/>
  <c r="DG12" i="13"/>
  <c r="DH12" i="13"/>
  <c r="DI12" i="13"/>
  <c r="DK19" i="13"/>
  <c r="DK20" i="13" s="1"/>
  <c r="DK21" i="13" s="1"/>
  <c r="DK22" i="13" s="1"/>
  <c r="DK23" i="13" s="1"/>
  <c r="DK24" i="13" s="1"/>
  <c r="DK25" i="13" s="1"/>
  <c r="DK26" i="13" s="1"/>
  <c r="DK27" i="13" s="1"/>
  <c r="DK28" i="13" s="1"/>
  <c r="DK29" i="13" s="1"/>
  <c r="DR33" i="13"/>
  <c r="DK41" i="13"/>
  <c r="DK49" i="13" s="1"/>
  <c r="DK42" i="13"/>
  <c r="DK43" i="13"/>
  <c r="DK51" i="13" s="1"/>
  <c r="DK44" i="13"/>
  <c r="DK52" i="13" s="1"/>
  <c r="DK45" i="13"/>
  <c r="DK53" i="13" s="1"/>
  <c r="DK50" i="13"/>
  <c r="DK57" i="13"/>
  <c r="DK58" i="13"/>
  <c r="DK59" i="13"/>
  <c r="DK60" i="13"/>
  <c r="DK61" i="13"/>
  <c r="DK65" i="13"/>
  <c r="DK66" i="13"/>
  <c r="DK67" i="13"/>
  <c r="DK68" i="13"/>
  <c r="DK69" i="13"/>
  <c r="BY3" i="13"/>
  <c r="BZ5" i="13"/>
  <c r="DX5" i="13" s="1"/>
  <c r="CA5" i="13"/>
  <c r="CM2" i="13" s="1"/>
  <c r="CM16" i="13" s="1"/>
  <c r="CB5" i="13"/>
  <c r="CN2" i="13" s="1"/>
  <c r="CN16" i="13" s="1"/>
  <c r="CC5" i="13"/>
  <c r="EA5" i="13" s="1"/>
  <c r="EM2" i="13" s="1"/>
  <c r="EM16" i="13" s="1"/>
  <c r="CD5" i="13"/>
  <c r="CP2" i="13" s="1"/>
  <c r="CP16" i="13" s="1"/>
  <c r="CE5" i="13"/>
  <c r="CQ2" i="13" s="1"/>
  <c r="CQ16" i="13" s="1"/>
  <c r="CF5" i="13"/>
  <c r="CR2" i="13" s="1"/>
  <c r="CR16" i="13" s="1"/>
  <c r="CG5" i="13"/>
  <c r="CS2" i="13" s="1"/>
  <c r="CS16" i="13" s="1"/>
  <c r="CH5" i="13"/>
  <c r="CT2" i="13" s="1"/>
  <c r="CT16" i="13" s="1"/>
  <c r="CI5" i="13"/>
  <c r="CU2" i="13" s="1"/>
  <c r="CU16" i="13" s="1"/>
  <c r="CJ5" i="13"/>
  <c r="CV2" i="13" s="1"/>
  <c r="CV16" i="13" s="1"/>
  <c r="CL5" i="13"/>
  <c r="BZ6" i="13"/>
  <c r="DX6" i="13" s="1"/>
  <c r="CA6" i="13"/>
  <c r="DY6" i="13" s="1"/>
  <c r="CB6" i="13"/>
  <c r="DZ6" i="13" s="1"/>
  <c r="CC6" i="13"/>
  <c r="EA6" i="13" s="1"/>
  <c r="CD6" i="13"/>
  <c r="EB6" i="13" s="1"/>
  <c r="CE6" i="13"/>
  <c r="EC6" i="13" s="1"/>
  <c r="CF6" i="13"/>
  <c r="ED6" i="13" s="1"/>
  <c r="CG6" i="13"/>
  <c r="EE6" i="13" s="1"/>
  <c r="CH6" i="13"/>
  <c r="EF6" i="13" s="1"/>
  <c r="CI6" i="13"/>
  <c r="EG6" i="13" s="1"/>
  <c r="CJ6" i="13"/>
  <c r="EH6" i="13" s="1"/>
  <c r="CL6" i="13"/>
  <c r="CL7" i="13" s="1"/>
  <c r="CL8" i="13" s="1"/>
  <c r="CL9" i="13" s="1"/>
  <c r="CL10" i="13" s="1"/>
  <c r="CL11" i="13" s="1"/>
  <c r="CL12" i="13" s="1"/>
  <c r="CL13" i="13" s="1"/>
  <c r="CL14" i="13" s="1"/>
  <c r="CL15" i="13" s="1"/>
  <c r="CA7" i="13"/>
  <c r="CB7" i="13"/>
  <c r="CC7" i="13"/>
  <c r="CD7" i="13"/>
  <c r="CE7" i="13"/>
  <c r="CF7" i="13"/>
  <c r="CG7" i="13"/>
  <c r="CH7" i="13"/>
  <c r="CI7" i="13"/>
  <c r="CJ7" i="13"/>
  <c r="CA9" i="13"/>
  <c r="AC33" i="2" s="1"/>
  <c r="CB9" i="13"/>
  <c r="AD33" i="2" s="1"/>
  <c r="CC9" i="13"/>
  <c r="AE33" i="2" s="1"/>
  <c r="CD9" i="13"/>
  <c r="AF33" i="2" s="1"/>
  <c r="CE9" i="13"/>
  <c r="CF9" i="13"/>
  <c r="AH33" i="2" s="1"/>
  <c r="CG9" i="13"/>
  <c r="AI33" i="2" s="1"/>
  <c r="CH9" i="13"/>
  <c r="CI9" i="13"/>
  <c r="AK33" i="2" s="1"/>
  <c r="CJ9" i="13"/>
  <c r="AL33" i="2" s="1"/>
  <c r="CA10" i="13"/>
  <c r="AC34" i="2" s="1"/>
  <c r="CB10" i="13"/>
  <c r="CN36" i="13" s="1"/>
  <c r="CC10" i="13"/>
  <c r="CO35" i="13" s="1"/>
  <c r="CD10" i="13"/>
  <c r="AF34" i="2" s="1"/>
  <c r="CE10" i="13"/>
  <c r="CQ34" i="13" s="1"/>
  <c r="CF10" i="13"/>
  <c r="CR36" i="13" s="1"/>
  <c r="CG10" i="13"/>
  <c r="CH10" i="13"/>
  <c r="CT35" i="13" s="1"/>
  <c r="CI10" i="13"/>
  <c r="CU37" i="13" s="1"/>
  <c r="CJ10" i="13"/>
  <c r="CV35" i="13" s="1"/>
  <c r="CA11" i="13"/>
  <c r="CB11" i="13"/>
  <c r="CC11" i="13"/>
  <c r="CD11" i="13"/>
  <c r="CE11" i="13"/>
  <c r="CF11" i="13"/>
  <c r="CG11" i="13"/>
  <c r="CH11" i="13"/>
  <c r="CI11" i="13"/>
  <c r="CJ11" i="13"/>
  <c r="CA12" i="13"/>
  <c r="CB12" i="13"/>
  <c r="CC12" i="13"/>
  <c r="CD12" i="13"/>
  <c r="CE12" i="13"/>
  <c r="CF12" i="13"/>
  <c r="CG12" i="13"/>
  <c r="CH12" i="13"/>
  <c r="CI12" i="13"/>
  <c r="CJ12" i="13"/>
  <c r="CL19" i="13"/>
  <c r="CL20" i="13" s="1"/>
  <c r="CL21" i="13" s="1"/>
  <c r="CL22" i="13" s="1"/>
  <c r="CL23" i="13" s="1"/>
  <c r="CL24" i="13" s="1"/>
  <c r="CL25" i="13" s="1"/>
  <c r="CL26" i="13" s="1"/>
  <c r="CL27" i="13" s="1"/>
  <c r="CL28" i="13" s="1"/>
  <c r="CL29" i="13" s="1"/>
  <c r="CS33" i="13"/>
  <c r="CV33" i="13"/>
  <c r="CS34" i="13"/>
  <c r="CS35" i="13"/>
  <c r="CL41" i="13"/>
  <c r="CL49" i="13" s="1"/>
  <c r="CL42" i="13"/>
  <c r="CL50" i="13" s="1"/>
  <c r="CL43" i="13"/>
  <c r="CL51" i="13" s="1"/>
  <c r="CL44" i="13"/>
  <c r="CL52" i="13" s="1"/>
  <c r="CL45" i="13"/>
  <c r="CL53" i="13"/>
  <c r="CL57" i="13"/>
  <c r="CL58" i="13"/>
  <c r="CL59" i="13"/>
  <c r="CL60" i="13"/>
  <c r="CL61" i="13"/>
  <c r="CL65" i="13"/>
  <c r="CL66" i="13"/>
  <c r="CL67" i="13"/>
  <c r="CL68" i="13"/>
  <c r="CL69" i="13"/>
  <c r="AZ3" i="13"/>
  <c r="BM5" i="13"/>
  <c r="BM6" i="13" s="1"/>
  <c r="BM7" i="13" s="1"/>
  <c r="BM8" i="13" s="1"/>
  <c r="BM9" i="13" s="1"/>
  <c r="BM10" i="13" s="1"/>
  <c r="BM11" i="13" s="1"/>
  <c r="BM12" i="13" s="1"/>
  <c r="BM13" i="13" s="1"/>
  <c r="BM14" i="13" s="1"/>
  <c r="BM15" i="13" s="1"/>
  <c r="BC7" i="13"/>
  <c r="BD7" i="13"/>
  <c r="BE7" i="13"/>
  <c r="BF7" i="13"/>
  <c r="BG7" i="13"/>
  <c r="BH7" i="13"/>
  <c r="BI7" i="13"/>
  <c r="BJ7" i="13"/>
  <c r="BK7" i="13"/>
  <c r="BB9" i="13"/>
  <c r="AC27" i="2" s="1"/>
  <c r="BC9" i="13"/>
  <c r="AD27" i="2" s="1"/>
  <c r="BD9" i="13"/>
  <c r="AE27" i="2" s="1"/>
  <c r="BE9" i="13"/>
  <c r="AF27" i="2" s="1"/>
  <c r="BF9" i="13"/>
  <c r="AG27" i="2" s="1"/>
  <c r="BG9" i="13"/>
  <c r="AH27" i="2" s="1"/>
  <c r="BH9" i="13"/>
  <c r="AI27" i="2" s="1"/>
  <c r="BI9" i="13"/>
  <c r="BJ9" i="13"/>
  <c r="AK27" i="2" s="1"/>
  <c r="BK9" i="13"/>
  <c r="AL27" i="2" s="1"/>
  <c r="BB10" i="13"/>
  <c r="BN36" i="13" s="1"/>
  <c r="BC10" i="13"/>
  <c r="BD10" i="13"/>
  <c r="AE28" i="2" s="1"/>
  <c r="BE10" i="13"/>
  <c r="AF28" i="2" s="1"/>
  <c r="BF10" i="13"/>
  <c r="BR36" i="13" s="1"/>
  <c r="BG10" i="13"/>
  <c r="AH28" i="2" s="1"/>
  <c r="BH10" i="13"/>
  <c r="BT35" i="13" s="1"/>
  <c r="BI10" i="13"/>
  <c r="BU37" i="13" s="1"/>
  <c r="BJ10" i="13"/>
  <c r="BK10" i="13"/>
  <c r="BW35" i="13" s="1"/>
  <c r="BB11" i="13"/>
  <c r="BC11" i="13"/>
  <c r="BD11" i="13"/>
  <c r="BE11" i="13"/>
  <c r="BF11" i="13"/>
  <c r="BG11" i="13"/>
  <c r="BH11" i="13"/>
  <c r="BI11" i="13"/>
  <c r="BJ11" i="13"/>
  <c r="BK11" i="13"/>
  <c r="BB12" i="13"/>
  <c r="BC12" i="13"/>
  <c r="BD12" i="13"/>
  <c r="BE12" i="13"/>
  <c r="BF12" i="13"/>
  <c r="BG12" i="13"/>
  <c r="BH12" i="13"/>
  <c r="BI12" i="13"/>
  <c r="BJ12" i="13"/>
  <c r="BK12" i="13"/>
  <c r="BD18" i="13"/>
  <c r="BE18" i="13" s="1"/>
  <c r="BM19" i="13"/>
  <c r="BM20" i="13" s="1"/>
  <c r="BM21" i="13" s="1"/>
  <c r="BM22" i="13" s="1"/>
  <c r="BM23" i="13" s="1"/>
  <c r="BM24" i="13" s="1"/>
  <c r="BM25" i="13" s="1"/>
  <c r="BM26" i="13" s="1"/>
  <c r="BM27" i="13" s="1"/>
  <c r="BM28" i="13" s="1"/>
  <c r="BM29" i="13" s="1"/>
  <c r="BM41" i="13"/>
  <c r="BM49" i="13" s="1"/>
  <c r="BM42" i="13"/>
  <c r="BM50" i="13" s="1"/>
  <c r="BM43" i="13"/>
  <c r="BM51" i="13" s="1"/>
  <c r="BM44" i="13"/>
  <c r="BM52" i="13" s="1"/>
  <c r="BM45" i="13"/>
  <c r="BM53" i="13" s="1"/>
  <c r="BM57" i="13"/>
  <c r="BM58" i="13"/>
  <c r="BM59" i="13"/>
  <c r="BM60" i="13"/>
  <c r="BM61" i="13"/>
  <c r="BM65" i="13"/>
  <c r="BM66" i="13"/>
  <c r="BM67" i="13"/>
  <c r="BM68" i="13"/>
  <c r="BM69" i="13"/>
  <c r="AA3" i="13"/>
  <c r="AN5" i="13"/>
  <c r="AN6" i="13" s="1"/>
  <c r="AN7" i="13" s="1"/>
  <c r="AN8" i="13" s="1"/>
  <c r="AN9" i="13" s="1"/>
  <c r="AN10" i="13" s="1"/>
  <c r="AN11" i="13" s="1"/>
  <c r="AN12" i="13" s="1"/>
  <c r="AN13" i="13" s="1"/>
  <c r="AN14" i="13" s="1"/>
  <c r="AN15" i="13" s="1"/>
  <c r="AD7" i="13"/>
  <c r="AE7" i="13"/>
  <c r="AF7" i="13"/>
  <c r="AG7" i="13"/>
  <c r="AH7" i="13"/>
  <c r="AI7" i="13"/>
  <c r="AJ7" i="13"/>
  <c r="AK7" i="13"/>
  <c r="AL7" i="13"/>
  <c r="AC9" i="13"/>
  <c r="AC21" i="2" s="1"/>
  <c r="AD9" i="13"/>
  <c r="AD21" i="2" s="1"/>
  <c r="AE9" i="13"/>
  <c r="AE21" i="2" s="1"/>
  <c r="AF9" i="13"/>
  <c r="AF21" i="2" s="1"/>
  <c r="AG9" i="13"/>
  <c r="AG21" i="2" s="1"/>
  <c r="AH9" i="13"/>
  <c r="AH21" i="2" s="1"/>
  <c r="AI9" i="13"/>
  <c r="AI21" i="2" s="1"/>
  <c r="AJ9" i="13"/>
  <c r="AJ21" i="2" s="1"/>
  <c r="AK9" i="13"/>
  <c r="AK21" i="2" s="1"/>
  <c r="AL9" i="13"/>
  <c r="AL21" i="2" s="1"/>
  <c r="AC10" i="13"/>
  <c r="AO33" i="13" s="1"/>
  <c r="AD10" i="13"/>
  <c r="AP36" i="13" s="1"/>
  <c r="AE10" i="13"/>
  <c r="AQ33" i="13" s="1"/>
  <c r="AF10" i="13"/>
  <c r="AR35" i="13" s="1"/>
  <c r="AG10" i="13"/>
  <c r="AG22" i="2" s="1"/>
  <c r="AH10" i="13"/>
  <c r="AT33" i="13" s="1"/>
  <c r="AI10" i="13"/>
  <c r="AU33" i="13" s="1"/>
  <c r="AJ10" i="13"/>
  <c r="AV36" i="13" s="1"/>
  <c r="AK10" i="13"/>
  <c r="AW34" i="13" s="1"/>
  <c r="AL10" i="13"/>
  <c r="AX34" i="13" s="1"/>
  <c r="AC11" i="13"/>
  <c r="AD11" i="13"/>
  <c r="AE11" i="13"/>
  <c r="AF11" i="13"/>
  <c r="AG11" i="13"/>
  <c r="AH11" i="13"/>
  <c r="AI11" i="13"/>
  <c r="AJ11" i="13"/>
  <c r="AK11" i="13"/>
  <c r="AL11" i="13"/>
  <c r="AC12" i="13"/>
  <c r="AD12" i="13"/>
  <c r="AE12" i="13"/>
  <c r="AF12" i="13"/>
  <c r="AG12" i="13"/>
  <c r="AH12" i="13"/>
  <c r="AI12" i="13"/>
  <c r="AJ12" i="13"/>
  <c r="AK12" i="13"/>
  <c r="AL12" i="13"/>
  <c r="AE18" i="13"/>
  <c r="AF18" i="13" s="1"/>
  <c r="AN19" i="13"/>
  <c r="AN20" i="13" s="1"/>
  <c r="AN21" i="13" s="1"/>
  <c r="AN22" i="13" s="1"/>
  <c r="AN23" i="13" s="1"/>
  <c r="AN24" i="13" s="1"/>
  <c r="AN25" i="13" s="1"/>
  <c r="AN26" i="13" s="1"/>
  <c r="AN27" i="13" s="1"/>
  <c r="AN28" i="13" s="1"/>
  <c r="AN29" i="13" s="1"/>
  <c r="AT35" i="13"/>
  <c r="AT36" i="13"/>
  <c r="AQ37" i="13"/>
  <c r="AT37" i="13"/>
  <c r="AN41" i="13"/>
  <c r="AN49" i="13" s="1"/>
  <c r="AN42" i="13"/>
  <c r="AN50" i="13" s="1"/>
  <c r="AN43" i="13"/>
  <c r="AN51" i="13" s="1"/>
  <c r="AN44" i="13"/>
  <c r="AN52" i="13" s="1"/>
  <c r="AN45" i="13"/>
  <c r="AN53" i="13" s="1"/>
  <c r="AN57" i="13"/>
  <c r="AN58" i="13"/>
  <c r="AN59" i="13"/>
  <c r="AN60" i="13"/>
  <c r="AN61" i="13"/>
  <c r="AN65" i="13"/>
  <c r="AN66" i="13"/>
  <c r="AN67" i="13"/>
  <c r="AN68" i="13"/>
  <c r="AN69" i="13"/>
  <c r="AC5" i="2"/>
  <c r="AD5" i="2"/>
  <c r="AE5" i="2"/>
  <c r="AF5" i="2"/>
  <c r="AG5" i="2"/>
  <c r="AH5" i="2"/>
  <c r="AI5" i="2"/>
  <c r="AJ5" i="2"/>
  <c r="AK5" i="2"/>
  <c r="AL5" i="2"/>
  <c r="AC6" i="2"/>
  <c r="AD6" i="2"/>
  <c r="AE6" i="2"/>
  <c r="AF6" i="2"/>
  <c r="AG6" i="2"/>
  <c r="AH6" i="2"/>
  <c r="AI6" i="2"/>
  <c r="AJ6" i="2"/>
  <c r="AK6" i="2"/>
  <c r="AL6" i="2"/>
  <c r="AB15" i="2"/>
  <c r="AB16" i="2"/>
  <c r="AA16" i="2" s="1"/>
  <c r="AA17" i="2"/>
  <c r="AA21" i="2"/>
  <c r="AA22" i="2"/>
  <c r="AH22" i="2"/>
  <c r="AA23" i="2"/>
  <c r="AA27" i="2"/>
  <c r="AJ27" i="2"/>
  <c r="AA28" i="2"/>
  <c r="AL28" i="2"/>
  <c r="AA29" i="2"/>
  <c r="AA33" i="2"/>
  <c r="AG33" i="2"/>
  <c r="AJ33" i="2"/>
  <c r="AA34" i="2"/>
  <c r="AH34" i="2"/>
  <c r="AI34" i="2"/>
  <c r="AA35" i="2"/>
  <c r="AA39" i="2"/>
  <c r="AE39" i="2"/>
  <c r="AA40" i="2"/>
  <c r="AH40" i="2"/>
  <c r="AK40" i="2"/>
  <c r="AA41" i="2"/>
  <c r="AA45" i="2"/>
  <c r="AC45" i="2"/>
  <c r="AE45" i="2"/>
  <c r="AG45" i="2"/>
  <c r="AJ45" i="2"/>
  <c r="AL45" i="2"/>
  <c r="AA46" i="2"/>
  <c r="AC46" i="2"/>
  <c r="AE46" i="2"/>
  <c r="AF46" i="2"/>
  <c r="AG46" i="2"/>
  <c r="AH46" i="2"/>
  <c r="AI46" i="2"/>
  <c r="AL46" i="2"/>
  <c r="AA47" i="2"/>
  <c r="CO2" i="13" l="1"/>
  <c r="CO16" i="13" s="1"/>
  <c r="EB5" i="13"/>
  <c r="EN2" i="13" s="1"/>
  <c r="EN16" i="13" s="1"/>
  <c r="AL22" i="2"/>
  <c r="DN34" i="13"/>
  <c r="AG40" i="2"/>
  <c r="CR34" i="13"/>
  <c r="AX36" i="13"/>
  <c r="EO36" i="13"/>
  <c r="DN33" i="13"/>
  <c r="AJ46" i="2"/>
  <c r="EO35" i="13"/>
  <c r="CT33" i="13"/>
  <c r="AJ34" i="2"/>
  <c r="AL34" i="2"/>
  <c r="DU37" i="13"/>
  <c r="AE22" i="2"/>
  <c r="AQ35" i="13"/>
  <c r="BR37" i="13"/>
  <c r="DR37" i="13"/>
  <c r="AT34" i="13"/>
  <c r="DP37" i="13"/>
  <c r="EK37" i="13"/>
  <c r="DR36" i="13"/>
  <c r="AL40" i="2"/>
  <c r="DP36" i="13"/>
  <c r="CV37" i="13"/>
  <c r="DR35" i="13"/>
  <c r="AI40" i="2"/>
  <c r="ER35" i="13"/>
  <c r="CM35" i="13"/>
  <c r="BS35" i="13"/>
  <c r="BP37" i="13"/>
  <c r="BP36" i="13"/>
  <c r="BP33" i="13"/>
  <c r="BP35" i="13"/>
  <c r="AJ40" i="2"/>
  <c r="AJ22" i="2"/>
  <c r="AF22" i="2"/>
  <c r="EQ35" i="13"/>
  <c r="AK46" i="2"/>
  <c r="CM33" i="13"/>
  <c r="AE34" i="2"/>
  <c r="AV35" i="13"/>
  <c r="EQ37" i="13"/>
  <c r="ER34" i="13"/>
  <c r="CM36" i="13"/>
  <c r="EN37" i="13"/>
  <c r="DT35" i="13"/>
  <c r="EM37" i="13"/>
  <c r="BN37" i="13"/>
  <c r="ES37" i="13"/>
  <c r="AK34" i="2"/>
  <c r="AC28" i="2"/>
  <c r="AX37" i="13"/>
  <c r="BS36" i="13"/>
  <c r="CT37" i="13"/>
  <c r="DQ35" i="13"/>
  <c r="ER37" i="13"/>
  <c r="ES35" i="13"/>
  <c r="CU36" i="13"/>
  <c r="CT36" i="13"/>
  <c r="DT37" i="13"/>
  <c r="AX35" i="13"/>
  <c r="BT33" i="13"/>
  <c r="DT36" i="13"/>
  <c r="BS33" i="13"/>
  <c r="EN34" i="13"/>
  <c r="AI28" i="2"/>
  <c r="EO34" i="13"/>
  <c r="BN35" i="13"/>
  <c r="BQ34" i="13"/>
  <c r="CR37" i="13"/>
  <c r="CV34" i="13"/>
  <c r="CS37" i="13"/>
  <c r="DN37" i="13"/>
  <c r="DN35" i="13"/>
  <c r="ET36" i="13"/>
  <c r="EN35" i="13"/>
  <c r="EO33" i="13"/>
  <c r="BW34" i="13"/>
  <c r="BP34" i="13"/>
  <c r="CM37" i="13"/>
  <c r="CU34" i="13"/>
  <c r="CR33" i="13"/>
  <c r="DM37" i="13"/>
  <c r="DU34" i="13"/>
  <c r="DQ36" i="13"/>
  <c r="ER36" i="13"/>
  <c r="EK35" i="13"/>
  <c r="EN33" i="13"/>
  <c r="BS37" i="13"/>
  <c r="BS34" i="13"/>
  <c r="CV36" i="13"/>
  <c r="CT34" i="13"/>
  <c r="CQ36" i="13"/>
  <c r="DU36" i="13"/>
  <c r="DT34" i="13"/>
  <c r="DP35" i="13"/>
  <c r="ET37" i="13"/>
  <c r="EQ36" i="13"/>
  <c r="ET34" i="13"/>
  <c r="EM33" i="13"/>
  <c r="EK33" i="13"/>
  <c r="BT36" i="13"/>
  <c r="BN33" i="13"/>
  <c r="BW37" i="13"/>
  <c r="CO36" i="13"/>
  <c r="CM34" i="13"/>
  <c r="DN36" i="13"/>
  <c r="DU33" i="13"/>
  <c r="DL37" i="13"/>
  <c r="EP37" i="13"/>
  <c r="ET35" i="13"/>
  <c r="AD46" i="2"/>
  <c r="AR37" i="13"/>
  <c r="BQ37" i="13"/>
  <c r="CQ37" i="13"/>
  <c r="CU35" i="13"/>
  <c r="DQ37" i="13"/>
  <c r="DO36" i="13"/>
  <c r="DP33" i="13"/>
  <c r="EP34" i="13"/>
  <c r="EL33" i="13"/>
  <c r="AU34" i="13"/>
  <c r="CN37" i="13"/>
  <c r="DS34" i="13"/>
  <c r="DO33" i="13"/>
  <c r="DZ5" i="13"/>
  <c r="EL2" i="13" s="1"/>
  <c r="EL16" i="13" s="1"/>
  <c r="CU33" i="13"/>
  <c r="DO37" i="13"/>
  <c r="DY5" i="13"/>
  <c r="EK2" i="13" s="1"/>
  <c r="EK16" i="13" s="1"/>
  <c r="AW36" i="13"/>
  <c r="AV33" i="13"/>
  <c r="BW36" i="13"/>
  <c r="BT34" i="13"/>
  <c r="CR35" i="13"/>
  <c r="DQ34" i="13"/>
  <c r="ES36" i="13"/>
  <c r="EM34" i="13"/>
  <c r="AU36" i="13"/>
  <c r="CQ35" i="13"/>
  <c r="EL34" i="13"/>
  <c r="AG34" i="2"/>
  <c r="AK22" i="2"/>
  <c r="BN34" i="13"/>
  <c r="DS35" i="13"/>
  <c r="DO34" i="13"/>
  <c r="ES33" i="13"/>
  <c r="EH5" i="13"/>
  <c r="ET2" i="13" s="1"/>
  <c r="ET16" i="13" s="1"/>
  <c r="BQ36" i="13"/>
  <c r="BW33" i="13"/>
  <c r="CS36" i="13"/>
  <c r="CQ33" i="13"/>
  <c r="EP36" i="13"/>
  <c r="EL35" i="13"/>
  <c r="EG5" i="13"/>
  <c r="ES2" i="13" s="1"/>
  <c r="ES16" i="13" s="1"/>
  <c r="EF5" i="13"/>
  <c r="ER2" i="13" s="1"/>
  <c r="ER16" i="13" s="1"/>
  <c r="AW35" i="13"/>
  <c r="DS36" i="13"/>
  <c r="EP33" i="13"/>
  <c r="EE5" i="13"/>
  <c r="EQ2" i="13" s="1"/>
  <c r="EQ16" i="13" s="1"/>
  <c r="BT37" i="13"/>
  <c r="DO35" i="13"/>
  <c r="DS33" i="13"/>
  <c r="ED5" i="13"/>
  <c r="EP2" i="13" s="1"/>
  <c r="EP16" i="13" s="1"/>
  <c r="AI22" i="2"/>
  <c r="AU37" i="13"/>
  <c r="AU35" i="13"/>
  <c r="EC5" i="13"/>
  <c r="EO2" i="13" s="1"/>
  <c r="EO16" i="13" s="1"/>
  <c r="CP35" i="13"/>
  <c r="CP34" i="13"/>
  <c r="CP33" i="13"/>
  <c r="CP37" i="13"/>
  <c r="BV34" i="13"/>
  <c r="BV35" i="13"/>
  <c r="BV37" i="13"/>
  <c r="AK28" i="2"/>
  <c r="BV36" i="13"/>
  <c r="BV33" i="13"/>
  <c r="AO36" i="13"/>
  <c r="AC22" i="2"/>
  <c r="AO34" i="13"/>
  <c r="AO35" i="13"/>
  <c r="AO37" i="13"/>
  <c r="CP36" i="13"/>
  <c r="AD40" i="2"/>
  <c r="BU35" i="13"/>
  <c r="DL33" i="13"/>
  <c r="AC40" i="2"/>
  <c r="BU33" i="13"/>
  <c r="CO37" i="13"/>
  <c r="CO33" i="13"/>
  <c r="DM34" i="13"/>
  <c r="BU36" i="13"/>
  <c r="DL34" i="13"/>
  <c r="AR36" i="13"/>
  <c r="AR34" i="13"/>
  <c r="CO34" i="13"/>
  <c r="DM35" i="13"/>
  <c r="AJ28" i="2"/>
  <c r="BU34" i="13"/>
  <c r="DL35" i="13"/>
  <c r="DM33" i="13"/>
  <c r="AR33" i="13"/>
  <c r="CN33" i="13"/>
  <c r="BR34" i="13"/>
  <c r="AG28" i="2"/>
  <c r="CN34" i="13"/>
  <c r="AD34" i="2"/>
  <c r="BR35" i="13"/>
  <c r="BQ35" i="13"/>
  <c r="CN35" i="13"/>
  <c r="BQ33" i="13"/>
  <c r="BF18" i="13"/>
  <c r="BG18" i="13" s="1"/>
  <c r="BE23" i="13"/>
  <c r="AG18" i="13"/>
  <c r="AH18" i="13" s="1"/>
  <c r="AF23" i="13"/>
  <c r="AS34" i="13"/>
  <c r="AS33" i="13"/>
  <c r="AS37" i="13"/>
  <c r="AS36" i="13"/>
  <c r="AS35" i="13"/>
  <c r="AW37" i="13"/>
  <c r="AX33" i="13"/>
  <c r="BO37" i="13"/>
  <c r="BD23" i="13"/>
  <c r="BO36" i="13"/>
  <c r="AV37" i="13"/>
  <c r="AW33" i="13"/>
  <c r="AE23" i="13"/>
  <c r="BO33" i="13"/>
  <c r="BC23" i="13"/>
  <c r="AD28" i="2"/>
  <c r="AQ36" i="13"/>
  <c r="AV34" i="13"/>
  <c r="BO34" i="13"/>
  <c r="BO35" i="13"/>
  <c r="AQ34" i="13"/>
  <c r="BR33" i="13"/>
  <c r="AG23" i="13"/>
  <c r="AP37" i="13"/>
  <c r="AP33" i="13"/>
  <c r="AD23" i="13"/>
  <c r="AD22" i="2"/>
  <c r="AP34" i="13"/>
  <c r="AP35" i="13"/>
  <c r="AA15" i="2"/>
  <c r="H54" i="4"/>
  <c r="G55" i="4"/>
  <c r="H55" i="4"/>
  <c r="G56" i="4"/>
  <c r="H56" i="4"/>
  <c r="H57" i="4"/>
  <c r="H58" i="4"/>
  <c r="H59" i="4"/>
  <c r="G64" i="4"/>
  <c r="H64" i="4"/>
  <c r="I64" i="4"/>
  <c r="I65" i="4"/>
  <c r="H66" i="4"/>
  <c r="G67" i="4"/>
  <c r="H67" i="4"/>
  <c r="I67" i="4"/>
  <c r="G68" i="4"/>
  <c r="H68" i="4"/>
  <c r="I68" i="4"/>
  <c r="G69" i="4"/>
  <c r="H69" i="4"/>
  <c r="I69" i="4"/>
  <c r="BF23" i="13" l="1"/>
  <c r="BG23" i="13"/>
  <c r="BH18" i="13"/>
  <c r="AH23" i="13"/>
  <c r="AI18" i="13"/>
  <c r="H60" i="4"/>
  <c r="G60" i="4"/>
  <c r="BH23" i="13" l="1"/>
  <c r="BI18" i="13"/>
  <c r="AI23" i="13"/>
  <c r="AJ18" i="13"/>
  <c r="BJ18" i="13" l="1"/>
  <c r="BI23" i="13"/>
  <c r="AK18" i="13"/>
  <c r="AJ23" i="13"/>
  <c r="BK18" i="13" l="1"/>
  <c r="BK23" i="13" s="1"/>
  <c r="BJ23" i="13"/>
  <c r="AL18" i="13"/>
  <c r="AL23" i="13" s="1"/>
  <c r="AK23" i="13"/>
  <c r="AN172" i="21"/>
  <c r="AN171" i="21"/>
  <c r="AN170" i="21"/>
  <c r="AN169" i="21"/>
  <c r="AN168" i="21"/>
  <c r="AN167" i="21"/>
  <c r="AN166" i="21"/>
  <c r="AN165" i="21"/>
  <c r="AN164" i="21"/>
  <c r="AN163" i="21"/>
  <c r="AN162" i="21"/>
  <c r="AN161" i="21"/>
  <c r="AN174" i="21" s="1"/>
  <c r="AJ172" i="21"/>
  <c r="AJ171" i="21"/>
  <c r="AJ170" i="21"/>
  <c r="AJ169" i="21"/>
  <c r="AJ168" i="21"/>
  <c r="AJ167" i="21"/>
  <c r="AJ166" i="21"/>
  <c r="AJ165" i="21"/>
  <c r="AJ164" i="21"/>
  <c r="AJ163" i="21"/>
  <c r="AJ162" i="21"/>
  <c r="AJ161" i="21"/>
  <c r="AJ174" i="21" s="1"/>
  <c r="AF172" i="21"/>
  <c r="AF171" i="21"/>
  <c r="AF170" i="21"/>
  <c r="AF169" i="21"/>
  <c r="AF168" i="21"/>
  <c r="AF167" i="21"/>
  <c r="AF166" i="21"/>
  <c r="AF165" i="21"/>
  <c r="AF164" i="21"/>
  <c r="AF163" i="21"/>
  <c r="AF162" i="21"/>
  <c r="AF161" i="21"/>
  <c r="AF174" i="21" s="1"/>
  <c r="AB172" i="21"/>
  <c r="AB171" i="21"/>
  <c r="AB170" i="21"/>
  <c r="AB169" i="21"/>
  <c r="AB168" i="21"/>
  <c r="AB167" i="21"/>
  <c r="AB166" i="21"/>
  <c r="AB165" i="21"/>
  <c r="AB164" i="21"/>
  <c r="AB163" i="21"/>
  <c r="AB174" i="21" s="1"/>
  <c r="AB162" i="21"/>
  <c r="AB161" i="21"/>
  <c r="X172" i="21"/>
  <c r="X171" i="21"/>
  <c r="X170" i="21"/>
  <c r="X169" i="21"/>
  <c r="X168" i="21"/>
  <c r="X167" i="21"/>
  <c r="X166" i="21"/>
  <c r="X165" i="21"/>
  <c r="X164" i="21"/>
  <c r="X163" i="21"/>
  <c r="X162" i="21"/>
  <c r="X161" i="21"/>
  <c r="X174" i="21" s="1"/>
  <c r="T172" i="21"/>
  <c r="T171" i="21"/>
  <c r="T170" i="21"/>
  <c r="T169" i="21"/>
  <c r="T168" i="21"/>
  <c r="T167" i="21"/>
  <c r="T166" i="21"/>
  <c r="T165" i="21"/>
  <c r="T164" i="21"/>
  <c r="T163" i="21"/>
  <c r="T162" i="21"/>
  <c r="T161" i="21"/>
  <c r="T174" i="21" s="1"/>
  <c r="P172" i="21"/>
  <c r="P171" i="21"/>
  <c r="P170" i="21"/>
  <c r="P169" i="21"/>
  <c r="P168" i="21"/>
  <c r="P167" i="21"/>
  <c r="P166" i="21"/>
  <c r="P165" i="21"/>
  <c r="P164" i="21"/>
  <c r="P163" i="21"/>
  <c r="P162" i="21"/>
  <c r="P161" i="21"/>
  <c r="P174" i="21" s="1"/>
  <c r="L172" i="21"/>
  <c r="L171" i="21"/>
  <c r="L170" i="21"/>
  <c r="L169" i="21"/>
  <c r="L168" i="21"/>
  <c r="L167" i="21"/>
  <c r="L166" i="21"/>
  <c r="L165" i="21"/>
  <c r="L164" i="21"/>
  <c r="L163" i="21"/>
  <c r="L162" i="21"/>
  <c r="L161" i="21"/>
  <c r="L174" i="21" s="1"/>
  <c r="H172" i="21"/>
  <c r="H171" i="21"/>
  <c r="H170" i="21"/>
  <c r="H169" i="21"/>
  <c r="H168" i="21"/>
  <c r="H167" i="21"/>
  <c r="H166" i="21"/>
  <c r="H165" i="21"/>
  <c r="H164" i="21"/>
  <c r="H163" i="21"/>
  <c r="H162" i="21"/>
  <c r="H161" i="21"/>
  <c r="D162" i="21"/>
  <c r="D163" i="21"/>
  <c r="D174" i="21" s="1"/>
  <c r="D164" i="21"/>
  <c r="D165" i="21"/>
  <c r="D166" i="21"/>
  <c r="D167" i="21"/>
  <c r="D168" i="21"/>
  <c r="D169" i="21"/>
  <c r="D170" i="21"/>
  <c r="D171" i="21"/>
  <c r="D172" i="21"/>
  <c r="D161" i="21"/>
  <c r="AN147" i="21"/>
  <c r="AN146" i="21"/>
  <c r="AN145" i="21"/>
  <c r="AN144" i="21"/>
  <c r="AN143" i="21"/>
  <c r="AN142" i="21"/>
  <c r="AN141" i="21"/>
  <c r="AN140" i="21"/>
  <c r="AN139" i="21"/>
  <c r="AN138" i="21"/>
  <c r="AN137" i="21"/>
  <c r="AN136" i="21"/>
  <c r="AN149" i="21" s="1"/>
  <c r="AF147" i="21"/>
  <c r="AF146" i="21"/>
  <c r="AF145" i="21"/>
  <c r="AF144" i="21"/>
  <c r="AF143" i="21"/>
  <c r="AF142" i="21"/>
  <c r="AF141" i="21"/>
  <c r="AF140" i="21"/>
  <c r="AF139" i="21"/>
  <c r="AF138" i="21"/>
  <c r="AF137" i="21"/>
  <c r="AF136" i="21"/>
  <c r="AJ147" i="21"/>
  <c r="AJ146" i="21"/>
  <c r="AJ145" i="21"/>
  <c r="AJ144" i="21"/>
  <c r="AJ143" i="21"/>
  <c r="AJ142" i="21"/>
  <c r="AJ141" i="21"/>
  <c r="AJ140" i="21"/>
  <c r="AJ139" i="21"/>
  <c r="AJ138" i="21"/>
  <c r="AJ137" i="21"/>
  <c r="AJ136" i="21"/>
  <c r="AJ149" i="21" s="1"/>
  <c r="AB147" i="21"/>
  <c r="AB146" i="21"/>
  <c r="AB145" i="21"/>
  <c r="AB144" i="21"/>
  <c r="AB143" i="21"/>
  <c r="AB142" i="21"/>
  <c r="AB141" i="21"/>
  <c r="AB140" i="21"/>
  <c r="AB139" i="21"/>
  <c r="AB138" i="21"/>
  <c r="AB137" i="21"/>
  <c r="AB136" i="21"/>
  <c r="X147" i="21"/>
  <c r="X146" i="21"/>
  <c r="X145" i="21"/>
  <c r="X144" i="21"/>
  <c r="X143" i="21"/>
  <c r="X142" i="21"/>
  <c r="X141" i="21"/>
  <c r="X140" i="21"/>
  <c r="X139" i="21"/>
  <c r="X138" i="21"/>
  <c r="X149" i="21" s="1"/>
  <c r="X137" i="21"/>
  <c r="X136" i="21"/>
  <c r="T147" i="21"/>
  <c r="T146" i="21"/>
  <c r="T145" i="21"/>
  <c r="T144" i="21"/>
  <c r="T143" i="21"/>
  <c r="T142" i="21"/>
  <c r="T141" i="21"/>
  <c r="T140" i="21"/>
  <c r="T139" i="21"/>
  <c r="T138" i="21"/>
  <c r="T137" i="21"/>
  <c r="T136" i="21"/>
  <c r="T149" i="21" s="1"/>
  <c r="P147" i="21"/>
  <c r="P146" i="21"/>
  <c r="P145" i="21"/>
  <c r="P144" i="21"/>
  <c r="P143" i="21"/>
  <c r="P142" i="21"/>
  <c r="P141" i="21"/>
  <c r="P140" i="21"/>
  <c r="P139" i="21"/>
  <c r="P138" i="21"/>
  <c r="P137" i="21"/>
  <c r="P136" i="21"/>
  <c r="P149" i="21" s="1"/>
  <c r="L147" i="21"/>
  <c r="L146" i="21"/>
  <c r="L145" i="21"/>
  <c r="L144" i="21"/>
  <c r="L143" i="21"/>
  <c r="L142" i="21"/>
  <c r="L141" i="21"/>
  <c r="L140" i="21"/>
  <c r="L139" i="21"/>
  <c r="L138" i="21"/>
  <c r="L137" i="21"/>
  <c r="L136" i="21"/>
  <c r="L149" i="21" s="1"/>
  <c r="H147" i="21"/>
  <c r="H146" i="21"/>
  <c r="H145" i="21"/>
  <c r="H144" i="21"/>
  <c r="H143" i="21"/>
  <c r="H142" i="21"/>
  <c r="H141" i="21"/>
  <c r="H140" i="21"/>
  <c r="H139" i="21"/>
  <c r="H138" i="21"/>
  <c r="H137" i="21"/>
  <c r="H136" i="21"/>
  <c r="D137" i="21"/>
  <c r="D138" i="21"/>
  <c r="D139" i="21"/>
  <c r="D140" i="21"/>
  <c r="D149" i="21" s="1"/>
  <c r="D141" i="21"/>
  <c r="D142" i="21"/>
  <c r="D143" i="21"/>
  <c r="D144" i="21"/>
  <c r="D145" i="21"/>
  <c r="D146" i="21"/>
  <c r="D147" i="21"/>
  <c r="D136" i="21"/>
  <c r="AN122" i="21"/>
  <c r="AN121" i="21"/>
  <c r="AN120" i="21"/>
  <c r="AN119" i="21"/>
  <c r="AN118" i="21"/>
  <c r="AN117" i="21"/>
  <c r="AN116" i="21"/>
  <c r="AN115" i="21"/>
  <c r="AN114" i="21"/>
  <c r="AN113" i="21"/>
  <c r="AN112" i="21"/>
  <c r="AN111" i="21"/>
  <c r="AN124" i="21" s="1"/>
  <c r="AJ122" i="21"/>
  <c r="AJ121" i="21"/>
  <c r="AJ120" i="21"/>
  <c r="AJ119" i="21"/>
  <c r="AJ118" i="21"/>
  <c r="AJ117" i="21"/>
  <c r="AJ116" i="21"/>
  <c r="AJ115" i="21"/>
  <c r="AJ114" i="21"/>
  <c r="AJ113" i="21"/>
  <c r="AJ112" i="21"/>
  <c r="AJ111" i="21"/>
  <c r="AJ124" i="21" s="1"/>
  <c r="AF122" i="21"/>
  <c r="AF121" i="21"/>
  <c r="AF120" i="21"/>
  <c r="AF119" i="21"/>
  <c r="AF118" i="21"/>
  <c r="AF117" i="21"/>
  <c r="AF116" i="21"/>
  <c r="AF115" i="21"/>
  <c r="AF114" i="21"/>
  <c r="AF113" i="21"/>
  <c r="AF112" i="21"/>
  <c r="AF111" i="21"/>
  <c r="AB122" i="21"/>
  <c r="AB121" i="21"/>
  <c r="AB120" i="21"/>
  <c r="AB119" i="21"/>
  <c r="AB118" i="21"/>
  <c r="AB117" i="21"/>
  <c r="AB116" i="21"/>
  <c r="AB115" i="21"/>
  <c r="AB114" i="21"/>
  <c r="AB113" i="21"/>
  <c r="AB112" i="21"/>
  <c r="AB111" i="21"/>
  <c r="AB124" i="21" s="1"/>
  <c r="X122" i="21"/>
  <c r="X121" i="21"/>
  <c r="X120" i="21"/>
  <c r="X119" i="21"/>
  <c r="X118" i="21"/>
  <c r="X117" i="21"/>
  <c r="X116" i="21"/>
  <c r="X115" i="21"/>
  <c r="X114" i="21"/>
  <c r="X113" i="21"/>
  <c r="X112" i="21"/>
  <c r="X111" i="21"/>
  <c r="T122" i="21"/>
  <c r="T121" i="21"/>
  <c r="T120" i="21"/>
  <c r="T119" i="21"/>
  <c r="T118" i="21"/>
  <c r="T117" i="21"/>
  <c r="T116" i="21"/>
  <c r="T115" i="21"/>
  <c r="T114" i="21"/>
  <c r="T113" i="21"/>
  <c r="T112" i="21"/>
  <c r="T111" i="21"/>
  <c r="P122" i="21"/>
  <c r="P121" i="21"/>
  <c r="P120" i="21"/>
  <c r="P119" i="21"/>
  <c r="P118" i="21"/>
  <c r="P117" i="21"/>
  <c r="P116" i="21"/>
  <c r="P115" i="21"/>
  <c r="P114" i="21"/>
  <c r="P113" i="21"/>
  <c r="P112" i="21"/>
  <c r="P111" i="21"/>
  <c r="P124" i="21" s="1"/>
  <c r="L122" i="21"/>
  <c r="L121" i="21"/>
  <c r="L120" i="21"/>
  <c r="L119" i="21"/>
  <c r="L118" i="21"/>
  <c r="L117" i="21"/>
  <c r="L116" i="21"/>
  <c r="L115" i="21"/>
  <c r="L114" i="21"/>
  <c r="L113" i="21"/>
  <c r="L112" i="21"/>
  <c r="L111" i="21"/>
  <c r="L124" i="21" s="1"/>
  <c r="H122" i="21"/>
  <c r="H121" i="21"/>
  <c r="H120" i="21"/>
  <c r="H119" i="21"/>
  <c r="H118" i="21"/>
  <c r="H117" i="21"/>
  <c r="H116" i="21"/>
  <c r="H115" i="21"/>
  <c r="H114" i="21"/>
  <c r="H113" i="21"/>
  <c r="H112" i="21"/>
  <c r="H111" i="21"/>
  <c r="H124" i="21" s="1"/>
  <c r="D112" i="21"/>
  <c r="D113" i="21"/>
  <c r="D124" i="21" s="1"/>
  <c r="D114" i="21"/>
  <c r="D115" i="21"/>
  <c r="D116" i="21"/>
  <c r="D117" i="21"/>
  <c r="D118" i="21"/>
  <c r="D119" i="21"/>
  <c r="D120" i="21"/>
  <c r="D121" i="21"/>
  <c r="D122" i="21"/>
  <c r="D111" i="21"/>
  <c r="AN97" i="21"/>
  <c r="AN96" i="21"/>
  <c r="AN95" i="21"/>
  <c r="AN94" i="21"/>
  <c r="AN93" i="21"/>
  <c r="AN92" i="21"/>
  <c r="AN91" i="21"/>
  <c r="AN90" i="21"/>
  <c r="AN89" i="21"/>
  <c r="AN88" i="21"/>
  <c r="AN87" i="21"/>
  <c r="AN86" i="21"/>
  <c r="AN99" i="21" s="1"/>
  <c r="AJ97" i="21"/>
  <c r="AJ96" i="21"/>
  <c r="AJ95" i="21"/>
  <c r="AJ94" i="21"/>
  <c r="AJ93" i="21"/>
  <c r="AJ92" i="21"/>
  <c r="AJ91" i="21"/>
  <c r="AJ90" i="21"/>
  <c r="AJ89" i="21"/>
  <c r="AJ88" i="21"/>
  <c r="AJ87" i="21"/>
  <c r="AJ86" i="21"/>
  <c r="AJ99" i="21" s="1"/>
  <c r="AF97" i="21"/>
  <c r="AF96" i="21"/>
  <c r="AF95" i="21"/>
  <c r="AF94" i="21"/>
  <c r="AF93" i="21"/>
  <c r="AF92" i="21"/>
  <c r="AF91" i="21"/>
  <c r="AF90" i="21"/>
  <c r="AF89" i="21"/>
  <c r="AF88" i="21"/>
  <c r="AF87" i="21"/>
  <c r="AF86" i="21"/>
  <c r="AF99" i="21" s="1"/>
  <c r="AB97" i="21"/>
  <c r="AB96" i="21"/>
  <c r="AB95" i="21"/>
  <c r="AB94" i="21"/>
  <c r="AB93" i="21"/>
  <c r="AB92" i="21"/>
  <c r="AB91" i="21"/>
  <c r="AB90" i="21"/>
  <c r="AB89" i="21"/>
  <c r="AB88" i="21"/>
  <c r="AB87" i="21"/>
  <c r="AB86" i="21"/>
  <c r="X97" i="21"/>
  <c r="X96" i="21"/>
  <c r="X95" i="21"/>
  <c r="X94" i="21"/>
  <c r="X93" i="21"/>
  <c r="X92" i="21"/>
  <c r="X91" i="21"/>
  <c r="X90" i="21"/>
  <c r="X89" i="21"/>
  <c r="X88" i="21"/>
  <c r="X87" i="21"/>
  <c r="X86" i="21"/>
  <c r="X99" i="21" s="1"/>
  <c r="T97" i="21"/>
  <c r="T96" i="21"/>
  <c r="T95" i="21"/>
  <c r="T94" i="21"/>
  <c r="T93" i="21"/>
  <c r="T92" i="21"/>
  <c r="T91" i="21"/>
  <c r="T90" i="21"/>
  <c r="T89" i="21"/>
  <c r="T88" i="21"/>
  <c r="T87" i="21"/>
  <c r="T86" i="21"/>
  <c r="T99" i="21" s="1"/>
  <c r="P97" i="21"/>
  <c r="P96" i="21"/>
  <c r="P95" i="21"/>
  <c r="P94" i="21"/>
  <c r="P93" i="21"/>
  <c r="P92" i="21"/>
  <c r="P91" i="21"/>
  <c r="P90" i="21"/>
  <c r="P89" i="21"/>
  <c r="P88" i="21"/>
  <c r="P87" i="21"/>
  <c r="P86" i="21"/>
  <c r="P99" i="21" s="1"/>
  <c r="L97" i="21"/>
  <c r="L96" i="21"/>
  <c r="L95" i="21"/>
  <c r="L94" i="21"/>
  <c r="L93" i="21"/>
  <c r="L92" i="21"/>
  <c r="L91" i="21"/>
  <c r="L90" i="21"/>
  <c r="L89" i="21"/>
  <c r="L88" i="21"/>
  <c r="L87" i="21"/>
  <c r="L86" i="21"/>
  <c r="L99" i="21" s="1"/>
  <c r="H97" i="21"/>
  <c r="H96" i="21"/>
  <c r="H95" i="21"/>
  <c r="H94" i="21"/>
  <c r="H93" i="21"/>
  <c r="H92" i="21"/>
  <c r="H91" i="21"/>
  <c r="H90" i="21"/>
  <c r="H89" i="21"/>
  <c r="H88" i="21"/>
  <c r="H99" i="21" s="1"/>
  <c r="H87" i="21"/>
  <c r="H86" i="21"/>
  <c r="D87" i="21"/>
  <c r="D88" i="21"/>
  <c r="D89" i="21"/>
  <c r="D90" i="21"/>
  <c r="D91" i="21"/>
  <c r="D92" i="21"/>
  <c r="D93" i="21"/>
  <c r="D94" i="21"/>
  <c r="D95" i="21"/>
  <c r="D96" i="21"/>
  <c r="D97" i="21"/>
  <c r="D86" i="21"/>
  <c r="AN72" i="21"/>
  <c r="AN71" i="21"/>
  <c r="AN70" i="21"/>
  <c r="AN69" i="21"/>
  <c r="AN68" i="21"/>
  <c r="AN67" i="21"/>
  <c r="AN66" i="21"/>
  <c r="AN65" i="21"/>
  <c r="AN64" i="21"/>
  <c r="AN63" i="21"/>
  <c r="AN62" i="21"/>
  <c r="AN61" i="21"/>
  <c r="AJ72" i="21"/>
  <c r="AJ71" i="21"/>
  <c r="AJ70" i="21"/>
  <c r="AJ69" i="21"/>
  <c r="AJ68" i="21"/>
  <c r="AJ67" i="21"/>
  <c r="AJ66" i="21"/>
  <c r="AJ65" i="21"/>
  <c r="AJ64" i="21"/>
  <c r="AJ63" i="21"/>
  <c r="AJ62" i="21"/>
  <c r="AJ61" i="21"/>
  <c r="AJ74" i="21" s="1"/>
  <c r="AF72" i="21"/>
  <c r="AF71" i="21"/>
  <c r="AF70" i="21"/>
  <c r="AF69" i="21"/>
  <c r="AF68" i="21"/>
  <c r="AF67" i="21"/>
  <c r="AF66" i="21"/>
  <c r="AF65" i="21"/>
  <c r="AF64" i="21"/>
  <c r="AF63" i="21"/>
  <c r="AF62" i="21"/>
  <c r="AF61" i="21"/>
  <c r="AF74" i="21" s="1"/>
  <c r="AB72" i="21"/>
  <c r="AB71" i="21"/>
  <c r="AB70" i="21"/>
  <c r="AB69" i="21"/>
  <c r="AB68" i="21"/>
  <c r="AB67" i="21"/>
  <c r="AB66" i="21"/>
  <c r="AB65" i="21"/>
  <c r="AB64" i="21"/>
  <c r="AB63" i="21"/>
  <c r="AB62" i="21"/>
  <c r="AB61" i="21"/>
  <c r="AB74" i="21" s="1"/>
  <c r="X72" i="21"/>
  <c r="X71" i="21"/>
  <c r="X70" i="21"/>
  <c r="X69" i="21"/>
  <c r="X68" i="21"/>
  <c r="X67" i="21"/>
  <c r="X66" i="21"/>
  <c r="X65" i="21"/>
  <c r="X64" i="21"/>
  <c r="X63" i="21"/>
  <c r="X62" i="21"/>
  <c r="X61" i="21"/>
  <c r="X74" i="21" s="1"/>
  <c r="T72" i="21"/>
  <c r="T71" i="21"/>
  <c r="T70" i="21"/>
  <c r="T69" i="21"/>
  <c r="T68" i="21"/>
  <c r="T67" i="21"/>
  <c r="T66" i="21"/>
  <c r="T65" i="21"/>
  <c r="T64" i="21"/>
  <c r="T63" i="21"/>
  <c r="T62" i="21"/>
  <c r="T61" i="21"/>
  <c r="T74" i="21" s="1"/>
  <c r="P72" i="21"/>
  <c r="P71" i="21"/>
  <c r="P70" i="21"/>
  <c r="P69" i="21"/>
  <c r="P68" i="21"/>
  <c r="P67" i="21"/>
  <c r="P66" i="21"/>
  <c r="P65" i="21"/>
  <c r="P64" i="21"/>
  <c r="P63" i="21"/>
  <c r="P62" i="21"/>
  <c r="P61" i="21"/>
  <c r="L72" i="21"/>
  <c r="L71" i="21"/>
  <c r="L70" i="21"/>
  <c r="L69" i="21"/>
  <c r="L68" i="21"/>
  <c r="L67" i="21"/>
  <c r="L66" i="21"/>
  <c r="L65" i="21"/>
  <c r="L64" i="21"/>
  <c r="L63" i="21"/>
  <c r="L62" i="21"/>
  <c r="L61" i="21"/>
  <c r="L74" i="21" s="1"/>
  <c r="H72" i="21"/>
  <c r="H71" i="21"/>
  <c r="H70" i="21"/>
  <c r="H69" i="21"/>
  <c r="H68" i="21"/>
  <c r="H67" i="21"/>
  <c r="H66" i="21"/>
  <c r="H65" i="21"/>
  <c r="H64" i="21"/>
  <c r="H63" i="21"/>
  <c r="H74" i="21" s="1"/>
  <c r="H62" i="21"/>
  <c r="H61" i="21"/>
  <c r="D72" i="21"/>
  <c r="D62" i="21"/>
  <c r="D63" i="21"/>
  <c r="D64" i="21"/>
  <c r="D65" i="21"/>
  <c r="D66" i="21"/>
  <c r="D67" i="21"/>
  <c r="D68" i="21"/>
  <c r="D69" i="21"/>
  <c r="D74" i="21" s="1"/>
  <c r="AC7" i="13" s="1"/>
  <c r="D70" i="21"/>
  <c r="D71" i="21"/>
  <c r="D61" i="21"/>
  <c r="AL174" i="21"/>
  <c r="AH174" i="21"/>
  <c r="AD174" i="21"/>
  <c r="Z174" i="21"/>
  <c r="V174" i="21"/>
  <c r="R174" i="21"/>
  <c r="N174" i="21"/>
  <c r="J174" i="21"/>
  <c r="H174" i="21"/>
  <c r="F174" i="21"/>
  <c r="B174" i="21"/>
  <c r="AL149" i="21"/>
  <c r="AH149" i="21"/>
  <c r="AF149" i="21"/>
  <c r="AD149" i="21"/>
  <c r="AB149" i="21"/>
  <c r="Z149" i="21"/>
  <c r="V149" i="21"/>
  <c r="R149" i="21"/>
  <c r="N149" i="21"/>
  <c r="J149" i="21"/>
  <c r="H149" i="21"/>
  <c r="F149" i="21"/>
  <c r="B149" i="21"/>
  <c r="AL124" i="21"/>
  <c r="AH124" i="21"/>
  <c r="AF124" i="21"/>
  <c r="AD124" i="21"/>
  <c r="Z124" i="21"/>
  <c r="X124" i="21"/>
  <c r="V124" i="21"/>
  <c r="T124" i="21"/>
  <c r="R124" i="21"/>
  <c r="N124" i="21"/>
  <c r="J124" i="21"/>
  <c r="F124" i="21"/>
  <c r="B124" i="21"/>
  <c r="AL99" i="21"/>
  <c r="AH99" i="21"/>
  <c r="AD99" i="21"/>
  <c r="AB99" i="21"/>
  <c r="Z99" i="21"/>
  <c r="V99" i="21"/>
  <c r="R99" i="21"/>
  <c r="N99" i="21"/>
  <c r="J99" i="21"/>
  <c r="F99" i="21"/>
  <c r="B99" i="21"/>
  <c r="AN74" i="21"/>
  <c r="AL74" i="21"/>
  <c r="AH74" i="21"/>
  <c r="AD74" i="21"/>
  <c r="Z74" i="21"/>
  <c r="V74" i="21"/>
  <c r="R74" i="21"/>
  <c r="P74" i="21"/>
  <c r="N74" i="21"/>
  <c r="J74" i="21"/>
  <c r="F74" i="21"/>
  <c r="B74" i="21"/>
  <c r="AL49" i="21"/>
  <c r="AH49" i="21"/>
  <c r="AD49" i="21"/>
  <c r="Z49" i="21"/>
  <c r="V49" i="21"/>
  <c r="R49" i="21"/>
  <c r="N49" i="21"/>
  <c r="J49" i="21"/>
  <c r="F49" i="21"/>
  <c r="B49" i="21"/>
  <c r="AN47" i="21"/>
  <c r="AN46" i="21"/>
  <c r="AN45" i="21"/>
  <c r="AN44" i="21"/>
  <c r="AN43" i="21"/>
  <c r="AN42" i="21"/>
  <c r="AN41" i="21"/>
  <c r="AN40" i="21"/>
  <c r="AN39" i="21"/>
  <c r="AN38" i="21"/>
  <c r="AN37" i="21"/>
  <c r="AN36" i="21"/>
  <c r="AJ47" i="21"/>
  <c r="AJ46" i="21"/>
  <c r="AJ45" i="21"/>
  <c r="AJ44" i="21"/>
  <c r="AJ43" i="21"/>
  <c r="AJ42" i="21"/>
  <c r="AJ41" i="21"/>
  <c r="AJ40" i="21"/>
  <c r="AJ39" i="21"/>
  <c r="AJ38" i="21"/>
  <c r="AJ37" i="21"/>
  <c r="AJ36" i="21"/>
  <c r="AF47" i="21"/>
  <c r="AF46" i="21"/>
  <c r="AF45" i="21"/>
  <c r="AF44" i="21"/>
  <c r="AF43" i="21"/>
  <c r="AF42" i="21"/>
  <c r="AF41" i="21"/>
  <c r="AF40" i="21"/>
  <c r="AF39" i="21"/>
  <c r="AF38" i="21"/>
  <c r="AF37" i="21"/>
  <c r="AF36" i="21"/>
  <c r="AB47" i="21"/>
  <c r="AB46" i="21"/>
  <c r="AB45" i="21"/>
  <c r="AB44" i="21"/>
  <c r="AB43" i="21"/>
  <c r="AB42" i="21"/>
  <c r="AB41" i="21"/>
  <c r="AB40" i="21"/>
  <c r="AB39" i="21"/>
  <c r="AB38" i="21"/>
  <c r="AB37" i="21"/>
  <c r="AB36" i="21"/>
  <c r="X47" i="21"/>
  <c r="X46" i="21"/>
  <c r="X45" i="21"/>
  <c r="X44" i="21"/>
  <c r="X43" i="21"/>
  <c r="X42" i="21"/>
  <c r="X41" i="21"/>
  <c r="X40" i="21"/>
  <c r="X39" i="21"/>
  <c r="X38" i="21"/>
  <c r="X37" i="21"/>
  <c r="X36" i="21"/>
  <c r="T47" i="21"/>
  <c r="T46" i="21"/>
  <c r="T45" i="21"/>
  <c r="T44" i="21"/>
  <c r="T43" i="21"/>
  <c r="T42" i="21"/>
  <c r="T41" i="21"/>
  <c r="T40" i="21"/>
  <c r="T39" i="21"/>
  <c r="T38" i="21"/>
  <c r="T37" i="21"/>
  <c r="T36" i="21"/>
  <c r="P47" i="21"/>
  <c r="P46" i="21"/>
  <c r="P45" i="21"/>
  <c r="P44" i="21"/>
  <c r="P43" i="21"/>
  <c r="P42" i="21"/>
  <c r="P41" i="21"/>
  <c r="P40" i="21"/>
  <c r="P39" i="21"/>
  <c r="P38" i="21"/>
  <c r="P37" i="21"/>
  <c r="P36" i="21"/>
  <c r="L47" i="21"/>
  <c r="L46" i="21"/>
  <c r="L45" i="21"/>
  <c r="L44" i="21"/>
  <c r="L43" i="21"/>
  <c r="L42" i="21"/>
  <c r="L41" i="21"/>
  <c r="L40" i="21"/>
  <c r="L39" i="21"/>
  <c r="L38" i="21"/>
  <c r="L37" i="21"/>
  <c r="L36" i="21"/>
  <c r="H47" i="21"/>
  <c r="H46" i="21"/>
  <c r="H45" i="21"/>
  <c r="H44" i="21"/>
  <c r="H43" i="21"/>
  <c r="H42" i="21"/>
  <c r="H41" i="21"/>
  <c r="H40" i="21"/>
  <c r="H39" i="21"/>
  <c r="H38" i="21"/>
  <c r="H37" i="21"/>
  <c r="H36" i="21"/>
  <c r="D37" i="21"/>
  <c r="D38" i="21"/>
  <c r="D39" i="21"/>
  <c r="D40" i="21"/>
  <c r="D41" i="21"/>
  <c r="D42" i="21"/>
  <c r="D43" i="21"/>
  <c r="D44" i="21"/>
  <c r="D45" i="21"/>
  <c r="D46" i="21"/>
  <c r="D47" i="21"/>
  <c r="D36" i="21"/>
  <c r="AL26" i="21"/>
  <c r="AH26" i="21"/>
  <c r="AD26" i="21"/>
  <c r="Z26" i="21"/>
  <c r="V26" i="21"/>
  <c r="R26" i="21"/>
  <c r="N26" i="21"/>
  <c r="J26" i="21"/>
  <c r="F26" i="21"/>
  <c r="B26" i="21"/>
  <c r="AL22" i="21"/>
  <c r="AL21" i="21"/>
  <c r="AL20" i="21"/>
  <c r="AL19" i="21"/>
  <c r="AL18" i="21"/>
  <c r="AL17" i="21"/>
  <c r="AL16" i="21"/>
  <c r="AL15" i="21"/>
  <c r="AL14" i="21"/>
  <c r="AL13" i="21"/>
  <c r="AL12" i="21"/>
  <c r="AL11" i="21"/>
  <c r="AH22" i="21"/>
  <c r="AH21" i="21"/>
  <c r="AH20" i="21"/>
  <c r="AH19" i="21"/>
  <c r="AH18" i="21"/>
  <c r="AH17" i="21"/>
  <c r="AH16" i="21"/>
  <c r="AH15" i="21"/>
  <c r="AH14" i="21"/>
  <c r="AH13" i="21"/>
  <c r="AH12" i="21"/>
  <c r="AH11" i="21"/>
  <c r="AD22" i="21"/>
  <c r="AD21" i="21"/>
  <c r="AD20" i="21"/>
  <c r="AD19" i="21"/>
  <c r="AD18" i="21"/>
  <c r="AD17" i="21"/>
  <c r="AD16" i="21"/>
  <c r="AD15" i="21"/>
  <c r="AD14" i="21"/>
  <c r="AD13" i="21"/>
  <c r="AD12" i="21"/>
  <c r="AD11" i="21"/>
  <c r="Z22" i="21"/>
  <c r="Z21" i="21"/>
  <c r="Z20" i="21"/>
  <c r="Z19" i="21"/>
  <c r="Z18" i="21"/>
  <c r="Z17" i="21"/>
  <c r="Z16" i="21"/>
  <c r="Z15" i="21"/>
  <c r="Z14" i="21"/>
  <c r="Z13" i="21"/>
  <c r="Z12" i="21"/>
  <c r="Z11" i="21"/>
  <c r="V22" i="21"/>
  <c r="V21" i="21"/>
  <c r="V20" i="21"/>
  <c r="V19" i="21"/>
  <c r="V18" i="21"/>
  <c r="V17" i="21"/>
  <c r="V16" i="21"/>
  <c r="V15" i="21"/>
  <c r="V14" i="21"/>
  <c r="V13" i="21"/>
  <c r="V12" i="21"/>
  <c r="V11" i="21"/>
  <c r="R22" i="21"/>
  <c r="R21" i="21"/>
  <c r="R20" i="21"/>
  <c r="R19" i="21"/>
  <c r="R18" i="21"/>
  <c r="R17" i="21"/>
  <c r="R16" i="21"/>
  <c r="R15" i="21"/>
  <c r="R14" i="21"/>
  <c r="R13" i="21"/>
  <c r="R12" i="21"/>
  <c r="R11" i="21"/>
  <c r="N22" i="21"/>
  <c r="N21" i="21"/>
  <c r="N20" i="21"/>
  <c r="N19" i="21"/>
  <c r="N18" i="21"/>
  <c r="N17" i="21"/>
  <c r="N16" i="21"/>
  <c r="N15" i="21"/>
  <c r="N14" i="21"/>
  <c r="N13" i="21"/>
  <c r="N12" i="21"/>
  <c r="N11" i="21"/>
  <c r="J22" i="21"/>
  <c r="J21" i="21"/>
  <c r="J20" i="21"/>
  <c r="J19" i="21"/>
  <c r="J18" i="21"/>
  <c r="J17" i="21"/>
  <c r="J16" i="21"/>
  <c r="J15" i="21"/>
  <c r="J14" i="21"/>
  <c r="J13" i="21"/>
  <c r="J12" i="21"/>
  <c r="J11" i="21"/>
  <c r="F22" i="21"/>
  <c r="F21" i="21"/>
  <c r="F20" i="21"/>
  <c r="F19" i="21"/>
  <c r="F18" i="21"/>
  <c r="F17" i="21"/>
  <c r="F16" i="21"/>
  <c r="F15" i="21"/>
  <c r="F14" i="21"/>
  <c r="F13" i="21"/>
  <c r="F12" i="21"/>
  <c r="F11" i="21"/>
  <c r="B12" i="21"/>
  <c r="B13" i="21"/>
  <c r="B14" i="21"/>
  <c r="B15" i="21"/>
  <c r="B16" i="21"/>
  <c r="B17" i="21"/>
  <c r="B18" i="21"/>
  <c r="B19" i="21"/>
  <c r="B20" i="21"/>
  <c r="B21" i="21"/>
  <c r="B22" i="21"/>
  <c r="B11" i="21"/>
  <c r="C55" i="4"/>
  <c r="C54" i="4"/>
  <c r="D99" i="21" l="1"/>
  <c r="BB7" i="13" s="1"/>
  <c r="BK15" i="13"/>
  <c r="AL15" i="13"/>
  <c r="D49" i="21"/>
  <c r="D7" i="13" s="1"/>
  <c r="D6" i="13"/>
  <c r="AC6" i="13" s="1"/>
  <c r="BB6" i="13" s="1"/>
  <c r="E6" i="13"/>
  <c r="AD6" i="13" s="1"/>
  <c r="BC6" i="13" s="1"/>
  <c r="F6" i="13"/>
  <c r="AE6" i="13" s="1"/>
  <c r="BD6" i="13" s="1"/>
  <c r="G6" i="13"/>
  <c r="AF6" i="13" s="1"/>
  <c r="BE6" i="13" s="1"/>
  <c r="H6" i="13"/>
  <c r="AG6" i="13" s="1"/>
  <c r="BF6" i="13" s="1"/>
  <c r="I6" i="13"/>
  <c r="AH6" i="13" s="1"/>
  <c r="BG6" i="13" s="1"/>
  <c r="J6" i="13"/>
  <c r="AI6" i="13" s="1"/>
  <c r="BH6" i="13" s="1"/>
  <c r="K6" i="13"/>
  <c r="AJ6" i="13" s="1"/>
  <c r="BI6" i="13" s="1"/>
  <c r="L6" i="13"/>
  <c r="AK6" i="13" s="1"/>
  <c r="BJ6" i="13" s="1"/>
  <c r="M6" i="13"/>
  <c r="AL6" i="13" s="1"/>
  <c r="BK6" i="13" s="1"/>
  <c r="C6" i="13"/>
  <c r="AB6" i="13" s="1"/>
  <c r="BA6" i="13" s="1"/>
  <c r="D5" i="13"/>
  <c r="E5" i="13"/>
  <c r="F5" i="13"/>
  <c r="AE5" i="13" s="1"/>
  <c r="G5" i="13"/>
  <c r="AF5" i="13" s="1"/>
  <c r="H5" i="13"/>
  <c r="AG5" i="13" s="1"/>
  <c r="I5" i="13"/>
  <c r="AH5" i="13" s="1"/>
  <c r="J5" i="13"/>
  <c r="K5" i="13"/>
  <c r="L5" i="13"/>
  <c r="M5" i="13"/>
  <c r="C5" i="13"/>
  <c r="AB5" i="13" s="1"/>
  <c r="BA5" i="13" s="1"/>
  <c r="D50" i="2"/>
  <c r="E50" i="2"/>
  <c r="F50" i="2"/>
  <c r="G50" i="2"/>
  <c r="H50" i="2"/>
  <c r="I50" i="2"/>
  <c r="J50" i="2"/>
  <c r="K50" i="2"/>
  <c r="L50" i="2"/>
  <c r="M50" i="2"/>
  <c r="C50" i="2"/>
  <c r="D49" i="2"/>
  <c r="E49" i="2"/>
  <c r="F49" i="2"/>
  <c r="G49" i="2"/>
  <c r="H49" i="2"/>
  <c r="I49" i="2"/>
  <c r="J49" i="2"/>
  <c r="K49" i="2"/>
  <c r="L49" i="2"/>
  <c r="M49" i="2"/>
  <c r="C49" i="2"/>
  <c r="H7" i="13"/>
  <c r="G7" i="13"/>
  <c r="E7" i="13"/>
  <c r="AN49" i="21"/>
  <c r="M7" i="13" s="1"/>
  <c r="AJ49" i="21"/>
  <c r="L7" i="13" s="1"/>
  <c r="AF49" i="21"/>
  <c r="K7" i="13" s="1"/>
  <c r="AB49" i="21"/>
  <c r="J7" i="13" s="1"/>
  <c r="X49" i="21"/>
  <c r="I7" i="13" s="1"/>
  <c r="T49" i="21"/>
  <c r="P49" i="21"/>
  <c r="L49" i="21"/>
  <c r="F7" i="13" s="1"/>
  <c r="H49" i="21"/>
  <c r="AN22" i="21"/>
  <c r="AN21" i="21"/>
  <c r="AN20" i="21"/>
  <c r="AN19" i="21"/>
  <c r="AN18" i="21"/>
  <c r="AN17" i="21"/>
  <c r="AN16" i="21"/>
  <c r="AN15" i="21"/>
  <c r="AN14" i="21"/>
  <c r="AN13" i="21"/>
  <c r="AN12" i="21"/>
  <c r="AN11" i="21"/>
  <c r="AJ22" i="21"/>
  <c r="AJ21" i="21"/>
  <c r="AJ20" i="21"/>
  <c r="AJ19" i="21"/>
  <c r="AJ18" i="21"/>
  <c r="AJ17" i="21"/>
  <c r="AJ16" i="21"/>
  <c r="AJ15" i="21"/>
  <c r="AJ14" i="21"/>
  <c r="AJ13" i="21"/>
  <c r="AJ12" i="21"/>
  <c r="AJ11" i="21"/>
  <c r="AF22" i="21"/>
  <c r="AF21" i="21"/>
  <c r="AF20" i="21"/>
  <c r="AF19" i="21"/>
  <c r="AF18" i="21"/>
  <c r="AF17" i="21"/>
  <c r="AF16" i="21"/>
  <c r="AF15" i="21"/>
  <c r="AF14" i="21"/>
  <c r="AF13" i="21"/>
  <c r="AF12" i="21"/>
  <c r="AF11" i="21"/>
  <c r="AB22" i="21"/>
  <c r="AB21" i="21"/>
  <c r="AB20" i="21"/>
  <c r="AB19" i="21"/>
  <c r="AB18" i="21"/>
  <c r="AB17" i="21"/>
  <c r="AB16" i="21"/>
  <c r="AB15" i="21"/>
  <c r="AB14" i="21"/>
  <c r="AB13" i="21"/>
  <c r="AB12" i="21"/>
  <c r="AB11" i="21"/>
  <c r="X22" i="21"/>
  <c r="X21" i="21"/>
  <c r="X20" i="21"/>
  <c r="X19" i="21"/>
  <c r="X18" i="21"/>
  <c r="X17" i="21"/>
  <c r="X16" i="21"/>
  <c r="X15" i="21"/>
  <c r="X14" i="21"/>
  <c r="X13" i="21"/>
  <c r="X12" i="21"/>
  <c r="X11" i="21"/>
  <c r="T22" i="21"/>
  <c r="T21" i="21"/>
  <c r="T20" i="21"/>
  <c r="T19" i="21"/>
  <c r="T18" i="21"/>
  <c r="T17" i="21"/>
  <c r="T16" i="21"/>
  <c r="T15" i="21"/>
  <c r="T14" i="21"/>
  <c r="T13" i="21"/>
  <c r="T12" i="21"/>
  <c r="T11" i="21"/>
  <c r="P22" i="21"/>
  <c r="P21" i="21"/>
  <c r="P20" i="21"/>
  <c r="P19" i="21"/>
  <c r="P18" i="21"/>
  <c r="P17" i="21"/>
  <c r="P16" i="21"/>
  <c r="P15" i="21"/>
  <c r="P14" i="21"/>
  <c r="P13" i="21"/>
  <c r="P12" i="21"/>
  <c r="P11" i="21"/>
  <c r="L22" i="21"/>
  <c r="L21" i="21"/>
  <c r="L20" i="21"/>
  <c r="L19" i="21"/>
  <c r="L18" i="21"/>
  <c r="L17" i="21"/>
  <c r="L16" i="21"/>
  <c r="L15" i="21"/>
  <c r="L14" i="21"/>
  <c r="L13" i="21"/>
  <c r="L12" i="21"/>
  <c r="L11" i="21"/>
  <c r="H22" i="21"/>
  <c r="H21" i="21"/>
  <c r="H20" i="21"/>
  <c r="H19" i="21"/>
  <c r="H18" i="21"/>
  <c r="H17" i="21"/>
  <c r="H16" i="21"/>
  <c r="H15" i="21"/>
  <c r="H14" i="21"/>
  <c r="H13" i="21"/>
  <c r="H12" i="21"/>
  <c r="H11" i="21"/>
  <c r="D12" i="21"/>
  <c r="D13" i="21"/>
  <c r="D14" i="21"/>
  <c r="D15" i="21"/>
  <c r="D16" i="21"/>
  <c r="D17" i="21"/>
  <c r="D18" i="21"/>
  <c r="D19" i="21"/>
  <c r="D20" i="21"/>
  <c r="D21" i="21"/>
  <c r="D22" i="21"/>
  <c r="D11" i="21"/>
  <c r="AL24" i="21"/>
  <c r="AN24" i="21" s="1"/>
  <c r="M7" i="2" s="1"/>
  <c r="AH24" i="21"/>
  <c r="AJ24" i="21" s="1"/>
  <c r="L7" i="2" s="1"/>
  <c r="AD24" i="21"/>
  <c r="AF24" i="21" s="1"/>
  <c r="K7" i="2" s="1"/>
  <c r="Z24" i="21"/>
  <c r="AB24" i="21" s="1"/>
  <c r="J7" i="2" s="1"/>
  <c r="V24" i="21"/>
  <c r="X24" i="21" s="1"/>
  <c r="I7" i="2" s="1"/>
  <c r="R24" i="21"/>
  <c r="T24" i="21" s="1"/>
  <c r="H7" i="2" s="1"/>
  <c r="N24" i="21"/>
  <c r="P24" i="21" s="1"/>
  <c r="G7" i="2" s="1"/>
  <c r="J24" i="21"/>
  <c r="L24" i="21" s="1"/>
  <c r="F7" i="2" s="1"/>
  <c r="F24" i="21"/>
  <c r="H24" i="21" s="1"/>
  <c r="E7" i="2" s="1"/>
  <c r="B24" i="21"/>
  <c r="D24" i="21" s="1"/>
  <c r="D7" i="2" s="1"/>
  <c r="BJ50" i="13" l="1"/>
  <c r="CI50" i="13" s="1"/>
  <c r="AK50" i="13"/>
  <c r="EG50" i="13"/>
  <c r="DH50" i="13"/>
  <c r="BI50" i="13"/>
  <c r="CH50" i="13" s="1"/>
  <c r="AJ50" i="13"/>
  <c r="EF50" i="13"/>
  <c r="DG50" i="13"/>
  <c r="EE50" i="13"/>
  <c r="DF50" i="13"/>
  <c r="BH50" i="13"/>
  <c r="CG50" i="13" s="1"/>
  <c r="AI50" i="13"/>
  <c r="BA49" i="13"/>
  <c r="AB49" i="13"/>
  <c r="DX49" i="13"/>
  <c r="ED50" i="13"/>
  <c r="DE50" i="13"/>
  <c r="BG50" i="13"/>
  <c r="CF50" i="13" s="1"/>
  <c r="AH50" i="13"/>
  <c r="BF50" i="13"/>
  <c r="CE50" i="13" s="1"/>
  <c r="AG50" i="13"/>
  <c r="EC50" i="13"/>
  <c r="DD50" i="13"/>
  <c r="BK50" i="13"/>
  <c r="CJ50" i="13" s="1"/>
  <c r="AL50" i="13"/>
  <c r="EH50" i="13"/>
  <c r="DI50" i="13"/>
  <c r="BD50" i="13"/>
  <c r="CC50" i="13" s="1"/>
  <c r="AE50" i="13"/>
  <c r="EA50" i="13"/>
  <c r="DB50" i="13"/>
  <c r="BC50" i="13"/>
  <c r="CB50" i="13" s="1"/>
  <c r="AD50" i="13"/>
  <c r="DZ50" i="13"/>
  <c r="DA50" i="13"/>
  <c r="BB50" i="13"/>
  <c r="CA50" i="13" s="1"/>
  <c r="AC50" i="13"/>
  <c r="DY50" i="13"/>
  <c r="CZ50" i="13"/>
  <c r="BE50" i="13"/>
  <c r="CD50" i="13" s="1"/>
  <c r="AF50" i="13"/>
  <c r="EB50" i="13"/>
  <c r="DC50" i="13"/>
  <c r="BA50" i="13"/>
  <c r="BZ50" i="13" s="1"/>
  <c r="AB50" i="13"/>
  <c r="DX50" i="13"/>
  <c r="CY50" i="13"/>
  <c r="AS2" i="13"/>
  <c r="AS16" i="13" s="1"/>
  <c r="BF5" i="13"/>
  <c r="BR2" i="13" s="1"/>
  <c r="BR16" i="13" s="1"/>
  <c r="AR2" i="13"/>
  <c r="AR16" i="13" s="1"/>
  <c r="BE5" i="13"/>
  <c r="BQ2" i="13" s="1"/>
  <c r="BQ16" i="13" s="1"/>
  <c r="AQ2" i="13"/>
  <c r="AQ16" i="13" s="1"/>
  <c r="BD5" i="13"/>
  <c r="BP2" i="13" s="1"/>
  <c r="BP16" i="13" s="1"/>
  <c r="AT2" i="13"/>
  <c r="AT16" i="13" s="1"/>
  <c r="BG5" i="13"/>
  <c r="BS2" i="13" s="1"/>
  <c r="BS16" i="13" s="1"/>
  <c r="Q2" i="13"/>
  <c r="AD5" i="13"/>
  <c r="W2" i="13"/>
  <c r="AJ5" i="13"/>
  <c r="V2" i="13"/>
  <c r="AI5" i="13"/>
  <c r="P2" i="13"/>
  <c r="AC5" i="13"/>
  <c r="X2" i="13"/>
  <c r="AK5" i="13"/>
  <c r="Y2" i="13"/>
  <c r="AL5" i="13"/>
  <c r="J50" i="13"/>
  <c r="H50" i="13"/>
  <c r="F50" i="13"/>
  <c r="U2" i="13"/>
  <c r="S2" i="13"/>
  <c r="I50" i="13"/>
  <c r="T2" i="13"/>
  <c r="G50" i="13"/>
  <c r="R2" i="13"/>
  <c r="E50" i="13"/>
  <c r="D50" i="13"/>
  <c r="M50" i="13"/>
  <c r="L50" i="13"/>
  <c r="K50" i="13"/>
  <c r="E12" i="13"/>
  <c r="F12" i="13"/>
  <c r="G12" i="13"/>
  <c r="H12" i="13"/>
  <c r="I12" i="13"/>
  <c r="J12" i="13"/>
  <c r="J12" i="2" s="1"/>
  <c r="K12" i="13"/>
  <c r="L12" i="13"/>
  <c r="M12" i="13"/>
  <c r="D12" i="13"/>
  <c r="E11" i="13"/>
  <c r="F11" i="13"/>
  <c r="G11" i="13"/>
  <c r="H11" i="13"/>
  <c r="I11" i="13"/>
  <c r="J11" i="13"/>
  <c r="K11" i="13"/>
  <c r="L11" i="13"/>
  <c r="M11" i="13"/>
  <c r="D11" i="13"/>
  <c r="E10" i="13"/>
  <c r="F10" i="13"/>
  <c r="G10" i="13"/>
  <c r="H10" i="13"/>
  <c r="I10" i="13"/>
  <c r="J10" i="13"/>
  <c r="K10" i="13"/>
  <c r="L10" i="13"/>
  <c r="M10" i="13"/>
  <c r="D10" i="13"/>
  <c r="E9" i="13"/>
  <c r="AD15" i="2" s="1"/>
  <c r="AD8" i="2" s="1"/>
  <c r="F9" i="13"/>
  <c r="AE15" i="2" s="1"/>
  <c r="AE8" i="2" s="1"/>
  <c r="G9" i="13"/>
  <c r="AF15" i="2" s="1"/>
  <c r="AF8" i="2" s="1"/>
  <c r="H9" i="13"/>
  <c r="AG15" i="2" s="1"/>
  <c r="AG8" i="2" s="1"/>
  <c r="I9" i="13"/>
  <c r="AH15" i="2" s="1"/>
  <c r="AH8" i="2" s="1"/>
  <c r="J9" i="13"/>
  <c r="AI15" i="2" s="1"/>
  <c r="AI8" i="2" s="1"/>
  <c r="K9" i="13"/>
  <c r="AJ15" i="2" s="1"/>
  <c r="AJ8" i="2" s="1"/>
  <c r="L9" i="13"/>
  <c r="AK15" i="2" s="1"/>
  <c r="AK8" i="2" s="1"/>
  <c r="M9" i="13"/>
  <c r="AL15" i="2" s="1"/>
  <c r="AL8" i="2" s="1"/>
  <c r="D9" i="13"/>
  <c r="AC15" i="2" s="1"/>
  <c r="AC8" i="2" s="1"/>
  <c r="C8" i="4"/>
  <c r="C65" i="4"/>
  <c r="C64" i="4"/>
  <c r="O69" i="13"/>
  <c r="O68" i="13"/>
  <c r="O67" i="13"/>
  <c r="O65" i="13"/>
  <c r="O61" i="13"/>
  <c r="O60" i="13"/>
  <c r="O59" i="13"/>
  <c r="O57" i="13"/>
  <c r="O45" i="13"/>
  <c r="O53" i="13" s="1"/>
  <c r="O44" i="13"/>
  <c r="O52" i="13" s="1"/>
  <c r="O43" i="13"/>
  <c r="O51" i="13" s="1"/>
  <c r="O41" i="13"/>
  <c r="O49" i="13" s="1"/>
  <c r="O43" i="2"/>
  <c r="O51" i="2" s="1"/>
  <c r="O44" i="2"/>
  <c r="O52" i="2" s="1"/>
  <c r="O45" i="2"/>
  <c r="O53" i="2" s="1"/>
  <c r="O41" i="2"/>
  <c r="O49" i="2" s="1"/>
  <c r="M28" i="11"/>
  <c r="AU2" i="13" l="1"/>
  <c r="AU16" i="13" s="1"/>
  <c r="BH5" i="13"/>
  <c r="BT2" i="13" s="1"/>
  <c r="BT16" i="13" s="1"/>
  <c r="AP2" i="13"/>
  <c r="AP16" i="13" s="1"/>
  <c r="BC5" i="13"/>
  <c r="BO2" i="13" s="1"/>
  <c r="BO16" i="13" s="1"/>
  <c r="AV2" i="13"/>
  <c r="AV16" i="13" s="1"/>
  <c r="BI5" i="13"/>
  <c r="BU2" i="13" s="1"/>
  <c r="BU16" i="13" s="1"/>
  <c r="AW2" i="13"/>
  <c r="AW16" i="13" s="1"/>
  <c r="BJ5" i="13"/>
  <c r="BV2" i="13" s="1"/>
  <c r="BV16" i="13" s="1"/>
  <c r="AO2" i="13"/>
  <c r="AO16" i="13" s="1"/>
  <c r="BB5" i="13"/>
  <c r="BN2" i="13" s="1"/>
  <c r="BN16" i="13" s="1"/>
  <c r="AX2" i="13"/>
  <c r="AX16" i="13" s="1"/>
  <c r="BK5" i="13"/>
  <c r="BW2" i="13" s="1"/>
  <c r="BW16" i="13" s="1"/>
  <c r="V36" i="13"/>
  <c r="AI16" i="2"/>
  <c r="AI9" i="2" s="1"/>
  <c r="T35" i="13"/>
  <c r="AG16" i="2"/>
  <c r="AG9" i="2" s="1"/>
  <c r="S37" i="13"/>
  <c r="AF16" i="2"/>
  <c r="AF9" i="2" s="1"/>
  <c r="R35" i="13"/>
  <c r="AE16" i="2"/>
  <c r="AE9" i="2" s="1"/>
  <c r="Q36" i="13"/>
  <c r="AD16" i="2"/>
  <c r="AD9" i="2" s="1"/>
  <c r="U36" i="13"/>
  <c r="AH16" i="2"/>
  <c r="AH9" i="2" s="1"/>
  <c r="P35" i="13"/>
  <c r="AC16" i="2"/>
  <c r="AC9" i="2" s="1"/>
  <c r="W34" i="13"/>
  <c r="AJ16" i="2"/>
  <c r="AJ9" i="2" s="1"/>
  <c r="Y35" i="13"/>
  <c r="AL16" i="2"/>
  <c r="AL9" i="2" s="1"/>
  <c r="X36" i="13"/>
  <c r="AK16" i="2"/>
  <c r="AK9" i="2" s="1"/>
  <c r="Q33" i="13"/>
  <c r="Q37" i="13"/>
  <c r="T37" i="13"/>
  <c r="G11" i="2"/>
  <c r="E12" i="2"/>
  <c r="Q35" i="13"/>
  <c r="V35" i="13"/>
  <c r="S35" i="13"/>
  <c r="K11" i="2"/>
  <c r="I12" i="2"/>
  <c r="I11" i="2"/>
  <c r="G12" i="2"/>
  <c r="R36" i="13"/>
  <c r="H12" i="2"/>
  <c r="Y34" i="13"/>
  <c r="E11" i="2"/>
  <c r="D12" i="2"/>
  <c r="Y36" i="13"/>
  <c r="D11" i="2"/>
  <c r="L12" i="2"/>
  <c r="M11" i="2"/>
  <c r="K12" i="2"/>
  <c r="L11" i="2"/>
  <c r="H11" i="2"/>
  <c r="M12" i="2"/>
  <c r="P37" i="13"/>
  <c r="J11" i="2"/>
  <c r="U37" i="13"/>
  <c r="U35" i="13"/>
  <c r="S33" i="13"/>
  <c r="S36" i="13"/>
  <c r="X37" i="13"/>
  <c r="V37" i="13"/>
  <c r="U33" i="13"/>
  <c r="T36" i="13"/>
  <c r="V33" i="13"/>
  <c r="X35" i="13"/>
  <c r="W37" i="13"/>
  <c r="X33" i="13"/>
  <c r="X34" i="13"/>
  <c r="T33" i="13"/>
  <c r="W36" i="13"/>
  <c r="Y37" i="13"/>
  <c r="W33" i="13"/>
  <c r="W35" i="13"/>
  <c r="Y33" i="13"/>
  <c r="R37" i="13"/>
  <c r="R33" i="13"/>
  <c r="P36" i="13"/>
  <c r="P33" i="13"/>
  <c r="T34" i="13"/>
  <c r="P34" i="13"/>
  <c r="O66" i="13"/>
  <c r="R34" i="13"/>
  <c r="O42" i="13"/>
  <c r="O50" i="13" s="1"/>
  <c r="U34" i="13"/>
  <c r="O58" i="13"/>
  <c r="S34" i="13"/>
  <c r="V34" i="13"/>
  <c r="Q34" i="13"/>
  <c r="C50" i="13" l="1"/>
  <c r="C49" i="13"/>
  <c r="O19" i="13"/>
  <c r="O20" i="13" s="1"/>
  <c r="O21" i="13" s="1"/>
  <c r="O22" i="13" s="1"/>
  <c r="O23" i="13" s="1"/>
  <c r="O24" i="13" s="1"/>
  <c r="O25" i="13" s="1"/>
  <c r="O26" i="13" s="1"/>
  <c r="O27" i="13" s="1"/>
  <c r="O28" i="13" s="1"/>
  <c r="O29" i="13" s="1"/>
  <c r="O5" i="13"/>
  <c r="O6" i="13" s="1"/>
  <c r="O7" i="13" s="1"/>
  <c r="O8" i="13" s="1"/>
  <c r="O9" i="13" s="1"/>
  <c r="O10" i="13" s="1"/>
  <c r="O11" i="13" s="1"/>
  <c r="O12" i="13" s="1"/>
  <c r="O13" i="13" s="1"/>
  <c r="O14" i="13" s="1"/>
  <c r="O15" i="13" s="1"/>
  <c r="B3" i="13"/>
  <c r="CY5" i="13"/>
  <c r="DH5" i="13"/>
  <c r="DT2" i="13" s="1"/>
  <c r="DT16" i="13" s="1"/>
  <c r="CY6" i="13"/>
  <c r="CZ6" i="13"/>
  <c r="DA6" i="13"/>
  <c r="DB6" i="13"/>
  <c r="DC6" i="13"/>
  <c r="DD6" i="13"/>
  <c r="DE6" i="13"/>
  <c r="DF6" i="13"/>
  <c r="DG6" i="13"/>
  <c r="DH6" i="13"/>
  <c r="DI6" i="13"/>
  <c r="DI5" i="13" l="1"/>
  <c r="DU2" i="13" s="1"/>
  <c r="DU16" i="13" s="1"/>
  <c r="DB5" i="13"/>
  <c r="DN2" i="13" s="1"/>
  <c r="DN16" i="13" s="1"/>
  <c r="DA5" i="13"/>
  <c r="DM2" i="13" s="1"/>
  <c r="DM16" i="13" s="1"/>
  <c r="DD5" i="13"/>
  <c r="DP2" i="13" s="1"/>
  <c r="DP16" i="13" s="1"/>
  <c r="DE5" i="13"/>
  <c r="DQ2" i="13" s="1"/>
  <c r="DQ16" i="13" s="1"/>
  <c r="DF5" i="13"/>
  <c r="DR2" i="13" s="1"/>
  <c r="DR16" i="13" s="1"/>
  <c r="DG5" i="13"/>
  <c r="DS2" i="13" s="1"/>
  <c r="DS16" i="13" s="1"/>
  <c r="O61" i="2"/>
  <c r="O60" i="2"/>
  <c r="O59" i="2"/>
  <c r="O57" i="2"/>
  <c r="O65" i="2"/>
  <c r="O67" i="2"/>
  <c r="O68" i="2"/>
  <c r="O69" i="2"/>
  <c r="F49" i="4"/>
  <c r="F48" i="4"/>
  <c r="F47" i="4"/>
  <c r="F46" i="4"/>
  <c r="F45" i="4"/>
  <c r="F44" i="4"/>
  <c r="C30" i="11"/>
  <c r="F5" i="4" s="1"/>
  <c r="C42" i="11"/>
  <c r="F6" i="4" s="1"/>
  <c r="C55" i="11"/>
  <c r="F7" i="4" s="1"/>
  <c r="C64" i="11"/>
  <c r="F8" i="4" s="1"/>
  <c r="C75" i="11"/>
  <c r="F9" i="4" s="1"/>
  <c r="C49" i="4"/>
  <c r="C7" i="4" s="1"/>
  <c r="R25" i="11"/>
  <c r="C53" i="4"/>
  <c r="C52" i="4"/>
  <c r="C39" i="4"/>
  <c r="C5" i="4" s="1"/>
  <c r="B67" i="11"/>
  <c r="B58" i="11"/>
  <c r="B45" i="11"/>
  <c r="B33" i="11"/>
  <c r="B20" i="11"/>
  <c r="B3" i="11"/>
  <c r="B30" i="4"/>
  <c r="CA13" i="13" l="1"/>
  <c r="CB13" i="13" s="1"/>
  <c r="DY13" i="13"/>
  <c r="DZ13" i="13" s="1"/>
  <c r="CZ13" i="13"/>
  <c r="DA13" i="13" s="1"/>
  <c r="AF24" i="13"/>
  <c r="AG24" i="13"/>
  <c r="AH24" i="13"/>
  <c r="AI24" i="13"/>
  <c r="AJ24" i="13"/>
  <c r="AK24" i="13"/>
  <c r="AC13" i="13"/>
  <c r="AL24" i="13"/>
  <c r="AD24" i="13"/>
  <c r="AE24" i="13"/>
  <c r="BC24" i="13"/>
  <c r="BD24" i="13"/>
  <c r="BE24" i="13"/>
  <c r="BF24" i="13"/>
  <c r="BG24" i="13"/>
  <c r="BB13" i="13"/>
  <c r="BH24" i="13"/>
  <c r="BI24" i="13"/>
  <c r="BJ24" i="13"/>
  <c r="BK24" i="13"/>
  <c r="CZ5" i="13"/>
  <c r="DL2" i="13" s="1"/>
  <c r="DL16" i="13" s="1"/>
  <c r="DC5" i="13"/>
  <c r="DO2" i="13" s="1"/>
  <c r="DO16" i="13" s="1"/>
  <c r="X16" i="13"/>
  <c r="X32" i="13" s="1"/>
  <c r="X40" i="13" s="1"/>
  <c r="X48" i="13" s="1"/>
  <c r="X56" i="13" s="1"/>
  <c r="S25" i="11"/>
  <c r="T25" i="11" s="1"/>
  <c r="U25" i="11" s="1"/>
  <c r="V25" i="11" s="1"/>
  <c r="U16" i="13"/>
  <c r="U32" i="13" s="1"/>
  <c r="U40" i="13" s="1"/>
  <c r="U48" i="13" s="1"/>
  <c r="U56" i="13" s="1"/>
  <c r="T16" i="13"/>
  <c r="T32" i="13" s="1"/>
  <c r="T40" i="13" s="1"/>
  <c r="T48" i="13" s="1"/>
  <c r="T56" i="13" s="1"/>
  <c r="F50" i="4"/>
  <c r="H75" i="11"/>
  <c r="H64" i="11"/>
  <c r="H55" i="11"/>
  <c r="H30" i="11"/>
  <c r="G42" i="11"/>
  <c r="G15" i="4"/>
  <c r="G65" i="4" s="1"/>
  <c r="G16" i="4"/>
  <c r="G66" i="4" s="1"/>
  <c r="C59" i="4"/>
  <c r="C56" i="4"/>
  <c r="I16" i="4"/>
  <c r="K20" i="11"/>
  <c r="H42" i="11"/>
  <c r="G75" i="11"/>
  <c r="G30" i="11"/>
  <c r="G64" i="11"/>
  <c r="G55" i="11"/>
  <c r="F39" i="4"/>
  <c r="F38" i="4"/>
  <c r="F37" i="4"/>
  <c r="F36" i="4"/>
  <c r="F35" i="4"/>
  <c r="F34" i="4"/>
  <c r="CZ14" i="13" l="1"/>
  <c r="CA14" i="13"/>
  <c r="AC35" i="2" s="1"/>
  <c r="DY14" i="13"/>
  <c r="DB13" i="13"/>
  <c r="DA14" i="13"/>
  <c r="BC13" i="13"/>
  <c r="BB14" i="13"/>
  <c r="AC41" i="2"/>
  <c r="DM5" i="13"/>
  <c r="DN5" i="13" s="1"/>
  <c r="DO5" i="13" s="1"/>
  <c r="DP5" i="13" s="1"/>
  <c r="DQ5" i="13" s="1"/>
  <c r="DR5" i="13" s="1"/>
  <c r="DS5" i="13" s="1"/>
  <c r="DT5" i="13" s="1"/>
  <c r="DU5" i="13" s="1"/>
  <c r="CZ16" i="13"/>
  <c r="EA13" i="13"/>
  <c r="DZ14" i="13"/>
  <c r="AD13" i="13"/>
  <c r="AC14" i="13"/>
  <c r="CC13" i="13"/>
  <c r="CB14" i="13"/>
  <c r="AC47" i="2"/>
  <c r="DY16" i="13"/>
  <c r="EL5" i="13"/>
  <c r="EM5" i="13" s="1"/>
  <c r="EN5" i="13" s="1"/>
  <c r="EO5" i="13" s="1"/>
  <c r="EP5" i="13" s="1"/>
  <c r="EQ5" i="13" s="1"/>
  <c r="ER5" i="13" s="1"/>
  <c r="ES5" i="13" s="1"/>
  <c r="ET5" i="13" s="1"/>
  <c r="G70" i="4"/>
  <c r="I20" i="4"/>
  <c r="I66" i="4"/>
  <c r="I70" i="4" s="1"/>
  <c r="M29" i="11"/>
  <c r="C60" i="4" s="1"/>
  <c r="C61" i="4" s="1"/>
  <c r="H15" i="4" s="1"/>
  <c r="H65" i="4" s="1"/>
  <c r="H70" i="4" s="1"/>
  <c r="V16" i="13"/>
  <c r="V32" i="13" s="1"/>
  <c r="V40" i="13" s="1"/>
  <c r="V48" i="13" s="1"/>
  <c r="V56" i="13" s="1"/>
  <c r="R16" i="13"/>
  <c r="R32" i="13" s="1"/>
  <c r="R40" i="13" s="1"/>
  <c r="R48" i="13" s="1"/>
  <c r="R56" i="13" s="1"/>
  <c r="Y16" i="13"/>
  <c r="Y32" i="13" s="1"/>
  <c r="Y40" i="13" s="1"/>
  <c r="Y48" i="13" s="1"/>
  <c r="Y56" i="13" s="1"/>
  <c r="Q16" i="13"/>
  <c r="Q32" i="13" s="1"/>
  <c r="Q40" i="13" s="1"/>
  <c r="Q48" i="13" s="1"/>
  <c r="Q56" i="13" s="1"/>
  <c r="G20" i="4"/>
  <c r="F40" i="4"/>
  <c r="CA16" i="13" l="1"/>
  <c r="CN5" i="13"/>
  <c r="CO5" i="13" s="1"/>
  <c r="CP5" i="13" s="1"/>
  <c r="CQ5" i="13" s="1"/>
  <c r="CR5" i="13" s="1"/>
  <c r="CS5" i="13" s="1"/>
  <c r="CT5" i="13" s="1"/>
  <c r="CU5" i="13" s="1"/>
  <c r="CV5" i="13" s="1"/>
  <c r="AE13" i="13"/>
  <c r="AD14" i="13"/>
  <c r="DZ16" i="13"/>
  <c r="EM6" i="13"/>
  <c r="EN6" i="13" s="1"/>
  <c r="EO6" i="13" s="1"/>
  <c r="EP6" i="13" s="1"/>
  <c r="EQ6" i="13" s="1"/>
  <c r="ER6" i="13" s="1"/>
  <c r="ES6" i="13" s="1"/>
  <c r="ET6" i="13" s="1"/>
  <c r="AD47" i="2"/>
  <c r="EB13" i="13"/>
  <c r="EA14" i="13"/>
  <c r="DC13" i="13"/>
  <c r="DB14" i="13"/>
  <c r="AP5" i="13"/>
  <c r="AQ5" i="13" s="1"/>
  <c r="AR5" i="13" s="1"/>
  <c r="AS5" i="13" s="1"/>
  <c r="AT5" i="13" s="1"/>
  <c r="AU5" i="13" s="1"/>
  <c r="AV5" i="13" s="1"/>
  <c r="AW5" i="13" s="1"/>
  <c r="AX5" i="13" s="1"/>
  <c r="AC23" i="2"/>
  <c r="AC16" i="13"/>
  <c r="AC29" i="2"/>
  <c r="BO5" i="13"/>
  <c r="BB16" i="13"/>
  <c r="CB16" i="13"/>
  <c r="AD35" i="2"/>
  <c r="CO6" i="13"/>
  <c r="CP6" i="13" s="1"/>
  <c r="CQ6" i="13" s="1"/>
  <c r="CR6" i="13" s="1"/>
  <c r="CS6" i="13" s="1"/>
  <c r="CT6" i="13" s="1"/>
  <c r="CU6" i="13" s="1"/>
  <c r="CV6" i="13" s="1"/>
  <c r="BD13" i="13"/>
  <c r="BC14" i="13"/>
  <c r="CD13" i="13"/>
  <c r="CC14" i="13"/>
  <c r="DA16" i="13"/>
  <c r="DN6" i="13"/>
  <c r="DO6" i="13" s="1"/>
  <c r="DP6" i="13" s="1"/>
  <c r="DQ6" i="13" s="1"/>
  <c r="DR6" i="13" s="1"/>
  <c r="DS6" i="13" s="1"/>
  <c r="DT6" i="13" s="1"/>
  <c r="DU6" i="13" s="1"/>
  <c r="AD41" i="2"/>
  <c r="M30" i="11"/>
  <c r="H20" i="4"/>
  <c r="P16" i="13"/>
  <c r="P32" i="13" s="1"/>
  <c r="P40" i="13" s="1"/>
  <c r="P48" i="13" s="1"/>
  <c r="P56" i="13" s="1"/>
  <c r="P64" i="13" s="1"/>
  <c r="S16" i="13"/>
  <c r="S32" i="13" s="1"/>
  <c r="S40" i="13" s="1"/>
  <c r="S48" i="13" s="1"/>
  <c r="S56" i="13" s="1"/>
  <c r="W16" i="13"/>
  <c r="W32" i="13" s="1"/>
  <c r="W40" i="13" s="1"/>
  <c r="W48" i="13" s="1"/>
  <c r="W56" i="13" s="1"/>
  <c r="C6" i="4"/>
  <c r="Q2" i="2"/>
  <c r="Q16" i="2" s="1"/>
  <c r="Q32" i="2" s="1"/>
  <c r="Q40" i="2" s="1"/>
  <c r="Q48" i="2" s="1"/>
  <c r="Q56" i="2" s="1"/>
  <c r="Q64" i="2" s="1"/>
  <c r="R2" i="2"/>
  <c r="R16" i="2" s="1"/>
  <c r="R32" i="2" s="1"/>
  <c r="R40" i="2" s="1"/>
  <c r="R48" i="2" s="1"/>
  <c r="R56" i="2" s="1"/>
  <c r="R64" i="2" s="1"/>
  <c r="S2" i="2"/>
  <c r="S16" i="2" s="1"/>
  <c r="S32" i="2" s="1"/>
  <c r="S40" i="2" s="1"/>
  <c r="S48" i="2" s="1"/>
  <c r="S56" i="2" s="1"/>
  <c r="S64" i="2" s="1"/>
  <c r="T2" i="2"/>
  <c r="T16" i="2" s="1"/>
  <c r="T32" i="2" s="1"/>
  <c r="T40" i="2" s="1"/>
  <c r="T48" i="2" s="1"/>
  <c r="T56" i="2" s="1"/>
  <c r="T64" i="2" s="1"/>
  <c r="U2" i="2"/>
  <c r="U16" i="2" s="1"/>
  <c r="U32" i="2" s="1"/>
  <c r="U40" i="2" s="1"/>
  <c r="U48" i="2" s="1"/>
  <c r="U56" i="2" s="1"/>
  <c r="U64" i="2" s="1"/>
  <c r="V2" i="2"/>
  <c r="V16" i="2" s="1"/>
  <c r="V32" i="2" s="1"/>
  <c r="V40" i="2" s="1"/>
  <c r="V48" i="2" s="1"/>
  <c r="V56" i="2" s="1"/>
  <c r="V64" i="2" s="1"/>
  <c r="W2" i="2"/>
  <c r="W16" i="2" s="1"/>
  <c r="W32" i="2" s="1"/>
  <c r="W40" i="2" s="1"/>
  <c r="W48" i="2" s="1"/>
  <c r="W56" i="2" s="1"/>
  <c r="W64" i="2" s="1"/>
  <c r="X2" i="2"/>
  <c r="X16" i="2" s="1"/>
  <c r="X32" i="2" s="1"/>
  <c r="X40" i="2" s="1"/>
  <c r="X48" i="2" s="1"/>
  <c r="X56" i="2" s="1"/>
  <c r="X64" i="2" s="1"/>
  <c r="Y2" i="2"/>
  <c r="Y16" i="2" s="1"/>
  <c r="Y32" i="2" s="1"/>
  <c r="Y40" i="2" s="1"/>
  <c r="Y48" i="2" s="1"/>
  <c r="Y56" i="2" s="1"/>
  <c r="Y64" i="2" s="1"/>
  <c r="P2" i="2"/>
  <c r="P16" i="2" s="1"/>
  <c r="P32" i="2" s="1"/>
  <c r="P40" i="2" s="1"/>
  <c r="P48" i="2" s="1"/>
  <c r="P56" i="2" s="1"/>
  <c r="P64" i="2" s="1"/>
  <c r="O19" i="2"/>
  <c r="O20" i="2" s="1"/>
  <c r="O21" i="2" s="1"/>
  <c r="O22" i="2" s="1"/>
  <c r="O23" i="2" s="1"/>
  <c r="O24" i="2" s="1"/>
  <c r="O25" i="2" s="1"/>
  <c r="O26" i="2" s="1"/>
  <c r="O27" i="2" s="1"/>
  <c r="O28" i="2" s="1"/>
  <c r="O29" i="2" s="1"/>
  <c r="O5" i="2"/>
  <c r="O6" i="2" s="1"/>
  <c r="O7" i="2" s="1"/>
  <c r="O8" i="2" s="1"/>
  <c r="O9" i="2" s="1"/>
  <c r="O10" i="2" s="1"/>
  <c r="O11" i="2" s="1"/>
  <c r="O12" i="2" s="1"/>
  <c r="O13" i="2" s="1"/>
  <c r="O14" i="2" s="1"/>
  <c r="O15" i="2" s="1"/>
  <c r="H4" i="4"/>
  <c r="H5" i="4"/>
  <c r="H6" i="4"/>
  <c r="E29" i="4"/>
  <c r="E39" i="4" s="1"/>
  <c r="E49" i="4" s="1"/>
  <c r="E26" i="4"/>
  <c r="E36" i="4" s="1"/>
  <c r="E46" i="4" s="1"/>
  <c r="E27" i="4"/>
  <c r="E37" i="4" s="1"/>
  <c r="E47" i="4" s="1"/>
  <c r="E28" i="4"/>
  <c r="E38" i="4" s="1"/>
  <c r="E48" i="4" s="1"/>
  <c r="E25" i="4"/>
  <c r="E35" i="4" s="1"/>
  <c r="E45" i="4" s="1"/>
  <c r="E24" i="4"/>
  <c r="E34" i="4" s="1"/>
  <c r="E44" i="4" s="1"/>
  <c r="H8" i="4"/>
  <c r="H9" i="4"/>
  <c r="H7" i="4"/>
  <c r="BP6" i="13" l="1"/>
  <c r="BQ6" i="13" s="1"/>
  <c r="BR6" i="13" s="1"/>
  <c r="BS6" i="13" s="1"/>
  <c r="BT6" i="13" s="1"/>
  <c r="BU6" i="13" s="1"/>
  <c r="BV6" i="13" s="1"/>
  <c r="BW6" i="13" s="1"/>
  <c r="BC16" i="13"/>
  <c r="BO6" i="13"/>
  <c r="AD29" i="2"/>
  <c r="DB16" i="13"/>
  <c r="DO7" i="13"/>
  <c r="DP7" i="13" s="1"/>
  <c r="DQ7" i="13" s="1"/>
  <c r="DR7" i="13" s="1"/>
  <c r="DS7" i="13" s="1"/>
  <c r="DT7" i="13" s="1"/>
  <c r="DU7" i="13" s="1"/>
  <c r="AE41" i="2"/>
  <c r="CE13" i="13"/>
  <c r="CD14" i="13"/>
  <c r="DD13" i="13"/>
  <c r="DC14" i="13"/>
  <c r="BE13" i="13"/>
  <c r="BD14" i="13"/>
  <c r="AE47" i="2"/>
  <c r="EA16" i="13"/>
  <c r="EN7" i="13"/>
  <c r="EO7" i="13" s="1"/>
  <c r="EP7" i="13" s="1"/>
  <c r="EQ7" i="13" s="1"/>
  <c r="ER7" i="13" s="1"/>
  <c r="ES7" i="13" s="1"/>
  <c r="ET7" i="13" s="1"/>
  <c r="EB14" i="13"/>
  <c r="EC13" i="13"/>
  <c r="BP5" i="13"/>
  <c r="CP7" i="13"/>
  <c r="CQ7" i="13" s="1"/>
  <c r="CR7" i="13" s="1"/>
  <c r="CS7" i="13" s="1"/>
  <c r="CT7" i="13" s="1"/>
  <c r="CU7" i="13" s="1"/>
  <c r="CV7" i="13" s="1"/>
  <c r="AE35" i="2"/>
  <c r="CC16" i="13"/>
  <c r="AD16" i="13"/>
  <c r="AD23" i="2"/>
  <c r="AQ6" i="13"/>
  <c r="AR6" i="13" s="1"/>
  <c r="AS6" i="13" s="1"/>
  <c r="AT6" i="13" s="1"/>
  <c r="AU6" i="13" s="1"/>
  <c r="AV6" i="13" s="1"/>
  <c r="AW6" i="13" s="1"/>
  <c r="AX6" i="13" s="1"/>
  <c r="AP6" i="13"/>
  <c r="AF13" i="13"/>
  <c r="AE14" i="13"/>
  <c r="F57" i="4"/>
  <c r="F55" i="4"/>
  <c r="F56" i="4"/>
  <c r="F58" i="4"/>
  <c r="F59" i="4"/>
  <c r="F54" i="4"/>
  <c r="L6" i="4"/>
  <c r="G36" i="4" s="1"/>
  <c r="H36" i="4" s="1"/>
  <c r="H10" i="4"/>
  <c r="C9" i="8"/>
  <c r="C12" i="8"/>
  <c r="B13" i="8"/>
  <c r="E14" i="8"/>
  <c r="F92" i="8" s="1"/>
  <c r="H14" i="8"/>
  <c r="E15" i="8"/>
  <c r="E16" i="8"/>
  <c r="F37" i="8"/>
  <c r="B57" i="8"/>
  <c r="H58" i="8"/>
  <c r="H59" i="8" s="1"/>
  <c r="D59" i="8"/>
  <c r="E58" i="8" s="1"/>
  <c r="C89" i="8" s="1"/>
  <c r="F59" i="8"/>
  <c r="D60" i="8"/>
  <c r="E59" i="8" s="1"/>
  <c r="C110" i="8" s="1"/>
  <c r="B117" i="8" s="1"/>
  <c r="F60" i="8"/>
  <c r="D61" i="8"/>
  <c r="E60" i="8" s="1"/>
  <c r="C125" i="8" s="1"/>
  <c r="C140" i="8" s="1"/>
  <c r="F61" i="8"/>
  <c r="F80" i="8"/>
  <c r="B82" i="8"/>
  <c r="F82" i="8"/>
  <c r="F73" i="8" s="1"/>
  <c r="B83" i="8"/>
  <c r="F83" i="8"/>
  <c r="G83" i="8"/>
  <c r="H83" i="8"/>
  <c r="I83" i="8"/>
  <c r="J83" i="8"/>
  <c r="K83" i="8"/>
  <c r="L83" i="8"/>
  <c r="M83" i="8"/>
  <c r="N83" i="8"/>
  <c r="O83" i="8"/>
  <c r="P83" i="8"/>
  <c r="F90" i="8"/>
  <c r="B96" i="8"/>
  <c r="F99" i="8"/>
  <c r="B104" i="8"/>
  <c r="B106" i="8"/>
  <c r="F111" i="8"/>
  <c r="B115" i="8"/>
  <c r="F118" i="8"/>
  <c r="B121" i="8"/>
  <c r="B130" i="8"/>
  <c r="B136" i="8"/>
  <c r="B143" i="8"/>
  <c r="BQ5" i="13" l="1"/>
  <c r="AE29" i="2"/>
  <c r="BP7" i="13"/>
  <c r="BQ7" i="13"/>
  <c r="BR7" i="13" s="1"/>
  <c r="BS7" i="13" s="1"/>
  <c r="BT7" i="13" s="1"/>
  <c r="BU7" i="13" s="1"/>
  <c r="BV7" i="13" s="1"/>
  <c r="BW7" i="13" s="1"/>
  <c r="BD16" i="13"/>
  <c r="BE14" i="13"/>
  <c r="BF13" i="13"/>
  <c r="DC16" i="13"/>
  <c r="DP8" i="13"/>
  <c r="DQ8" i="13" s="1"/>
  <c r="DR8" i="13" s="1"/>
  <c r="DS8" i="13" s="1"/>
  <c r="DT8" i="13" s="1"/>
  <c r="DU8" i="13" s="1"/>
  <c r="AF41" i="2"/>
  <c r="DE13" i="13"/>
  <c r="DD14" i="13"/>
  <c r="AR7" i="13"/>
  <c r="AS7" i="13" s="1"/>
  <c r="AT7" i="13" s="1"/>
  <c r="AU7" i="13" s="1"/>
  <c r="AV7" i="13" s="1"/>
  <c r="AW7" i="13" s="1"/>
  <c r="AX7" i="13" s="1"/>
  <c r="AE16" i="13"/>
  <c r="AE23" i="2"/>
  <c r="AQ7" i="13"/>
  <c r="EB16" i="13"/>
  <c r="EO8" i="13"/>
  <c r="EP8" i="13" s="1"/>
  <c r="EQ8" i="13" s="1"/>
  <c r="ER8" i="13" s="1"/>
  <c r="ES8" i="13" s="1"/>
  <c r="ET8" i="13" s="1"/>
  <c r="AF47" i="2"/>
  <c r="AF14" i="13"/>
  <c r="AG13" i="13"/>
  <c r="CD16" i="13"/>
  <c r="CQ8" i="13"/>
  <c r="CR8" i="13" s="1"/>
  <c r="CS8" i="13" s="1"/>
  <c r="CT8" i="13" s="1"/>
  <c r="CU8" i="13" s="1"/>
  <c r="CV8" i="13" s="1"/>
  <c r="AF35" i="2"/>
  <c r="ED13" i="13"/>
  <c r="EC14" i="13"/>
  <c r="CF13" i="13"/>
  <c r="CE14" i="13"/>
  <c r="I59" i="4"/>
  <c r="J59" i="4" s="1"/>
  <c r="I58" i="4"/>
  <c r="K58" i="4" s="1"/>
  <c r="I55" i="4"/>
  <c r="J55" i="4" s="1"/>
  <c r="I57" i="4"/>
  <c r="J57" i="4" s="1"/>
  <c r="G46" i="4"/>
  <c r="H46" i="4" s="1"/>
  <c r="I56" i="4"/>
  <c r="I58" i="8"/>
  <c r="B132" i="8"/>
  <c r="F112" i="8"/>
  <c r="H17" i="8"/>
  <c r="I17" i="8" s="1"/>
  <c r="H60" i="8"/>
  <c r="I60" i="8" s="1"/>
  <c r="H61" i="8"/>
  <c r="I61" i="8" s="1"/>
  <c r="I59" i="8"/>
  <c r="I14" i="8"/>
  <c r="H16" i="8"/>
  <c r="I16" i="8" s="1"/>
  <c r="D5" i="8"/>
  <c r="H15" i="8"/>
  <c r="I15" i="8" s="1"/>
  <c r="AG41" i="2" l="1"/>
  <c r="DD16" i="13"/>
  <c r="DQ9" i="13"/>
  <c r="DR9" i="13" s="1"/>
  <c r="DS9" i="13" s="1"/>
  <c r="DT9" i="13" s="1"/>
  <c r="DU9" i="13" s="1"/>
  <c r="DF13" i="13"/>
  <c r="DE14" i="13"/>
  <c r="CE16" i="13"/>
  <c r="CR9" i="13"/>
  <c r="CS9" i="13" s="1"/>
  <c r="CT9" i="13" s="1"/>
  <c r="CU9" i="13" s="1"/>
  <c r="CV9" i="13" s="1"/>
  <c r="AG35" i="2"/>
  <c r="AF16" i="13"/>
  <c r="AR8" i="13"/>
  <c r="AS8" i="13"/>
  <c r="AT8" i="13" s="1"/>
  <c r="AU8" i="13" s="1"/>
  <c r="AV8" i="13" s="1"/>
  <c r="AW8" i="13" s="1"/>
  <c r="AX8" i="13" s="1"/>
  <c r="AF23" i="2"/>
  <c r="CG13" i="13"/>
  <c r="CF14" i="13"/>
  <c r="EP9" i="13"/>
  <c r="EQ9" i="13" s="1"/>
  <c r="ER9" i="13" s="1"/>
  <c r="ES9" i="13" s="1"/>
  <c r="ET9" i="13" s="1"/>
  <c r="AG47" i="2"/>
  <c r="EC16" i="13"/>
  <c r="BG13" i="13"/>
  <c r="BF14" i="13"/>
  <c r="AH13" i="13"/>
  <c r="AG14" i="13"/>
  <c r="BR5" i="13"/>
  <c r="EE13" i="13"/>
  <c r="ED14" i="13"/>
  <c r="BQ8" i="13"/>
  <c r="BR8" i="13"/>
  <c r="BS8" i="13" s="1"/>
  <c r="BT8" i="13" s="1"/>
  <c r="BU8" i="13" s="1"/>
  <c r="BV8" i="13" s="1"/>
  <c r="BW8" i="13" s="1"/>
  <c r="AF29" i="2"/>
  <c r="BE16" i="13"/>
  <c r="J58" i="4"/>
  <c r="K57" i="4"/>
  <c r="K59" i="4"/>
  <c r="K55" i="4"/>
  <c r="J56" i="4"/>
  <c r="K56" i="4"/>
  <c r="L56" i="4" s="1"/>
  <c r="I54" i="4"/>
  <c r="F60" i="4"/>
  <c r="AS9" i="13" l="1"/>
  <c r="AG23" i="2"/>
  <c r="AG16" i="13"/>
  <c r="AT9" i="13"/>
  <c r="AU9" i="13" s="1"/>
  <c r="AV9" i="13" s="1"/>
  <c r="AW9" i="13" s="1"/>
  <c r="AX9" i="13" s="1"/>
  <c r="CG14" i="13"/>
  <c r="CH13" i="13"/>
  <c r="BS5" i="13"/>
  <c r="AI13" i="13"/>
  <c r="AH14" i="13"/>
  <c r="BF16" i="13"/>
  <c r="BR9" i="13"/>
  <c r="AG29" i="2"/>
  <c r="BS9" i="13"/>
  <c r="BT9" i="13" s="1"/>
  <c r="BU9" i="13" s="1"/>
  <c r="BV9" i="13" s="1"/>
  <c r="BW9" i="13" s="1"/>
  <c r="DG13" i="13"/>
  <c r="DF14" i="13"/>
  <c r="EQ10" i="13"/>
  <c r="ER10" i="13" s="1"/>
  <c r="ES10" i="13" s="1"/>
  <c r="ET10" i="13" s="1"/>
  <c r="AH47" i="2"/>
  <c r="ED16" i="13"/>
  <c r="CF16" i="13"/>
  <c r="AH35" i="2"/>
  <c r="CS10" i="13"/>
  <c r="CT10" i="13" s="1"/>
  <c r="CU10" i="13" s="1"/>
  <c r="CV10" i="13" s="1"/>
  <c r="EF13" i="13"/>
  <c r="EE14" i="13"/>
  <c r="AH41" i="2"/>
  <c r="DE16" i="13"/>
  <c r="DR10" i="13"/>
  <c r="DS10" i="13" s="1"/>
  <c r="DT10" i="13" s="1"/>
  <c r="DU10" i="13" s="1"/>
  <c r="BH13" i="13"/>
  <c r="BG14" i="13"/>
  <c r="J54" i="4"/>
  <c r="K54" i="4"/>
  <c r="I60" i="4"/>
  <c r="J60" i="4" s="1"/>
  <c r="BG16" i="13" l="1"/>
  <c r="BT10" i="13"/>
  <c r="BU10" i="13" s="1"/>
  <c r="BV10" i="13" s="1"/>
  <c r="BW10" i="13" s="1"/>
  <c r="AH29" i="2"/>
  <c r="BS10" i="13"/>
  <c r="DG14" i="13"/>
  <c r="DH13" i="13"/>
  <c r="CI13" i="13"/>
  <c r="CH14" i="13"/>
  <c r="BI13" i="13"/>
  <c r="BH14" i="13"/>
  <c r="AT10" i="13"/>
  <c r="AH16" i="13"/>
  <c r="AH23" i="2"/>
  <c r="AU10" i="13"/>
  <c r="AV10" i="13" s="1"/>
  <c r="AW10" i="13" s="1"/>
  <c r="AX10" i="13" s="1"/>
  <c r="ER11" i="13"/>
  <c r="ES11" i="13" s="1"/>
  <c r="ET11" i="13" s="1"/>
  <c r="AI47" i="2"/>
  <c r="EE16" i="13"/>
  <c r="AJ13" i="13"/>
  <c r="AI14" i="13"/>
  <c r="CT11" i="13"/>
  <c r="CU11" i="13" s="1"/>
  <c r="CV11" i="13" s="1"/>
  <c r="CG16" i="13"/>
  <c r="AI35" i="2"/>
  <c r="EG13" i="13"/>
  <c r="EF14" i="13"/>
  <c r="AI41" i="2"/>
  <c r="DS11" i="13"/>
  <c r="DT11" i="13" s="1"/>
  <c r="DU11" i="13" s="1"/>
  <c r="DF16" i="13"/>
  <c r="BT5" i="13"/>
  <c r="D10" i="2"/>
  <c r="M9" i="2"/>
  <c r="H9" i="2"/>
  <c r="G9" i="2"/>
  <c r="L9" i="2"/>
  <c r="K9" i="2"/>
  <c r="E9" i="2"/>
  <c r="J9" i="2"/>
  <c r="F9" i="2"/>
  <c r="D9" i="2"/>
  <c r="I9" i="2"/>
  <c r="E10" i="2"/>
  <c r="F10" i="2"/>
  <c r="I10" i="2"/>
  <c r="G10" i="2"/>
  <c r="H10" i="2"/>
  <c r="J10" i="2"/>
  <c r="K10" i="2"/>
  <c r="M10" i="2"/>
  <c r="M18" i="2" s="1"/>
  <c r="L10" i="2"/>
  <c r="DI13" i="13" l="1"/>
  <c r="DI14" i="13" s="1"/>
  <c r="DH14" i="13"/>
  <c r="DT12" i="13"/>
  <c r="DU12" i="13" s="1"/>
  <c r="DG16" i="13"/>
  <c r="AJ41" i="2"/>
  <c r="AK13" i="13"/>
  <c r="AJ14" i="13"/>
  <c r="AU11" i="13"/>
  <c r="AV11" i="13"/>
  <c r="AW11" i="13" s="1"/>
  <c r="AX11" i="13" s="1"/>
  <c r="AI16" i="13"/>
  <c r="AI23" i="2"/>
  <c r="BU5" i="13"/>
  <c r="ES12" i="13"/>
  <c r="ET12" i="13" s="1"/>
  <c r="EF16" i="13"/>
  <c r="AJ47" i="2"/>
  <c r="AI29" i="2"/>
  <c r="BU11" i="13"/>
  <c r="BV11" i="13" s="1"/>
  <c r="BW11" i="13" s="1"/>
  <c r="BH16" i="13"/>
  <c r="BT11" i="13"/>
  <c r="EH13" i="13"/>
  <c r="EH14" i="13" s="1"/>
  <c r="EG14" i="13"/>
  <c r="BJ13" i="13"/>
  <c r="BI14" i="13"/>
  <c r="CU12" i="13"/>
  <c r="CV12" i="13" s="1"/>
  <c r="CH16" i="13"/>
  <c r="AJ35" i="2"/>
  <c r="CJ13" i="13"/>
  <c r="CJ14" i="13" s="1"/>
  <c r="CI14" i="13"/>
  <c r="P33" i="2"/>
  <c r="P36" i="2"/>
  <c r="P35" i="2"/>
  <c r="P37" i="2"/>
  <c r="R36" i="2"/>
  <c r="R33" i="2"/>
  <c r="R35" i="2"/>
  <c r="R37" i="2"/>
  <c r="W37" i="2"/>
  <c r="W35" i="2"/>
  <c r="W36" i="2"/>
  <c r="W33" i="2"/>
  <c r="S35" i="2"/>
  <c r="S36" i="2"/>
  <c r="S33" i="2"/>
  <c r="S37" i="2"/>
  <c r="Q37" i="2"/>
  <c r="Q33" i="2"/>
  <c r="Q36" i="2"/>
  <c r="Q35" i="2"/>
  <c r="T36" i="2"/>
  <c r="T35" i="2"/>
  <c r="T33" i="2"/>
  <c r="T37" i="2"/>
  <c r="X37" i="2"/>
  <c r="X35" i="2"/>
  <c r="X36" i="2"/>
  <c r="X33" i="2"/>
  <c r="V36" i="2"/>
  <c r="V35" i="2"/>
  <c r="V33" i="2"/>
  <c r="V37" i="2"/>
  <c r="U36" i="2"/>
  <c r="U35" i="2"/>
  <c r="U33" i="2"/>
  <c r="U37" i="2"/>
  <c r="Y36" i="2"/>
  <c r="Y35" i="2"/>
  <c r="Y37" i="2"/>
  <c r="Y33" i="2"/>
  <c r="L4" i="4"/>
  <c r="L54" i="4" s="1"/>
  <c r="J10" i="4"/>
  <c r="K60" i="4" s="1"/>
  <c r="L7" i="4"/>
  <c r="L8" i="4"/>
  <c r="DA18" i="13" s="1"/>
  <c r="L9" i="4"/>
  <c r="AJ29" i="2" l="1"/>
  <c r="BV12" i="13"/>
  <c r="BW12" i="13" s="1"/>
  <c r="BI16" i="13"/>
  <c r="BU12" i="13"/>
  <c r="AV12" i="13"/>
  <c r="AJ23" i="2"/>
  <c r="AW12" i="13"/>
  <c r="AX12" i="13" s="1"/>
  <c r="AJ16" i="13"/>
  <c r="AL13" i="13"/>
  <c r="AL14" i="13" s="1"/>
  <c r="AK14" i="13"/>
  <c r="AK35" i="2"/>
  <c r="CV13" i="13"/>
  <c r="CI16" i="13"/>
  <c r="BV5" i="13"/>
  <c r="AL47" i="2"/>
  <c r="AK47" i="2"/>
  <c r="ET13" i="13"/>
  <c r="EG16" i="13"/>
  <c r="BK13" i="13"/>
  <c r="BK14" i="13" s="1"/>
  <c r="BJ14" i="13"/>
  <c r="AL35" i="2"/>
  <c r="DU13" i="13"/>
  <c r="DH16" i="13"/>
  <c r="AK41" i="2"/>
  <c r="AL41" i="2"/>
  <c r="L59" i="4"/>
  <c r="DZ18" i="13"/>
  <c r="L58" i="4"/>
  <c r="L57" i="4"/>
  <c r="CB18" i="13"/>
  <c r="G48" i="4"/>
  <c r="H48" i="4" s="1"/>
  <c r="G38" i="4"/>
  <c r="H38" i="4" s="1"/>
  <c r="G49" i="4"/>
  <c r="H49" i="4" s="1"/>
  <c r="G39" i="4"/>
  <c r="H39" i="4" s="1"/>
  <c r="E18" i="13"/>
  <c r="E23" i="13" s="1"/>
  <c r="G44" i="4"/>
  <c r="H44" i="4" s="1"/>
  <c r="G34" i="4"/>
  <c r="H34" i="4" s="1"/>
  <c r="G47" i="4"/>
  <c r="H47" i="4" s="1"/>
  <c r="G37" i="4"/>
  <c r="H37" i="4" s="1"/>
  <c r="K5" i="4"/>
  <c r="K6" i="4"/>
  <c r="K9" i="4"/>
  <c r="K7" i="4"/>
  <c r="K8" i="4"/>
  <c r="K4" i="4"/>
  <c r="F17" i="4"/>
  <c r="F18" i="4"/>
  <c r="F15" i="4"/>
  <c r="F64" i="4"/>
  <c r="F19" i="4"/>
  <c r="F16" i="4"/>
  <c r="F66" i="4" s="1"/>
  <c r="I6" i="4"/>
  <c r="C4" i="4"/>
  <c r="C9" i="4" s="1"/>
  <c r="L10" i="4"/>
  <c r="O34" i="2" s="1"/>
  <c r="O42" i="2" s="1"/>
  <c r="O50" i="2" s="1"/>
  <c r="L5" i="4"/>
  <c r="L55" i="4" s="1"/>
  <c r="I8" i="4"/>
  <c r="I9" i="4"/>
  <c r="I5" i="4"/>
  <c r="I4" i="4"/>
  <c r="I7" i="4"/>
  <c r="BW5" i="13" l="1"/>
  <c r="AX13" i="13"/>
  <c r="AK16" i="13"/>
  <c r="AW13" i="13"/>
  <c r="AK23" i="2"/>
  <c r="AX14" i="13"/>
  <c r="AL23" i="2"/>
  <c r="AL16" i="13"/>
  <c r="AK29" i="2"/>
  <c r="BW13" i="13"/>
  <c r="BJ16" i="13"/>
  <c r="BV13" i="13"/>
  <c r="BW14" i="13"/>
  <c r="AL29" i="2"/>
  <c r="BK16" i="13"/>
  <c r="EA18" i="13"/>
  <c r="DZ23" i="13"/>
  <c r="DZ24" i="13" s="1"/>
  <c r="DB18" i="13"/>
  <c r="DA23" i="13"/>
  <c r="DA24" i="13" s="1"/>
  <c r="CC18" i="13"/>
  <c r="CB23" i="13"/>
  <c r="CB24" i="13" s="1"/>
  <c r="L60" i="4"/>
  <c r="J17" i="4"/>
  <c r="F67" i="4"/>
  <c r="J19" i="4"/>
  <c r="DX16" i="13" s="1"/>
  <c r="F69" i="4"/>
  <c r="J18" i="4"/>
  <c r="F68" i="4"/>
  <c r="J15" i="4"/>
  <c r="F65" i="4"/>
  <c r="J16" i="4"/>
  <c r="BA16" i="13" s="1"/>
  <c r="F18" i="13"/>
  <c r="F23" i="13" s="1"/>
  <c r="G45" i="4"/>
  <c r="H45" i="4" s="1"/>
  <c r="G35" i="4"/>
  <c r="H35" i="4" s="1"/>
  <c r="K10" i="4"/>
  <c r="J14" i="4"/>
  <c r="F20" i="4"/>
  <c r="I10" i="4"/>
  <c r="C30" i="4"/>
  <c r="C17" i="4"/>
  <c r="C18" i="4" s="1"/>
  <c r="BN4" i="13" l="1"/>
  <c r="BO4" i="13" s="1"/>
  <c r="BA39" i="13"/>
  <c r="EK4" i="13"/>
  <c r="EL4" i="13" s="1"/>
  <c r="EM4" i="13" s="1"/>
  <c r="EN4" i="13" s="1"/>
  <c r="EO4" i="13" s="1"/>
  <c r="EP4" i="13" s="1"/>
  <c r="EQ4" i="13" s="1"/>
  <c r="ER4" i="13" s="1"/>
  <c r="ES4" i="13" s="1"/>
  <c r="ET4" i="13" s="1"/>
  <c r="DX39" i="13"/>
  <c r="L19" i="4"/>
  <c r="DY18" i="13" s="1"/>
  <c r="DY23" i="13" s="1"/>
  <c r="DY24" i="13" s="1"/>
  <c r="L18" i="4"/>
  <c r="CZ18" i="13" s="1"/>
  <c r="CZ23" i="13" s="1"/>
  <c r="CZ24" i="13" s="1"/>
  <c r="CY16" i="13"/>
  <c r="L17" i="4"/>
  <c r="CA18" i="13" s="1"/>
  <c r="CA23" i="13" s="1"/>
  <c r="CA24" i="13" s="1"/>
  <c r="BZ16" i="13"/>
  <c r="J65" i="4"/>
  <c r="K65" i="4" s="1"/>
  <c r="AB16" i="13"/>
  <c r="EA23" i="13"/>
  <c r="EA24" i="13" s="1"/>
  <c r="EB18" i="13"/>
  <c r="EL6" i="13"/>
  <c r="DZ27" i="13"/>
  <c r="DB23" i="13"/>
  <c r="DB24" i="13" s="1"/>
  <c r="DC18" i="13"/>
  <c r="DM6" i="13"/>
  <c r="CN6" i="13"/>
  <c r="CC23" i="13"/>
  <c r="CC24" i="13" s="1"/>
  <c r="CD18" i="13"/>
  <c r="F70" i="4"/>
  <c r="J69" i="4"/>
  <c r="J66" i="4"/>
  <c r="C16" i="13"/>
  <c r="P4" i="13" s="1"/>
  <c r="Q4" i="13" s="1"/>
  <c r="R4" i="13" s="1"/>
  <c r="S4" i="13" s="1"/>
  <c r="T4" i="13" s="1"/>
  <c r="U4" i="13" s="1"/>
  <c r="V4" i="13" s="1"/>
  <c r="W4" i="13" s="1"/>
  <c r="X4" i="13" s="1"/>
  <c r="Y4" i="13" s="1"/>
  <c r="J64" i="4"/>
  <c r="L15" i="4"/>
  <c r="AC18" i="13" s="1"/>
  <c r="AC23" i="13" s="1"/>
  <c r="AC24" i="13" s="1"/>
  <c r="J68" i="4"/>
  <c r="J67" i="4"/>
  <c r="L16" i="4"/>
  <c r="BB18" i="13" s="1"/>
  <c r="BB23" i="13" s="1"/>
  <c r="BB24" i="13" s="1"/>
  <c r="G18" i="13"/>
  <c r="H18" i="13" s="1"/>
  <c r="L14" i="4"/>
  <c r="D18" i="13" s="1"/>
  <c r="D23" i="13" s="1"/>
  <c r="J20" i="4"/>
  <c r="C21" i="4"/>
  <c r="O66" i="2"/>
  <c r="O58" i="2"/>
  <c r="P34" i="2"/>
  <c r="W34" i="2"/>
  <c r="T34" i="2"/>
  <c r="S34" i="2"/>
  <c r="U34" i="2"/>
  <c r="R34" i="2"/>
  <c r="X34" i="2"/>
  <c r="Q34" i="2"/>
  <c r="V34" i="2"/>
  <c r="Y34" i="2"/>
  <c r="D29" i="2"/>
  <c r="E29" i="2" s="1"/>
  <c r="F29" i="2" s="1"/>
  <c r="G29" i="2" s="1"/>
  <c r="H29" i="2" s="1"/>
  <c r="I29" i="2" s="1"/>
  <c r="J29" i="2" s="1"/>
  <c r="K29" i="2" s="1"/>
  <c r="L29" i="2" s="1"/>
  <c r="M29" i="2" s="1"/>
  <c r="EL3" i="13" l="1"/>
  <c r="DZ26" i="13" s="1"/>
  <c r="EG19" i="13"/>
  <c r="EF19" i="13"/>
  <c r="EE19" i="13"/>
  <c r="EK5" i="13"/>
  <c r="EK3" i="13" s="1"/>
  <c r="DY26" i="13" s="1"/>
  <c r="CB19" i="13"/>
  <c r="CB20" i="13" s="1"/>
  <c r="ED19" i="13"/>
  <c r="CJ19" i="13"/>
  <c r="CI19" i="13"/>
  <c r="CA19" i="13"/>
  <c r="CA21" i="13" s="1"/>
  <c r="EC19" i="13"/>
  <c r="CH19" i="13"/>
  <c r="EA19" i="13"/>
  <c r="EA20" i="13" s="1"/>
  <c r="DY27" i="13"/>
  <c r="CG19" i="13"/>
  <c r="DE19" i="13"/>
  <c r="DL5" i="13"/>
  <c r="DD19" i="13"/>
  <c r="CM4" i="13"/>
  <c r="BZ39" i="13"/>
  <c r="DB19" i="13"/>
  <c r="DB20" i="13" s="1"/>
  <c r="CY39" i="13"/>
  <c r="DL4" i="13"/>
  <c r="DM4" i="13" s="1"/>
  <c r="CM5" i="13"/>
  <c r="CZ19" i="13"/>
  <c r="DY19" i="13"/>
  <c r="DY21" i="13" s="1"/>
  <c r="DY56" i="13"/>
  <c r="DZ56" i="13" s="1"/>
  <c r="EA56" i="13" s="1"/>
  <c r="EB56" i="13" s="1"/>
  <c r="EC56" i="13" s="1"/>
  <c r="ED56" i="13" s="1"/>
  <c r="EE56" i="13" s="1"/>
  <c r="EF56" i="13" s="1"/>
  <c r="EG56" i="13" s="1"/>
  <c r="EH56" i="13" s="1"/>
  <c r="DY38" i="13"/>
  <c r="DX54" i="13"/>
  <c r="CE19" i="13"/>
  <c r="DI19" i="13"/>
  <c r="EB19" i="13"/>
  <c r="EB20" i="13" s="1"/>
  <c r="DH19" i="13"/>
  <c r="CD19" i="13"/>
  <c r="CD20" i="13" s="1"/>
  <c r="DG19" i="13"/>
  <c r="DZ19" i="13"/>
  <c r="DZ20" i="13" s="1"/>
  <c r="BB38" i="13"/>
  <c r="BA54" i="13"/>
  <c r="BB56" i="13"/>
  <c r="BC56" i="13" s="1"/>
  <c r="BD56" i="13" s="1"/>
  <c r="BE56" i="13" s="1"/>
  <c r="BF56" i="13" s="1"/>
  <c r="BG56" i="13" s="1"/>
  <c r="BH56" i="13" s="1"/>
  <c r="BI56" i="13" s="1"/>
  <c r="BJ56" i="13" s="1"/>
  <c r="BK56" i="13" s="1"/>
  <c r="DC19" i="13"/>
  <c r="DC20" i="13" s="1"/>
  <c r="DA19" i="13"/>
  <c r="DA20" i="13" s="1"/>
  <c r="CF19" i="13"/>
  <c r="CC19" i="13"/>
  <c r="CC20" i="13" s="1"/>
  <c r="DF19" i="13"/>
  <c r="EH19" i="13"/>
  <c r="BP4" i="13"/>
  <c r="BC27" i="13"/>
  <c r="BO3" i="13"/>
  <c r="BC26" i="13" s="1"/>
  <c r="L65" i="4"/>
  <c r="AB39" i="13"/>
  <c r="AO4" i="13"/>
  <c r="AC27" i="13" s="1"/>
  <c r="EB23" i="13"/>
  <c r="EB24" i="13" s="1"/>
  <c r="EC18" i="13"/>
  <c r="EM7" i="13"/>
  <c r="EM3" i="13" s="1"/>
  <c r="EA26" i="13" s="1"/>
  <c r="EA27" i="13"/>
  <c r="DC23" i="13"/>
  <c r="DC24" i="13" s="1"/>
  <c r="DD18" i="13"/>
  <c r="DN7" i="13"/>
  <c r="CD23" i="13"/>
  <c r="CD24" i="13" s="1"/>
  <c r="CE18" i="13"/>
  <c r="CO7" i="13"/>
  <c r="BD19" i="13"/>
  <c r="BD20" i="13" s="1"/>
  <c r="BE19" i="13"/>
  <c r="BE20" i="13" s="1"/>
  <c r="BF19" i="13"/>
  <c r="BF20" i="13" s="1"/>
  <c r="L46" i="4" s="1"/>
  <c r="BH19" i="13"/>
  <c r="BH20" i="13" s="1"/>
  <c r="BN5" i="13"/>
  <c r="BN3" i="13" s="1"/>
  <c r="BB26" i="13" s="1"/>
  <c r="BI19" i="13"/>
  <c r="BI20" i="13" s="1"/>
  <c r="BJ19" i="13"/>
  <c r="BJ20" i="13" s="1"/>
  <c r="BK19" i="13"/>
  <c r="BK20" i="13" s="1"/>
  <c r="L36" i="4" s="1"/>
  <c r="BB19" i="13"/>
  <c r="BC19" i="13"/>
  <c r="BC20" i="13" s="1"/>
  <c r="BB27" i="13"/>
  <c r="BG19" i="13"/>
  <c r="BG20" i="13" s="1"/>
  <c r="AC19" i="13"/>
  <c r="AE19" i="13"/>
  <c r="AE20" i="13" s="1"/>
  <c r="AF19" i="13"/>
  <c r="AF20" i="13" s="1"/>
  <c r="AG19" i="13"/>
  <c r="AG20" i="13" s="1"/>
  <c r="AH19" i="13"/>
  <c r="AH20" i="13" s="1"/>
  <c r="AI19" i="13"/>
  <c r="AI20" i="13" s="1"/>
  <c r="AO5" i="13"/>
  <c r="AJ19" i="13"/>
  <c r="AJ20" i="13" s="1"/>
  <c r="AK19" i="13"/>
  <c r="AK20" i="13" s="1"/>
  <c r="AL19" i="13"/>
  <c r="AL20" i="13" s="1"/>
  <c r="AD19" i="13"/>
  <c r="AD20" i="13" s="1"/>
  <c r="C39" i="13"/>
  <c r="D38" i="13" s="1"/>
  <c r="K68" i="4"/>
  <c r="L68" i="4" s="1"/>
  <c r="K67" i="4"/>
  <c r="L67" i="4" s="1"/>
  <c r="J70" i="4"/>
  <c r="K64" i="4"/>
  <c r="L64" i="4" s="1"/>
  <c r="K66" i="4"/>
  <c r="L66" i="4" s="1"/>
  <c r="K69" i="4"/>
  <c r="L69" i="4" s="1"/>
  <c r="D23" i="2"/>
  <c r="D33" i="2" s="1"/>
  <c r="G23" i="13"/>
  <c r="E23" i="2"/>
  <c r="E18" i="2" s="1"/>
  <c r="M19" i="13"/>
  <c r="L19" i="13"/>
  <c r="K19" i="13"/>
  <c r="J19" i="13"/>
  <c r="I19" i="13"/>
  <c r="H19" i="13"/>
  <c r="H20" i="13" s="1"/>
  <c r="G19" i="13"/>
  <c r="G20" i="13" s="1"/>
  <c r="F19" i="13"/>
  <c r="F20" i="13" s="1"/>
  <c r="E19" i="13"/>
  <c r="E20" i="13" s="1"/>
  <c r="D19" i="13"/>
  <c r="H23" i="13"/>
  <c r="I18" i="13"/>
  <c r="I23" i="13" s="1"/>
  <c r="K15" i="4"/>
  <c r="I25" i="4" s="1"/>
  <c r="AC30" i="13" s="1"/>
  <c r="C16" i="2"/>
  <c r="L20" i="4"/>
  <c r="D18" i="2" s="1"/>
  <c r="K16" i="4"/>
  <c r="I26" i="4" s="1"/>
  <c r="BB30" i="13" s="1"/>
  <c r="AC30" i="2" s="1"/>
  <c r="K17" i="4"/>
  <c r="I27" i="4" s="1"/>
  <c r="CA30" i="13" s="1"/>
  <c r="K19" i="4"/>
  <c r="I29" i="4" s="1"/>
  <c r="DY30" i="13" s="1"/>
  <c r="AC48" i="2" s="1"/>
  <c r="K18" i="4"/>
  <c r="I28" i="4" s="1"/>
  <c r="CZ30" i="13" s="1"/>
  <c r="AC42" i="2" s="1"/>
  <c r="K14" i="4"/>
  <c r="H24" i="4" s="1"/>
  <c r="EC20" i="13" l="1"/>
  <c r="CB21" i="13"/>
  <c r="CH21" i="13"/>
  <c r="CA20" i="13"/>
  <c r="CG21" i="13"/>
  <c r="DY20" i="13"/>
  <c r="AO3" i="13"/>
  <c r="AC26" i="13" s="1"/>
  <c r="DD20" i="13"/>
  <c r="DG21" i="13"/>
  <c r="CM3" i="13"/>
  <c r="CA26" i="13" s="1"/>
  <c r="CF21" i="13"/>
  <c r="CJ21" i="13"/>
  <c r="CI21" i="13"/>
  <c r="EC21" i="13"/>
  <c r="BQ4" i="13"/>
  <c r="BD27" i="13"/>
  <c r="BP3" i="13"/>
  <c r="BD26" i="13" s="1"/>
  <c r="DN4" i="13"/>
  <c r="DN3" i="13" s="1"/>
  <c r="DB26" i="13" s="1"/>
  <c r="DA27" i="13"/>
  <c r="DF21" i="13"/>
  <c r="CZ20" i="13"/>
  <c r="CZ56" i="13"/>
  <c r="DA56" i="13" s="1"/>
  <c r="DB56" i="13" s="1"/>
  <c r="DC56" i="13" s="1"/>
  <c r="DD56" i="13" s="1"/>
  <c r="DE56" i="13" s="1"/>
  <c r="DF56" i="13" s="1"/>
  <c r="DG56" i="13" s="1"/>
  <c r="DH56" i="13" s="1"/>
  <c r="DI56" i="13" s="1"/>
  <c r="CY54" i="13"/>
  <c r="CZ38" i="13"/>
  <c r="DC21" i="13"/>
  <c r="EB21" i="13"/>
  <c r="CZ27" i="13"/>
  <c r="DE21" i="13"/>
  <c r="DB21" i="13"/>
  <c r="ED21" i="13"/>
  <c r="DM3" i="13"/>
  <c r="DA26" i="13" s="1"/>
  <c r="DA21" i="13"/>
  <c r="EA21" i="13"/>
  <c r="CA38" i="13"/>
  <c r="BZ54" i="13"/>
  <c r="EE21" i="13"/>
  <c r="CZ21" i="13"/>
  <c r="DZ21" i="13"/>
  <c r="CN4" i="13"/>
  <c r="CA27" i="13"/>
  <c r="CE21" i="13"/>
  <c r="DD21" i="13"/>
  <c r="DI21" i="13"/>
  <c r="EH21" i="13"/>
  <c r="DZ38" i="13"/>
  <c r="DY53" i="13"/>
  <c r="CD21" i="13"/>
  <c r="DH21" i="13"/>
  <c r="EG21" i="13"/>
  <c r="DL3" i="13"/>
  <c r="CZ26" i="13" s="1"/>
  <c r="CC21" i="13"/>
  <c r="EF21" i="13"/>
  <c r="BC38" i="13"/>
  <c r="BB53" i="13"/>
  <c r="AC29" i="13"/>
  <c r="BB29" i="13"/>
  <c r="BN18" i="13"/>
  <c r="BO18" i="13" s="1"/>
  <c r="BP18" i="13" s="1"/>
  <c r="CB29" i="13"/>
  <c r="CB33" i="13" s="1"/>
  <c r="CC29" i="13"/>
  <c r="CC33" i="13" s="1"/>
  <c r="CC34" i="13" s="1"/>
  <c r="CD29" i="13"/>
  <c r="CD33" i="13" s="1"/>
  <c r="CE29" i="13"/>
  <c r="CF29" i="13"/>
  <c r="CG29" i="13"/>
  <c r="CH29" i="13"/>
  <c r="CI29" i="13"/>
  <c r="CA29" i="13"/>
  <c r="CA33" i="13" s="1"/>
  <c r="CJ29" i="13"/>
  <c r="CM18" i="13"/>
  <c r="CN18" i="13" s="1"/>
  <c r="CO18" i="13" s="1"/>
  <c r="CZ29" i="13"/>
  <c r="DL18" i="13"/>
  <c r="DM18" i="13" s="1"/>
  <c r="AP4" i="13"/>
  <c r="AO18" i="13"/>
  <c r="AP18" i="13" s="1"/>
  <c r="AQ18" i="13" s="1"/>
  <c r="EK18" i="13"/>
  <c r="EL18" i="13" s="1"/>
  <c r="EM18" i="13" s="1"/>
  <c r="EN18" i="13" s="1"/>
  <c r="EO18" i="13" s="1"/>
  <c r="DY29" i="13"/>
  <c r="AC38" i="13"/>
  <c r="AC56" i="13"/>
  <c r="AD56" i="13" s="1"/>
  <c r="AB54" i="13"/>
  <c r="EC23" i="13"/>
  <c r="EC24" i="13" s="1"/>
  <c r="ED18" i="13"/>
  <c r="EN8" i="13"/>
  <c r="EN3" i="13" s="1"/>
  <c r="EB26" i="13" s="1"/>
  <c r="EB27" i="13"/>
  <c r="DD23" i="13"/>
  <c r="DD24" i="13" s="1"/>
  <c r="DE18" i="13"/>
  <c r="DO8" i="13"/>
  <c r="CE23" i="13"/>
  <c r="CE24" i="13" s="1"/>
  <c r="CF18" i="13"/>
  <c r="CP8" i="13"/>
  <c r="CE20" i="13"/>
  <c r="L47" i="4" s="1"/>
  <c r="BI21" i="13"/>
  <c r="BJ21" i="13"/>
  <c r="BK21" i="13"/>
  <c r="BB21" i="13"/>
  <c r="BC21" i="13"/>
  <c r="BD21" i="13"/>
  <c r="BH21" i="13"/>
  <c r="BE21" i="13"/>
  <c r="BB20" i="13"/>
  <c r="BF21" i="13"/>
  <c r="BG21" i="13"/>
  <c r="AJ21" i="13"/>
  <c r="AK21" i="13"/>
  <c r="AL21" i="13"/>
  <c r="AC21" i="13"/>
  <c r="AD21" i="13"/>
  <c r="AE21" i="13"/>
  <c r="AI21" i="13"/>
  <c r="AF21" i="13"/>
  <c r="AC20" i="13"/>
  <c r="AG21" i="13"/>
  <c r="AH21" i="13"/>
  <c r="C54" i="13"/>
  <c r="D56" i="13"/>
  <c r="E56" i="13" s="1"/>
  <c r="F56" i="13" s="1"/>
  <c r="G56" i="13" s="1"/>
  <c r="H56" i="13" s="1"/>
  <c r="I56" i="13" s="1"/>
  <c r="J56" i="13" s="1"/>
  <c r="K56" i="13" s="1"/>
  <c r="L56" i="13" s="1"/>
  <c r="M56" i="13" s="1"/>
  <c r="K70" i="4"/>
  <c r="L70" i="4" s="1"/>
  <c r="D19" i="2"/>
  <c r="F23" i="2"/>
  <c r="F18" i="2" s="1"/>
  <c r="E38" i="13"/>
  <c r="D53" i="13"/>
  <c r="I20" i="13"/>
  <c r="J18" i="13"/>
  <c r="J20" i="13" s="1"/>
  <c r="G21" i="13"/>
  <c r="F21" i="13"/>
  <c r="D20" i="13"/>
  <c r="E21" i="13"/>
  <c r="D21" i="13"/>
  <c r="M21" i="13"/>
  <c r="L21" i="13"/>
  <c r="K21" i="13"/>
  <c r="J21" i="13"/>
  <c r="I21" i="13"/>
  <c r="H21" i="13"/>
  <c r="L44" i="4"/>
  <c r="H29" i="4"/>
  <c r="H25" i="4"/>
  <c r="L25" i="4" s="1"/>
  <c r="L48" i="4"/>
  <c r="L49" i="4"/>
  <c r="I19" i="2"/>
  <c r="M19" i="2"/>
  <c r="H19" i="2"/>
  <c r="E19" i="2"/>
  <c r="E20" i="2" s="1"/>
  <c r="F19" i="2"/>
  <c r="J19" i="2"/>
  <c r="K19" i="2"/>
  <c r="K20" i="4"/>
  <c r="I24" i="4"/>
  <c r="D30" i="13" s="1"/>
  <c r="P4" i="2"/>
  <c r="C39" i="2"/>
  <c r="H27" i="4"/>
  <c r="G19" i="2"/>
  <c r="H26" i="4"/>
  <c r="F26" i="4" s="1"/>
  <c r="K26" i="4" s="1"/>
  <c r="L19" i="2"/>
  <c r="H28" i="4"/>
  <c r="E33" i="2"/>
  <c r="DA38" i="13" l="1"/>
  <c r="CZ53" i="13"/>
  <c r="CA56" i="13"/>
  <c r="CB56" i="13"/>
  <c r="CC56" i="13" s="1"/>
  <c r="CD56" i="13" s="1"/>
  <c r="CE56" i="13" s="1"/>
  <c r="CF56" i="13" s="1"/>
  <c r="CG56" i="13" s="1"/>
  <c r="CH56" i="13" s="1"/>
  <c r="CI56" i="13" s="1"/>
  <c r="CJ56" i="13" s="1"/>
  <c r="EA38" i="13"/>
  <c r="DZ53" i="13"/>
  <c r="CB38" i="13"/>
  <c r="CA53" i="13"/>
  <c r="BD38" i="13"/>
  <c r="BC53" i="13"/>
  <c r="DO4" i="13"/>
  <c r="DO3" i="13" s="1"/>
  <c r="DC26" i="13" s="1"/>
  <c r="DB27" i="13"/>
  <c r="CO4" i="13"/>
  <c r="CB27" i="13"/>
  <c r="CN3" i="13"/>
  <c r="CB26" i="13" s="1"/>
  <c r="BR4" i="13"/>
  <c r="BE27" i="13"/>
  <c r="BQ3" i="13"/>
  <c r="BE26" i="13" s="1"/>
  <c r="AD38" i="13"/>
  <c r="AC53" i="13"/>
  <c r="DZ29" i="13"/>
  <c r="DY33" i="13"/>
  <c r="AD48" i="2"/>
  <c r="AC49" i="2"/>
  <c r="EP18" i="13"/>
  <c r="DY31" i="13"/>
  <c r="DZ30" i="13"/>
  <c r="DY36" i="13"/>
  <c r="AR18" i="13"/>
  <c r="DN18" i="13"/>
  <c r="DO18" i="13" s="1"/>
  <c r="DP18" i="13" s="1"/>
  <c r="DQ18" i="13" s="1"/>
  <c r="DR18" i="13" s="1"/>
  <c r="DS18" i="13" s="1"/>
  <c r="DT18" i="13" s="1"/>
  <c r="DU18" i="13" s="1"/>
  <c r="AQ4" i="13"/>
  <c r="AD27" i="13"/>
  <c r="AP3" i="13"/>
  <c r="AD26" i="13" s="1"/>
  <c r="DA30" i="13"/>
  <c r="CZ31" i="13"/>
  <c r="CZ36" i="13"/>
  <c r="CB34" i="13"/>
  <c r="BQ18" i="13"/>
  <c r="BR18" i="13" s="1"/>
  <c r="AD42" i="2"/>
  <c r="AC43" i="2"/>
  <c r="CP18" i="13"/>
  <c r="CQ18" i="13" s="1"/>
  <c r="CR18" i="13" s="1"/>
  <c r="CS18" i="13" s="1"/>
  <c r="CT18" i="13" s="1"/>
  <c r="CU18" i="13" s="1"/>
  <c r="CV18" i="13" s="1"/>
  <c r="BC30" i="13"/>
  <c r="AC31" i="2"/>
  <c r="BB31" i="13"/>
  <c r="BB36" i="13"/>
  <c r="DA29" i="13"/>
  <c r="CZ33" i="13"/>
  <c r="CB30" i="13"/>
  <c r="AC36" i="2"/>
  <c r="CA36" i="13"/>
  <c r="CA31" i="13"/>
  <c r="BC29" i="13"/>
  <c r="BB33" i="13"/>
  <c r="CA34" i="13"/>
  <c r="AD30" i="13"/>
  <c r="AC24" i="2"/>
  <c r="AC25" i="2" s="1"/>
  <c r="AC31" i="13"/>
  <c r="AC36" i="13"/>
  <c r="AE56" i="13"/>
  <c r="AD29" i="13"/>
  <c r="AC33" i="13"/>
  <c r="EE18" i="13"/>
  <c r="ED23" i="13"/>
  <c r="ED24" i="13" s="1"/>
  <c r="ED20" i="13"/>
  <c r="EO9" i="13"/>
  <c r="EO3" i="13" s="1"/>
  <c r="EC26" i="13" s="1"/>
  <c r="EC27" i="13"/>
  <c r="DE23" i="13"/>
  <c r="DE24" i="13" s="1"/>
  <c r="DF18" i="13"/>
  <c r="DE20" i="13"/>
  <c r="DP9" i="13"/>
  <c r="CD34" i="13"/>
  <c r="CF23" i="13"/>
  <c r="CF24" i="13" s="1"/>
  <c r="CG18" i="13"/>
  <c r="CF20" i="13"/>
  <c r="CE33" i="13"/>
  <c r="CQ9" i="13"/>
  <c r="F38" i="13"/>
  <c r="E53" i="13"/>
  <c r="G25" i="4"/>
  <c r="J25" i="4" s="1"/>
  <c r="D29" i="13"/>
  <c r="P18" i="13"/>
  <c r="Q18" i="13" s="1"/>
  <c r="R18" i="13" s="1"/>
  <c r="S18" i="13" s="1"/>
  <c r="T18" i="13" s="1"/>
  <c r="U18" i="13" s="1"/>
  <c r="V18" i="13" s="1"/>
  <c r="W18" i="13" s="1"/>
  <c r="X18" i="13" s="1"/>
  <c r="Y18" i="13" s="1"/>
  <c r="G23" i="2"/>
  <c r="G18" i="2" s="1"/>
  <c r="G20" i="2" s="1"/>
  <c r="F20" i="2"/>
  <c r="Q4" i="2"/>
  <c r="R4" i="2" s="1"/>
  <c r="S4" i="2" s="1"/>
  <c r="T4" i="2" s="1"/>
  <c r="U4" i="2" s="1"/>
  <c r="V4" i="2" s="1"/>
  <c r="W4" i="2" s="1"/>
  <c r="X4" i="2" s="1"/>
  <c r="Y4" i="2" s="1"/>
  <c r="L45" i="4"/>
  <c r="K18" i="13"/>
  <c r="J23" i="13"/>
  <c r="D20" i="2"/>
  <c r="I21" i="2"/>
  <c r="J21" i="2"/>
  <c r="K21" i="2"/>
  <c r="E21" i="2"/>
  <c r="H21" i="2"/>
  <c r="L21" i="2"/>
  <c r="D21" i="2"/>
  <c r="G21" i="2"/>
  <c r="M21" i="2"/>
  <c r="F21" i="2"/>
  <c r="F25" i="4"/>
  <c r="K25" i="4" s="1"/>
  <c r="D34" i="2"/>
  <c r="L26" i="4"/>
  <c r="C54" i="2"/>
  <c r="D56" i="2" s="1"/>
  <c r="D38" i="2"/>
  <c r="D53" i="2" s="1"/>
  <c r="G26" i="4"/>
  <c r="J26" i="4" s="1"/>
  <c r="F33" i="2"/>
  <c r="E34" i="2"/>
  <c r="O35" i="4"/>
  <c r="O45" i="4" s="1"/>
  <c r="F45" i="8"/>
  <c r="BD53" i="13" l="1"/>
  <c r="BE38" i="13"/>
  <c r="CB53" i="13"/>
  <c r="CC38" i="13"/>
  <c r="DP4" i="13"/>
  <c r="DC27" i="13"/>
  <c r="BS4" i="13"/>
  <c r="BF27" i="13"/>
  <c r="BR3" i="13"/>
  <c r="BF26" i="13" s="1"/>
  <c r="EB38" i="13"/>
  <c r="EA53" i="13"/>
  <c r="CP4" i="13"/>
  <c r="CC27" i="13"/>
  <c r="CO3" i="13"/>
  <c r="CC26" i="13" s="1"/>
  <c r="DB38" i="13"/>
  <c r="DA53" i="13"/>
  <c r="AC52" i="13"/>
  <c r="AC54" i="13" s="1"/>
  <c r="AC41" i="13"/>
  <c r="AC39" i="13"/>
  <c r="AO19" i="13" s="1"/>
  <c r="AO17" i="13" s="1"/>
  <c r="AC44" i="13" s="1"/>
  <c r="AC45" i="13"/>
  <c r="CZ34" i="13"/>
  <c r="DY39" i="13"/>
  <c r="EK19" i="13" s="1"/>
  <c r="EK17" i="13" s="1"/>
  <c r="DY44" i="13" s="1"/>
  <c r="DY41" i="13"/>
  <c r="DY52" i="13"/>
  <c r="DY54" i="13" s="1"/>
  <c r="DY45" i="13"/>
  <c r="DB29" i="13"/>
  <c r="DA33" i="13"/>
  <c r="EA30" i="13"/>
  <c r="DZ36" i="13"/>
  <c r="DZ31" i="13"/>
  <c r="AS18" i="13"/>
  <c r="BB52" i="13"/>
  <c r="BB54" i="13" s="1"/>
  <c r="BB41" i="13"/>
  <c r="BB39" i="13"/>
  <c r="BN19" i="13" s="1"/>
  <c r="BN17" i="13" s="1"/>
  <c r="BB44" i="13" s="1"/>
  <c r="BB45" i="13"/>
  <c r="CZ52" i="13"/>
  <c r="CZ54" i="13" s="1"/>
  <c r="CZ41" i="13"/>
  <c r="CZ39" i="13"/>
  <c r="CZ45" i="13"/>
  <c r="CC30" i="13"/>
  <c r="CB31" i="13"/>
  <c r="CB36" i="13"/>
  <c r="CB45" i="13" s="1"/>
  <c r="AD24" i="2"/>
  <c r="AD25" i="2" s="1"/>
  <c r="AE30" i="13"/>
  <c r="AD36" i="13"/>
  <c r="AD31" i="13"/>
  <c r="EQ18" i="13"/>
  <c r="ER18" i="13" s="1"/>
  <c r="DB30" i="13"/>
  <c r="DA36" i="13"/>
  <c r="DA31" i="13"/>
  <c r="AD30" i="2"/>
  <c r="AD31" i="2" s="1"/>
  <c r="BD30" i="13"/>
  <c r="BC36" i="13"/>
  <c r="BC31" i="13"/>
  <c r="AF56" i="13"/>
  <c r="BB34" i="13"/>
  <c r="AE48" i="2"/>
  <c r="AD49" i="2"/>
  <c r="BD29" i="13"/>
  <c r="BC33" i="13"/>
  <c r="AE27" i="13"/>
  <c r="AR4" i="13"/>
  <c r="AQ3" i="13"/>
  <c r="AE26" i="13" s="1"/>
  <c r="DY34" i="13"/>
  <c r="AC34" i="13"/>
  <c r="EA29" i="13"/>
  <c r="DZ33" i="13"/>
  <c r="AE29" i="13"/>
  <c r="AD33" i="13"/>
  <c r="CA39" i="13"/>
  <c r="CA52" i="13"/>
  <c r="CA54" i="13" s="1"/>
  <c r="CA41" i="13"/>
  <c r="CA45" i="13"/>
  <c r="AE42" i="2"/>
  <c r="AD43" i="2"/>
  <c r="AD36" i="2"/>
  <c r="AC37" i="2"/>
  <c r="BS18" i="13"/>
  <c r="AE38" i="13"/>
  <c r="AD53" i="13"/>
  <c r="EP10" i="13"/>
  <c r="EP3" i="13" s="1"/>
  <c r="ED26" i="13" s="1"/>
  <c r="ED27" i="13"/>
  <c r="EF18" i="13"/>
  <c r="EE23" i="13"/>
  <c r="EE24" i="13" s="1"/>
  <c r="EE20" i="13"/>
  <c r="DG18" i="13"/>
  <c r="DF23" i="13"/>
  <c r="DF24" i="13" s="1"/>
  <c r="DF20" i="13"/>
  <c r="DQ10" i="13"/>
  <c r="CE34" i="13"/>
  <c r="CH18" i="13"/>
  <c r="CG23" i="13"/>
  <c r="CG24" i="13" s="1"/>
  <c r="CG20" i="13"/>
  <c r="CF33" i="13"/>
  <c r="CR10" i="13"/>
  <c r="E30" i="13"/>
  <c r="AC18" i="2"/>
  <c r="AC11" i="2" s="1"/>
  <c r="G38" i="13"/>
  <c r="F53" i="13"/>
  <c r="E29" i="13"/>
  <c r="D33" i="13"/>
  <c r="H23" i="2"/>
  <c r="H18" i="2" s="1"/>
  <c r="G50" i="4" s="1"/>
  <c r="L18" i="13"/>
  <c r="K23" i="13"/>
  <c r="K20" i="13"/>
  <c r="E38" i="2"/>
  <c r="E53" i="2" s="1"/>
  <c r="E56" i="2"/>
  <c r="S36" i="4"/>
  <c r="S46" i="4" s="1"/>
  <c r="G33" i="2"/>
  <c r="G34" i="2" s="1"/>
  <c r="F34" i="2"/>
  <c r="F49" i="8"/>
  <c r="F113" i="8" s="1"/>
  <c r="F81" i="8"/>
  <c r="F84" i="8" s="1"/>
  <c r="G46" i="8"/>
  <c r="I30" i="4"/>
  <c r="P18" i="2" s="1"/>
  <c r="L27" i="4"/>
  <c r="L29" i="4"/>
  <c r="L28" i="4"/>
  <c r="L24" i="4"/>
  <c r="EC38" i="13" l="1"/>
  <c r="EB53" i="13"/>
  <c r="BT4" i="13"/>
  <c r="BG27" i="13"/>
  <c r="BS3" i="13"/>
  <c r="BG26" i="13" s="1"/>
  <c r="DQ4" i="13"/>
  <c r="DD27" i="13"/>
  <c r="DB53" i="13"/>
  <c r="DC38" i="13"/>
  <c r="CD38" i="13"/>
  <c r="CC53" i="13"/>
  <c r="BE53" i="13"/>
  <c r="BF38" i="13"/>
  <c r="CQ4" i="13"/>
  <c r="CD27" i="13"/>
  <c r="CP3" i="13"/>
  <c r="CD26" i="13" s="1"/>
  <c r="DP3" i="13"/>
  <c r="DD26" i="13" s="1"/>
  <c r="AG56" i="13"/>
  <c r="AF30" i="13"/>
  <c r="AE24" i="2"/>
  <c r="AE25" i="2" s="1"/>
  <c r="AE36" i="13"/>
  <c r="AE52" i="13" s="1"/>
  <c r="AE31" i="13"/>
  <c r="DZ41" i="13"/>
  <c r="DZ42" i="13" s="1"/>
  <c r="DZ39" i="13"/>
  <c r="EL20" i="13" s="1"/>
  <c r="DZ52" i="13"/>
  <c r="DZ54" i="13" s="1"/>
  <c r="EB30" i="13"/>
  <c r="EA31" i="13"/>
  <c r="EA36" i="13"/>
  <c r="BC52" i="13"/>
  <c r="BC54" i="13" s="1"/>
  <c r="BC41" i="13"/>
  <c r="BC42" i="13" s="1"/>
  <c r="BC39" i="13"/>
  <c r="BO20" i="13" s="1"/>
  <c r="CB52" i="13"/>
  <c r="CB54" i="13" s="1"/>
  <c r="CB41" i="13"/>
  <c r="CB42" i="13" s="1"/>
  <c r="CB39" i="13"/>
  <c r="DA34" i="13"/>
  <c r="CA42" i="13"/>
  <c r="AS4" i="13"/>
  <c r="AR3" i="13"/>
  <c r="AF26" i="13" s="1"/>
  <c r="AF27" i="13"/>
  <c r="AE30" i="2"/>
  <c r="AE31" i="2" s="1"/>
  <c r="BE30" i="13"/>
  <c r="BD31" i="13"/>
  <c r="BD36" i="13"/>
  <c r="DC29" i="13"/>
  <c r="DB33" i="13"/>
  <c r="CB57" i="13"/>
  <c r="CA57" i="13"/>
  <c r="CM58" i="13"/>
  <c r="CM66" i="13" s="1"/>
  <c r="CM60" i="13"/>
  <c r="CM68" i="13" s="1"/>
  <c r="CM57" i="13"/>
  <c r="CM65" i="13" s="1"/>
  <c r="CM61" i="13"/>
  <c r="CM69" i="13" s="1"/>
  <c r="CM59" i="13"/>
  <c r="CM67" i="13" s="1"/>
  <c r="CD30" i="13"/>
  <c r="CC31" i="13"/>
  <c r="CC36" i="13"/>
  <c r="AE53" i="13"/>
  <c r="AF38" i="13"/>
  <c r="CN19" i="13"/>
  <c r="CO19" i="13" s="1"/>
  <c r="CP19" i="13" s="1"/>
  <c r="CQ19" i="13" s="1"/>
  <c r="CR19" i="13" s="1"/>
  <c r="CS19" i="13" s="1"/>
  <c r="CT19" i="13" s="1"/>
  <c r="CU19" i="13" s="1"/>
  <c r="CV19" i="13" s="1"/>
  <c r="CM45" i="13"/>
  <c r="CM53" i="13" s="1"/>
  <c r="CM44" i="13"/>
  <c r="CM52" i="13" s="1"/>
  <c r="CM43" i="13"/>
  <c r="CM51" i="13" s="1"/>
  <c r="CM42" i="13"/>
  <c r="CM50" i="13" s="1"/>
  <c r="CM41" i="13"/>
  <c r="CM49" i="13" s="1"/>
  <c r="CM19" i="13"/>
  <c r="CM17" i="13" s="1"/>
  <c r="CA44" i="13" s="1"/>
  <c r="BC34" i="13"/>
  <c r="BC45" i="13"/>
  <c r="BT18" i="13"/>
  <c r="AD34" i="13"/>
  <c r="BE29" i="13"/>
  <c r="BD33" i="13"/>
  <c r="DA52" i="13"/>
  <c r="DA54" i="13" s="1"/>
  <c r="DA39" i="13"/>
  <c r="DA41" i="13"/>
  <c r="DA42" i="13" s="1"/>
  <c r="DA45" i="13"/>
  <c r="BO19" i="13"/>
  <c r="BP19" i="13" s="1"/>
  <c r="BQ19" i="13" s="1"/>
  <c r="BR19" i="13" s="1"/>
  <c r="BS19" i="13" s="1"/>
  <c r="BT19" i="13" s="1"/>
  <c r="BU19" i="13" s="1"/>
  <c r="BV19" i="13" s="1"/>
  <c r="BW19" i="13" s="1"/>
  <c r="BN43" i="13"/>
  <c r="BN51" i="13" s="1"/>
  <c r="BN41" i="13"/>
  <c r="BN49" i="13" s="1"/>
  <c r="BN45" i="13"/>
  <c r="BN53" i="13" s="1"/>
  <c r="BN44" i="13"/>
  <c r="BN52" i="13" s="1"/>
  <c r="BN42" i="13"/>
  <c r="BN50" i="13" s="1"/>
  <c r="DZ45" i="13"/>
  <c r="AP19" i="13"/>
  <c r="AQ19" i="13" s="1"/>
  <c r="AO42" i="13"/>
  <c r="AO50" i="13" s="1"/>
  <c r="AO41" i="13"/>
  <c r="AO49" i="13" s="1"/>
  <c r="AO45" i="13"/>
  <c r="AO53" i="13" s="1"/>
  <c r="AO43" i="13"/>
  <c r="AO51" i="13" s="1"/>
  <c r="AO44" i="13"/>
  <c r="AO52" i="13" s="1"/>
  <c r="AF29" i="13"/>
  <c r="AE33" i="13"/>
  <c r="DC30" i="13"/>
  <c r="DB31" i="13"/>
  <c r="DB36" i="13"/>
  <c r="BB42" i="13"/>
  <c r="DZ57" i="13"/>
  <c r="DY57" i="13"/>
  <c r="EK57" i="13"/>
  <c r="EK65" i="13" s="1"/>
  <c r="EK60" i="13"/>
  <c r="EK68" i="13" s="1"/>
  <c r="EK58" i="13"/>
  <c r="EK66" i="13" s="1"/>
  <c r="EK61" i="13"/>
  <c r="EK69" i="13" s="1"/>
  <c r="EK59" i="13"/>
  <c r="EK67" i="13" s="1"/>
  <c r="DZ34" i="13"/>
  <c r="AF48" i="2"/>
  <c r="AE49" i="2"/>
  <c r="ES18" i="13"/>
  <c r="DM19" i="13"/>
  <c r="DN19" i="13" s="1"/>
  <c r="DO19" i="13" s="1"/>
  <c r="DP19" i="13" s="1"/>
  <c r="DQ19" i="13" s="1"/>
  <c r="DR19" i="13" s="1"/>
  <c r="DS19" i="13" s="1"/>
  <c r="DT19" i="13" s="1"/>
  <c r="DU19" i="13" s="1"/>
  <c r="DL41" i="13"/>
  <c r="DL49" i="13" s="1"/>
  <c r="DL45" i="13"/>
  <c r="DL53" i="13" s="1"/>
  <c r="DL44" i="13"/>
  <c r="DL52" i="13" s="1"/>
  <c r="DL42" i="13"/>
  <c r="DL50" i="13" s="1"/>
  <c r="DL43" i="13"/>
  <c r="DL51" i="13" s="1"/>
  <c r="BN60" i="13"/>
  <c r="BN68" i="13" s="1"/>
  <c r="BC57" i="13"/>
  <c r="BN58" i="13"/>
  <c r="BN66" i="13" s="1"/>
  <c r="BN59" i="13"/>
  <c r="BN67" i="13" s="1"/>
  <c r="BB57" i="13"/>
  <c r="BN57" i="13"/>
  <c r="BN65" i="13" s="1"/>
  <c r="BN61" i="13"/>
  <c r="BN69" i="13" s="1"/>
  <c r="DY42" i="13"/>
  <c r="AD45" i="13"/>
  <c r="CZ42" i="13"/>
  <c r="EL19" i="13"/>
  <c r="EM19" i="13" s="1"/>
  <c r="EN19" i="13" s="1"/>
  <c r="EO19" i="13" s="1"/>
  <c r="EP19" i="13" s="1"/>
  <c r="EQ19" i="13" s="1"/>
  <c r="ER19" i="13" s="1"/>
  <c r="ES19" i="13" s="1"/>
  <c r="ET19" i="13" s="1"/>
  <c r="EK44" i="13"/>
  <c r="EK52" i="13" s="1"/>
  <c r="EK42" i="13"/>
  <c r="EK50" i="13" s="1"/>
  <c r="EK43" i="13"/>
  <c r="EK51" i="13" s="1"/>
  <c r="EK45" i="13"/>
  <c r="EK53" i="13" s="1"/>
  <c r="EK41" i="13"/>
  <c r="EK49" i="13" s="1"/>
  <c r="AC42" i="13"/>
  <c r="AE36" i="2"/>
  <c r="AD37" i="2"/>
  <c r="EB29" i="13"/>
  <c r="EA33" i="13"/>
  <c r="DA57" i="13"/>
  <c r="CZ57" i="13"/>
  <c r="DL58" i="13"/>
  <c r="DL66" i="13" s="1"/>
  <c r="DL60" i="13"/>
  <c r="DL68" i="13" s="1"/>
  <c r="DL61" i="13"/>
  <c r="DL69" i="13" s="1"/>
  <c r="DL57" i="13"/>
  <c r="DL65" i="13" s="1"/>
  <c r="DL59" i="13"/>
  <c r="DL67" i="13" s="1"/>
  <c r="AT18" i="13"/>
  <c r="AF42" i="2"/>
  <c r="AE43" i="2"/>
  <c r="AD52" i="13"/>
  <c r="AD54" i="13" s="1"/>
  <c r="AD39" i="13"/>
  <c r="AD41" i="13"/>
  <c r="DL19" i="13"/>
  <c r="DL17" i="13" s="1"/>
  <c r="CZ44" i="13" s="1"/>
  <c r="AD57" i="13"/>
  <c r="AO57" i="13"/>
  <c r="AO65" i="13" s="1"/>
  <c r="AO61" i="13"/>
  <c r="AO69" i="13" s="1"/>
  <c r="AC57" i="13"/>
  <c r="AO60" i="13"/>
  <c r="AO68" i="13" s="1"/>
  <c r="AO58" i="13"/>
  <c r="AO66" i="13" s="1"/>
  <c r="AO59" i="13"/>
  <c r="AO67" i="13" s="1"/>
  <c r="EQ11" i="13"/>
  <c r="EQ3" i="13" s="1"/>
  <c r="EE26" i="13" s="1"/>
  <c r="EE27" i="13"/>
  <c r="EG18" i="13"/>
  <c r="EF23" i="13"/>
  <c r="EF24" i="13" s="1"/>
  <c r="EF20" i="13"/>
  <c r="DR11" i="13"/>
  <c r="DH18" i="13"/>
  <c r="DG23" i="13"/>
  <c r="DG24" i="13" s="1"/>
  <c r="DG20" i="13"/>
  <c r="CF34" i="13"/>
  <c r="CS11" i="13"/>
  <c r="CG33" i="13"/>
  <c r="CI18" i="13"/>
  <c r="CH23" i="13"/>
  <c r="CH24" i="13" s="1"/>
  <c r="CH20" i="13"/>
  <c r="F30" i="13"/>
  <c r="AD18" i="2"/>
  <c r="AD11" i="2" s="1"/>
  <c r="H38" i="13"/>
  <c r="G53" i="13"/>
  <c r="D34" i="13"/>
  <c r="F29" i="13"/>
  <c r="E33" i="13"/>
  <c r="H20" i="2"/>
  <c r="L50" i="4" s="1"/>
  <c r="I23" i="2"/>
  <c r="I18" i="2" s="1"/>
  <c r="I20" i="2" s="1"/>
  <c r="M18" i="13"/>
  <c r="L23" i="13"/>
  <c r="L20" i="13"/>
  <c r="F38" i="2"/>
  <c r="F53" i="2" s="1"/>
  <c r="H33" i="2"/>
  <c r="H34" i="2" s="1"/>
  <c r="G82" i="8"/>
  <c r="H46" i="8"/>
  <c r="F101" i="8"/>
  <c r="F38" i="8" s="1"/>
  <c r="F94" i="8"/>
  <c r="F102" i="8" s="1"/>
  <c r="F97" i="8"/>
  <c r="F114" i="8" s="1"/>
  <c r="F93" i="8"/>
  <c r="H30" i="4"/>
  <c r="L30" i="4" s="1"/>
  <c r="G24" i="4"/>
  <c r="F24" i="4"/>
  <c r="K24" i="4" s="1"/>
  <c r="F28" i="4"/>
  <c r="K28" i="4" s="1"/>
  <c r="G28" i="4"/>
  <c r="J28" i="4" s="1"/>
  <c r="G27" i="4"/>
  <c r="J27" i="4" s="1"/>
  <c r="F27" i="4"/>
  <c r="K27" i="4" s="1"/>
  <c r="F29" i="4"/>
  <c r="K29" i="4" s="1"/>
  <c r="G29" i="4"/>
  <c r="J29" i="4" s="1"/>
  <c r="CE38" i="13" l="1"/>
  <c r="CD53" i="13"/>
  <c r="DD38" i="13"/>
  <c r="DC53" i="13"/>
  <c r="DR4" i="13"/>
  <c r="DR3" i="13" s="1"/>
  <c r="DF26" i="13" s="1"/>
  <c r="DE27" i="13"/>
  <c r="DQ3" i="13"/>
  <c r="DE26" i="13" s="1"/>
  <c r="CR4" i="13"/>
  <c r="CE27" i="13"/>
  <c r="CQ3" i="13"/>
  <c r="CE26" i="13" s="1"/>
  <c r="BU4" i="13"/>
  <c r="BH27" i="13"/>
  <c r="BT3" i="13"/>
  <c r="BH26" i="13" s="1"/>
  <c r="BG38" i="13"/>
  <c r="BF53" i="13"/>
  <c r="EC53" i="13"/>
  <c r="ED38" i="13"/>
  <c r="AE54" i="13"/>
  <c r="AE59" i="13" s="1"/>
  <c r="BD45" i="13"/>
  <c r="EL17" i="13"/>
  <c r="DZ44" i="13" s="1"/>
  <c r="AC68" i="13"/>
  <c r="AC69" i="13"/>
  <c r="AU18" i="13"/>
  <c r="DB57" i="13"/>
  <c r="AP20" i="13"/>
  <c r="AP17" i="13" s="1"/>
  <c r="AD44" i="13" s="1"/>
  <c r="BE31" i="13"/>
  <c r="BF30" i="13"/>
  <c r="AF30" i="2"/>
  <c r="AF31" i="2" s="1"/>
  <c r="BE36" i="13"/>
  <c r="EA58" i="13"/>
  <c r="EB58" i="13" s="1"/>
  <c r="EC58" i="13" s="1"/>
  <c r="ED58" i="13" s="1"/>
  <c r="EE58" i="13" s="1"/>
  <c r="EF58" i="13" s="1"/>
  <c r="EG58" i="13" s="1"/>
  <c r="EH58" i="13" s="1"/>
  <c r="DZ58" i="13"/>
  <c r="DZ69" i="13" s="1"/>
  <c r="EL59" i="13"/>
  <c r="EL67" i="13" s="1"/>
  <c r="EL58" i="13"/>
  <c r="EL66" i="13" s="1"/>
  <c r="EL57" i="13"/>
  <c r="EL65" i="13" s="1"/>
  <c r="EL61" i="13"/>
  <c r="EL69" i="13" s="1"/>
  <c r="EL60" i="13"/>
  <c r="EL68" i="13" s="1"/>
  <c r="EM20" i="13"/>
  <c r="EN20" i="13" s="1"/>
  <c r="EO20" i="13" s="1"/>
  <c r="EP20" i="13" s="1"/>
  <c r="EQ20" i="13" s="1"/>
  <c r="ER20" i="13" s="1"/>
  <c r="ES20" i="13" s="1"/>
  <c r="ET20" i="13" s="1"/>
  <c r="EL41" i="13"/>
  <c r="EL49" i="13" s="1"/>
  <c r="EL44" i="13"/>
  <c r="EL52" i="13" s="1"/>
  <c r="EL45" i="13"/>
  <c r="EL53" i="13" s="1"/>
  <c r="EL43" i="13"/>
  <c r="EL51" i="13" s="1"/>
  <c r="EL42" i="13"/>
  <c r="EL50" i="13" s="1"/>
  <c r="BU18" i="13"/>
  <c r="AF53" i="13"/>
  <c r="AG38" i="13"/>
  <c r="CO20" i="13"/>
  <c r="CP20" i="13" s="1"/>
  <c r="CQ20" i="13" s="1"/>
  <c r="CR20" i="13" s="1"/>
  <c r="CS20" i="13" s="1"/>
  <c r="CT20" i="13" s="1"/>
  <c r="CU20" i="13" s="1"/>
  <c r="CV20" i="13" s="1"/>
  <c r="CN42" i="13"/>
  <c r="CN50" i="13" s="1"/>
  <c r="CN43" i="13"/>
  <c r="CN51" i="13" s="1"/>
  <c r="CN44" i="13"/>
  <c r="CN52" i="13" s="1"/>
  <c r="CN41" i="13"/>
  <c r="CN49" i="13" s="1"/>
  <c r="CN45" i="13"/>
  <c r="CN53" i="13" s="1"/>
  <c r="CN20" i="13"/>
  <c r="CN17" i="13" s="1"/>
  <c r="CB44" i="13" s="1"/>
  <c r="EA34" i="13"/>
  <c r="BB68" i="13"/>
  <c r="BB69" i="13"/>
  <c r="CA69" i="13"/>
  <c r="CA68" i="13"/>
  <c r="EC29" i="13"/>
  <c r="EB33" i="13"/>
  <c r="AT4" i="13"/>
  <c r="AS3" i="13"/>
  <c r="AG26" i="13" s="1"/>
  <c r="AG27" i="13"/>
  <c r="CC58" i="13"/>
  <c r="CD58" i="13" s="1"/>
  <c r="CE58" i="13" s="1"/>
  <c r="CF58" i="13" s="1"/>
  <c r="CG58" i="13" s="1"/>
  <c r="CH58" i="13" s="1"/>
  <c r="CI58" i="13" s="1"/>
  <c r="CJ58" i="13" s="1"/>
  <c r="CB58" i="13"/>
  <c r="CB69" i="13" s="1"/>
  <c r="CN57" i="13"/>
  <c r="CN65" i="13" s="1"/>
  <c r="CN58" i="13"/>
  <c r="CN66" i="13" s="1"/>
  <c r="CN59" i="13"/>
  <c r="CN67" i="13" s="1"/>
  <c r="CN61" i="13"/>
  <c r="CN69" i="13" s="1"/>
  <c r="CN60" i="13"/>
  <c r="CN68" i="13" s="1"/>
  <c r="DB52" i="13"/>
  <c r="DB54" i="13" s="1"/>
  <c r="DB39" i="13"/>
  <c r="DN21" i="13" s="1"/>
  <c r="DB41" i="13"/>
  <c r="DB45" i="13"/>
  <c r="BO17" i="13"/>
  <c r="BC44" i="13" s="1"/>
  <c r="EA45" i="13"/>
  <c r="BP20" i="13"/>
  <c r="BQ20" i="13" s="1"/>
  <c r="BR20" i="13" s="1"/>
  <c r="BS20" i="13" s="1"/>
  <c r="BT20" i="13" s="1"/>
  <c r="BU20" i="13" s="1"/>
  <c r="BV20" i="13" s="1"/>
  <c r="BW20" i="13" s="1"/>
  <c r="BO41" i="13"/>
  <c r="BO49" i="13" s="1"/>
  <c r="BO45" i="13"/>
  <c r="BO53" i="13" s="1"/>
  <c r="BO42" i="13"/>
  <c r="BO50" i="13" s="1"/>
  <c r="BO44" i="13"/>
  <c r="BO52" i="13" s="1"/>
  <c r="BO43" i="13"/>
  <c r="BO51" i="13" s="1"/>
  <c r="AE41" i="13"/>
  <c r="AE39" i="13"/>
  <c r="AQ21" i="13" s="1"/>
  <c r="AE45" i="13"/>
  <c r="AQ20" i="13"/>
  <c r="AR20" i="13" s="1"/>
  <c r="AS20" i="13" s="1"/>
  <c r="AT20" i="13" s="1"/>
  <c r="AU20" i="13" s="1"/>
  <c r="AV20" i="13" s="1"/>
  <c r="AW20" i="13" s="1"/>
  <c r="AX20" i="13" s="1"/>
  <c r="AP42" i="13"/>
  <c r="AP50" i="13" s="1"/>
  <c r="AP44" i="13"/>
  <c r="AP52" i="13" s="1"/>
  <c r="AP45" i="13"/>
  <c r="AP53" i="13" s="1"/>
  <c r="AP43" i="13"/>
  <c r="AP51" i="13" s="1"/>
  <c r="AP41" i="13"/>
  <c r="AP49" i="13" s="1"/>
  <c r="CZ69" i="13"/>
  <c r="CZ68" i="13"/>
  <c r="AF36" i="2"/>
  <c r="AE37" i="2"/>
  <c r="BD57" i="13"/>
  <c r="CC57" i="13"/>
  <c r="AD58" i="13"/>
  <c r="AD69" i="13" s="1"/>
  <c r="AE58" i="13"/>
  <c r="AF58" i="13" s="1"/>
  <c r="AG58" i="13" s="1"/>
  <c r="AH58" i="13" s="1"/>
  <c r="AI58" i="13" s="1"/>
  <c r="AJ58" i="13" s="1"/>
  <c r="AK58" i="13" s="1"/>
  <c r="AL58" i="13" s="1"/>
  <c r="AP60" i="13"/>
  <c r="AP68" i="13" s="1"/>
  <c r="AP61" i="13"/>
  <c r="AP69" i="13" s="1"/>
  <c r="AP58" i="13"/>
  <c r="AP66" i="13" s="1"/>
  <c r="AP59" i="13"/>
  <c r="AP67" i="13" s="1"/>
  <c r="AP57" i="13"/>
  <c r="AP65" i="13" s="1"/>
  <c r="DY69" i="13"/>
  <c r="DY68" i="13"/>
  <c r="DD30" i="13"/>
  <c r="DC31" i="13"/>
  <c r="DC36" i="13"/>
  <c r="CC52" i="13"/>
  <c r="CC54" i="13" s="1"/>
  <c r="CC39" i="13"/>
  <c r="CC41" i="13"/>
  <c r="CC45" i="13"/>
  <c r="DB34" i="13"/>
  <c r="BO58" i="13"/>
  <c r="BO66" i="13" s="1"/>
  <c r="BD58" i="13"/>
  <c r="BE58" i="13" s="1"/>
  <c r="BF58" i="13" s="1"/>
  <c r="BG58" i="13" s="1"/>
  <c r="BH58" i="13" s="1"/>
  <c r="BI58" i="13" s="1"/>
  <c r="BJ58" i="13" s="1"/>
  <c r="BK58" i="13" s="1"/>
  <c r="BC58" i="13"/>
  <c r="BC69" i="13" s="1"/>
  <c r="BO59" i="13"/>
  <c r="BO67" i="13" s="1"/>
  <c r="BO60" i="13"/>
  <c r="BO68" i="13" s="1"/>
  <c r="BO61" i="13"/>
  <c r="BO69" i="13" s="1"/>
  <c r="BO57" i="13"/>
  <c r="BO65" i="13" s="1"/>
  <c r="AF36" i="13"/>
  <c r="AG30" i="13"/>
  <c r="AF24" i="2"/>
  <c r="AF25" i="2" s="1"/>
  <c r="AF31" i="13"/>
  <c r="ET18" i="13"/>
  <c r="AE34" i="13"/>
  <c r="AR19" i="13"/>
  <c r="DN20" i="13"/>
  <c r="DO20" i="13" s="1"/>
  <c r="DP20" i="13" s="1"/>
  <c r="DQ20" i="13" s="1"/>
  <c r="DR20" i="13" s="1"/>
  <c r="DS20" i="13" s="1"/>
  <c r="DT20" i="13" s="1"/>
  <c r="DU20" i="13" s="1"/>
  <c r="DM43" i="13"/>
  <c r="DM51" i="13" s="1"/>
  <c r="DM45" i="13"/>
  <c r="DM53" i="13" s="1"/>
  <c r="DM44" i="13"/>
  <c r="DM52" i="13" s="1"/>
  <c r="DM41" i="13"/>
  <c r="DM49" i="13" s="1"/>
  <c r="DM42" i="13"/>
  <c r="DM50" i="13" s="1"/>
  <c r="DD29" i="13"/>
  <c r="DC33" i="13"/>
  <c r="CC42" i="13"/>
  <c r="EA52" i="13"/>
  <c r="EA54" i="13" s="1"/>
  <c r="EA41" i="13"/>
  <c r="EA39" i="13"/>
  <c r="EM21" i="13" s="1"/>
  <c r="AG42" i="2"/>
  <c r="AF43" i="2"/>
  <c r="AG29" i="13"/>
  <c r="AF33" i="13"/>
  <c r="DB58" i="13"/>
  <c r="DC58" i="13" s="1"/>
  <c r="DD58" i="13" s="1"/>
  <c r="DE58" i="13" s="1"/>
  <c r="DF58" i="13" s="1"/>
  <c r="DG58" i="13" s="1"/>
  <c r="DH58" i="13" s="1"/>
  <c r="DI58" i="13" s="1"/>
  <c r="DA58" i="13"/>
  <c r="DA69" i="13" s="1"/>
  <c r="DM57" i="13"/>
  <c r="DM65" i="13" s="1"/>
  <c r="DM58" i="13"/>
  <c r="DM66" i="13" s="1"/>
  <c r="DM59" i="13"/>
  <c r="DM67" i="13" s="1"/>
  <c r="DM61" i="13"/>
  <c r="DM69" i="13" s="1"/>
  <c r="DM60" i="13"/>
  <c r="DM68" i="13" s="1"/>
  <c r="CE30" i="13"/>
  <c r="CD31" i="13"/>
  <c r="CD36" i="13"/>
  <c r="AH56" i="13"/>
  <c r="AE57" i="13"/>
  <c r="AD42" i="13"/>
  <c r="EA57" i="13"/>
  <c r="BD34" i="13"/>
  <c r="BD52" i="13"/>
  <c r="BD54" i="13" s="1"/>
  <c r="BD39" i="13"/>
  <c r="BP21" i="13" s="1"/>
  <c r="BP17" i="13" s="1"/>
  <c r="BD44" i="13" s="1"/>
  <c r="BD41" i="13"/>
  <c r="DM20" i="13"/>
  <c r="DM17" i="13" s="1"/>
  <c r="DA44" i="13" s="1"/>
  <c r="EC30" i="13"/>
  <c r="EB31" i="13"/>
  <c r="EB36" i="13"/>
  <c r="AG48" i="2"/>
  <c r="AF49" i="2"/>
  <c r="BF29" i="13"/>
  <c r="BE33" i="13"/>
  <c r="ER12" i="13"/>
  <c r="ER3" i="13" s="1"/>
  <c r="EF26" i="13" s="1"/>
  <c r="EF27" i="13"/>
  <c r="EH18" i="13"/>
  <c r="EG23" i="13"/>
  <c r="EG24" i="13" s="1"/>
  <c r="EG20" i="13"/>
  <c r="DS12" i="13"/>
  <c r="DI18" i="13"/>
  <c r="DH23" i="13"/>
  <c r="DH24" i="13" s="1"/>
  <c r="DH20" i="13"/>
  <c r="CT12" i="13"/>
  <c r="CH33" i="13"/>
  <c r="CJ18" i="13"/>
  <c r="CI23" i="13"/>
  <c r="CI24" i="13" s="1"/>
  <c r="CI20" i="13"/>
  <c r="CG34" i="13"/>
  <c r="G30" i="13"/>
  <c r="AE18" i="2"/>
  <c r="I38" i="13"/>
  <c r="H53" i="13"/>
  <c r="E34" i="13"/>
  <c r="G29" i="13"/>
  <c r="F33" i="13"/>
  <c r="J23" i="2"/>
  <c r="J18" i="2" s="1"/>
  <c r="J20" i="2" s="1"/>
  <c r="M23" i="13"/>
  <c r="M20" i="13"/>
  <c r="G38" i="2"/>
  <c r="G53" i="2" s="1"/>
  <c r="K30" i="4"/>
  <c r="H50" i="4"/>
  <c r="I33" i="2"/>
  <c r="I34" i="2" s="1"/>
  <c r="F103" i="8"/>
  <c r="D30" i="2"/>
  <c r="H82" i="8"/>
  <c r="I46" i="8"/>
  <c r="F106" i="8"/>
  <c r="F107" i="8" s="1"/>
  <c r="F115" i="8" s="1"/>
  <c r="F66" i="8"/>
  <c r="F95" i="8"/>
  <c r="F96" i="8"/>
  <c r="F26" i="8"/>
  <c r="F126" i="8"/>
  <c r="F127" i="8" s="1"/>
  <c r="F104" i="8"/>
  <c r="F74" i="8"/>
  <c r="F30" i="4"/>
  <c r="G30" i="4"/>
  <c r="C26" i="4" s="1"/>
  <c r="J24" i="4"/>
  <c r="J30" i="4" s="1"/>
  <c r="C32" i="4" s="1"/>
  <c r="CS4" i="13" l="1"/>
  <c r="CF27" i="13"/>
  <c r="CR3" i="13"/>
  <c r="CF26" i="13" s="1"/>
  <c r="DS4" i="13"/>
  <c r="DS3" i="13" s="1"/>
  <c r="DG26" i="13" s="1"/>
  <c r="DF27" i="13"/>
  <c r="BH38" i="13"/>
  <c r="BG53" i="13"/>
  <c r="DE38" i="13"/>
  <c r="DD53" i="13"/>
  <c r="EE38" i="13"/>
  <c r="ED53" i="13"/>
  <c r="CF38" i="13"/>
  <c r="CE53" i="13"/>
  <c r="BV4" i="13"/>
  <c r="BI27" i="13"/>
  <c r="BU3" i="13"/>
  <c r="BI26" i="13" s="1"/>
  <c r="AQ61" i="13"/>
  <c r="AQ69" i="13" s="1"/>
  <c r="AQ60" i="13"/>
  <c r="AQ68" i="13" s="1"/>
  <c r="AQ58" i="13"/>
  <c r="AQ66" i="13" s="1"/>
  <c r="AF59" i="13"/>
  <c r="AG59" i="13" s="1"/>
  <c r="AH59" i="13" s="1"/>
  <c r="AI59" i="13" s="1"/>
  <c r="AJ59" i="13" s="1"/>
  <c r="AK59" i="13" s="1"/>
  <c r="AL59" i="13" s="1"/>
  <c r="EM17" i="13"/>
  <c r="EA44" i="13" s="1"/>
  <c r="AQ59" i="13"/>
  <c r="AQ67" i="13" s="1"/>
  <c r="AQ57" i="13"/>
  <c r="AQ65" i="13" s="1"/>
  <c r="AQ17" i="13"/>
  <c r="AE44" i="13" s="1"/>
  <c r="CB68" i="13"/>
  <c r="AF45" i="13"/>
  <c r="DZ68" i="13"/>
  <c r="DN17" i="13"/>
  <c r="DB44" i="13" s="1"/>
  <c r="EA42" i="13"/>
  <c r="AS19" i="13"/>
  <c r="DC39" i="13"/>
  <c r="DO22" i="13" s="1"/>
  <c r="DC52" i="13"/>
  <c r="DC54" i="13" s="1"/>
  <c r="DC41" i="13"/>
  <c r="DC42" i="13" s="1"/>
  <c r="BG30" i="13"/>
  <c r="AG30" i="2"/>
  <c r="AG31" i="2" s="1"/>
  <c r="BF31" i="13"/>
  <c r="BF36" i="13"/>
  <c r="EB57" i="13"/>
  <c r="EB59" i="13"/>
  <c r="EC59" i="13" s="1"/>
  <c r="ED59" i="13" s="1"/>
  <c r="EE59" i="13" s="1"/>
  <c r="EF59" i="13" s="1"/>
  <c r="EG59" i="13" s="1"/>
  <c r="EH59" i="13" s="1"/>
  <c r="EM61" i="13"/>
  <c r="EM69" i="13" s="1"/>
  <c r="EM60" i="13"/>
  <c r="EM68" i="13" s="1"/>
  <c r="EM59" i="13"/>
  <c r="EM67" i="13" s="1"/>
  <c r="EM57" i="13"/>
  <c r="EM65" i="13" s="1"/>
  <c r="EM58" i="13"/>
  <c r="EM66" i="13" s="1"/>
  <c r="EA59" i="13"/>
  <c r="EA69" i="13" s="1"/>
  <c r="EB41" i="13"/>
  <c r="EB42" i="13" s="1"/>
  <c r="EB39" i="13"/>
  <c r="EN22" i="13" s="1"/>
  <c r="EB52" i="13"/>
  <c r="EB54" i="13" s="1"/>
  <c r="DE30" i="13"/>
  <c r="DD31" i="13"/>
  <c r="DD36" i="13"/>
  <c r="AQ44" i="13"/>
  <c r="AQ52" i="13" s="1"/>
  <c r="AR21" i="13"/>
  <c r="AS21" i="13" s="1"/>
  <c r="AT21" i="13" s="1"/>
  <c r="AU21" i="13" s="1"/>
  <c r="AV21" i="13" s="1"/>
  <c r="AW21" i="13" s="1"/>
  <c r="AX21" i="13" s="1"/>
  <c r="AQ41" i="13"/>
  <c r="AQ49" i="13" s="1"/>
  <c r="AQ45" i="13"/>
  <c r="AQ53" i="13" s="1"/>
  <c r="AQ43" i="13"/>
  <c r="AQ51" i="13" s="1"/>
  <c r="AQ42" i="13"/>
  <c r="AQ50" i="13" s="1"/>
  <c r="AD68" i="13"/>
  <c r="DC34" i="13"/>
  <c r="DB42" i="13"/>
  <c r="AT3" i="13"/>
  <c r="AH26" i="13" s="1"/>
  <c r="AU4" i="13"/>
  <c r="AH27" i="13"/>
  <c r="AH38" i="13"/>
  <c r="AG53" i="13"/>
  <c r="DA68" i="13"/>
  <c r="ED30" i="13"/>
  <c r="EC31" i="13"/>
  <c r="EC36" i="13"/>
  <c r="AE69" i="13"/>
  <c r="AF57" i="13"/>
  <c r="AE68" i="13"/>
  <c r="DE29" i="13"/>
  <c r="DD33" i="13"/>
  <c r="CD57" i="13"/>
  <c r="DO21" i="13"/>
  <c r="DP21" i="13" s="1"/>
  <c r="DQ21" i="13" s="1"/>
  <c r="DR21" i="13" s="1"/>
  <c r="DS21" i="13" s="1"/>
  <c r="DT21" i="13" s="1"/>
  <c r="DU21" i="13" s="1"/>
  <c r="DN44" i="13"/>
  <c r="DN52" i="13" s="1"/>
  <c r="DN41" i="13"/>
  <c r="DN49" i="13" s="1"/>
  <c r="DN43" i="13"/>
  <c r="DN51" i="13" s="1"/>
  <c r="DN42" i="13"/>
  <c r="DN50" i="13" s="1"/>
  <c r="DN45" i="13"/>
  <c r="DN53" i="13" s="1"/>
  <c r="AF34" i="13"/>
  <c r="DC45" i="13"/>
  <c r="DC59" i="13"/>
  <c r="DD59" i="13" s="1"/>
  <c r="DE59" i="13" s="1"/>
  <c r="DF59" i="13" s="1"/>
  <c r="DG59" i="13" s="1"/>
  <c r="DH59" i="13" s="1"/>
  <c r="DI59" i="13" s="1"/>
  <c r="DN58" i="13"/>
  <c r="DN66" i="13" s="1"/>
  <c r="DB59" i="13"/>
  <c r="DB68" i="13" s="1"/>
  <c r="DN57" i="13"/>
  <c r="DN65" i="13" s="1"/>
  <c r="DN60" i="13"/>
  <c r="DN68" i="13" s="1"/>
  <c r="DN61" i="13"/>
  <c r="DN69" i="13" s="1"/>
  <c r="DN59" i="13"/>
  <c r="DN67" i="13" s="1"/>
  <c r="EB34" i="13"/>
  <c r="AF52" i="13"/>
  <c r="AF54" i="13" s="1"/>
  <c r="DC57" i="13"/>
  <c r="BD42" i="13"/>
  <c r="AI56" i="13"/>
  <c r="AH29" i="13"/>
  <c r="AG33" i="13"/>
  <c r="ED29" i="13"/>
  <c r="EC33" i="13"/>
  <c r="BV18" i="13"/>
  <c r="AH48" i="2"/>
  <c r="AG49" i="2"/>
  <c r="CD39" i="13"/>
  <c r="CD52" i="13"/>
  <c r="CD54" i="13" s="1"/>
  <c r="CD41" i="13"/>
  <c r="CD45" i="13"/>
  <c r="BC68" i="13"/>
  <c r="AV18" i="13"/>
  <c r="EB45" i="13"/>
  <c r="BD59" i="13"/>
  <c r="BD69" i="13" s="1"/>
  <c r="BE59" i="13"/>
  <c r="BF59" i="13" s="1"/>
  <c r="BG59" i="13" s="1"/>
  <c r="BH59" i="13" s="1"/>
  <c r="BI59" i="13" s="1"/>
  <c r="BJ59" i="13" s="1"/>
  <c r="BK59" i="13" s="1"/>
  <c r="BP57" i="13"/>
  <c r="BP65" i="13" s="1"/>
  <c r="BP59" i="13"/>
  <c r="BP67" i="13" s="1"/>
  <c r="BP61" i="13"/>
  <c r="BP69" i="13" s="1"/>
  <c r="BP58" i="13"/>
  <c r="BP66" i="13" s="1"/>
  <c r="BP60" i="13"/>
  <c r="BP68" i="13" s="1"/>
  <c r="AG31" i="13"/>
  <c r="AH30" i="13"/>
  <c r="AG24" i="2"/>
  <c r="AG25" i="2" s="1"/>
  <c r="AG36" i="13"/>
  <c r="BE34" i="13"/>
  <c r="CF30" i="13"/>
  <c r="CE31" i="13"/>
  <c r="CE36" i="13"/>
  <c r="CE45" i="13" s="1"/>
  <c r="AH42" i="2"/>
  <c r="AG43" i="2"/>
  <c r="AF41" i="13"/>
  <c r="AF42" i="13" s="1"/>
  <c r="AF39" i="13"/>
  <c r="AR22" i="13" s="1"/>
  <c r="BE57" i="13"/>
  <c r="BP44" i="13"/>
  <c r="BP52" i="13" s="1"/>
  <c r="BQ21" i="13"/>
  <c r="BR21" i="13" s="1"/>
  <c r="BS21" i="13" s="1"/>
  <c r="BT21" i="13" s="1"/>
  <c r="BU21" i="13" s="1"/>
  <c r="BV21" i="13" s="1"/>
  <c r="BW21" i="13" s="1"/>
  <c r="BP41" i="13"/>
  <c r="BP49" i="13" s="1"/>
  <c r="BP42" i="13"/>
  <c r="BP50" i="13" s="1"/>
  <c r="BP43" i="13"/>
  <c r="BP51" i="13" s="1"/>
  <c r="BP45" i="13"/>
  <c r="BP53" i="13" s="1"/>
  <c r="BG29" i="13"/>
  <c r="BF33" i="13"/>
  <c r="CP21" i="13"/>
  <c r="CQ21" i="13" s="1"/>
  <c r="CR21" i="13" s="1"/>
  <c r="CS21" i="13" s="1"/>
  <c r="CT21" i="13" s="1"/>
  <c r="CU21" i="13" s="1"/>
  <c r="CV21" i="13" s="1"/>
  <c r="CO43" i="13"/>
  <c r="CO51" i="13" s="1"/>
  <c r="CO45" i="13"/>
  <c r="CO53" i="13" s="1"/>
  <c r="CO44" i="13"/>
  <c r="CO52" i="13" s="1"/>
  <c r="CO41" i="13"/>
  <c r="CO49" i="13" s="1"/>
  <c r="CO42" i="13"/>
  <c r="CO50" i="13" s="1"/>
  <c r="CO21" i="13"/>
  <c r="CO17" i="13" s="1"/>
  <c r="CC44" i="13" s="1"/>
  <c r="BE41" i="13"/>
  <c r="BE42" i="13" s="1"/>
  <c r="BE39" i="13"/>
  <c r="BE52" i="13"/>
  <c r="BE54" i="13" s="1"/>
  <c r="BE45" i="13"/>
  <c r="EN21" i="13"/>
  <c r="EO21" i="13" s="1"/>
  <c r="EP21" i="13" s="1"/>
  <c r="EQ21" i="13" s="1"/>
  <c r="ER21" i="13" s="1"/>
  <c r="ES21" i="13" s="1"/>
  <c r="ET21" i="13" s="1"/>
  <c r="EM43" i="13"/>
  <c r="EM51" i="13" s="1"/>
  <c r="EM44" i="13"/>
  <c r="EM52" i="13" s="1"/>
  <c r="EM42" i="13"/>
  <c r="EM50" i="13" s="1"/>
  <c r="EM45" i="13"/>
  <c r="EM53" i="13" s="1"/>
  <c r="EM41" i="13"/>
  <c r="EM49" i="13" s="1"/>
  <c r="CD59" i="13"/>
  <c r="CE59" i="13" s="1"/>
  <c r="CF59" i="13" s="1"/>
  <c r="CG59" i="13" s="1"/>
  <c r="CH59" i="13" s="1"/>
  <c r="CI59" i="13" s="1"/>
  <c r="CJ59" i="13" s="1"/>
  <c r="CO57" i="13"/>
  <c r="CO65" i="13" s="1"/>
  <c r="CC59" i="13"/>
  <c r="CC69" i="13" s="1"/>
  <c r="CO58" i="13"/>
  <c r="CO66" i="13" s="1"/>
  <c r="CO60" i="13"/>
  <c r="CO68" i="13" s="1"/>
  <c r="CO61" i="13"/>
  <c r="CO69" i="13" s="1"/>
  <c r="CO59" i="13"/>
  <c r="CO67" i="13" s="1"/>
  <c r="AG36" i="2"/>
  <c r="AF37" i="2"/>
  <c r="AE42" i="13"/>
  <c r="EH23" i="13"/>
  <c r="EH24" i="13" s="1"/>
  <c r="EH20" i="13"/>
  <c r="L39" i="4" s="1"/>
  <c r="ES13" i="13"/>
  <c r="ES3" i="13" s="1"/>
  <c r="EG26" i="13" s="1"/>
  <c r="EG27" i="13"/>
  <c r="DT13" i="13"/>
  <c r="DI23" i="13"/>
  <c r="DI24" i="13" s="1"/>
  <c r="DI20" i="13"/>
  <c r="L38" i="4" s="1"/>
  <c r="CU13" i="13"/>
  <c r="CI33" i="13"/>
  <c r="CJ23" i="13"/>
  <c r="CJ24" i="13" s="1"/>
  <c r="CJ20" i="13"/>
  <c r="L37" i="4" s="1"/>
  <c r="CH34" i="13"/>
  <c r="H30" i="13"/>
  <c r="AF18" i="2"/>
  <c r="AE11" i="2"/>
  <c r="J38" i="13"/>
  <c r="I53" i="13"/>
  <c r="F34" i="13"/>
  <c r="H29" i="13"/>
  <c r="G33" i="13"/>
  <c r="K23" i="2"/>
  <c r="K18" i="2" s="1"/>
  <c r="K20" i="2" s="1"/>
  <c r="M15" i="13"/>
  <c r="L34" i="4"/>
  <c r="H38" i="2"/>
  <c r="H53" i="2" s="1"/>
  <c r="J33" i="2"/>
  <c r="J34" i="2" s="1"/>
  <c r="Q18" i="2"/>
  <c r="D31" i="2"/>
  <c r="C25" i="4"/>
  <c r="C27" i="4" s="1"/>
  <c r="C31" i="4"/>
  <c r="E30" i="2"/>
  <c r="F128" i="8"/>
  <c r="F133" i="8"/>
  <c r="I82" i="8"/>
  <c r="J46" i="8"/>
  <c r="F119" i="8"/>
  <c r="F116" i="8"/>
  <c r="F117" i="8"/>
  <c r="AR17" i="13" l="1"/>
  <c r="AF44" i="13" s="1"/>
  <c r="EF38" i="13"/>
  <c r="EE53" i="13"/>
  <c r="DF38" i="13"/>
  <c r="DE53" i="13"/>
  <c r="BI38" i="13"/>
  <c r="BH53" i="13"/>
  <c r="DT4" i="13"/>
  <c r="DG27" i="13"/>
  <c r="BW4" i="13"/>
  <c r="BJ27" i="13"/>
  <c r="BV3" i="13"/>
  <c r="BJ26" i="13" s="1"/>
  <c r="CF53" i="13"/>
  <c r="CG38" i="13"/>
  <c r="CT4" i="13"/>
  <c r="CG27" i="13"/>
  <c r="CS3" i="13"/>
  <c r="CG26" i="13" s="1"/>
  <c r="EC45" i="13"/>
  <c r="BF45" i="13"/>
  <c r="EN17" i="13"/>
  <c r="EB44" i="13" s="1"/>
  <c r="BD68" i="13"/>
  <c r="DD45" i="13"/>
  <c r="EA68" i="13"/>
  <c r="AG60" i="13"/>
  <c r="AH60" i="13" s="1"/>
  <c r="AI60" i="13" s="1"/>
  <c r="AJ60" i="13" s="1"/>
  <c r="AK60" i="13" s="1"/>
  <c r="AL60" i="13" s="1"/>
  <c r="AF60" i="13"/>
  <c r="AF69" i="13" s="1"/>
  <c r="AR57" i="13"/>
  <c r="AR65" i="13" s="1"/>
  <c r="AR61" i="13"/>
  <c r="AR69" i="13" s="1"/>
  <c r="AR58" i="13"/>
  <c r="AR66" i="13" s="1"/>
  <c r="AR60" i="13"/>
  <c r="AR68" i="13" s="1"/>
  <c r="AR59" i="13"/>
  <c r="AR67" i="13" s="1"/>
  <c r="AI42" i="2"/>
  <c r="AH43" i="2"/>
  <c r="DP22" i="13"/>
  <c r="DQ22" i="13" s="1"/>
  <c r="DR22" i="13" s="1"/>
  <c r="DS22" i="13" s="1"/>
  <c r="DT22" i="13" s="1"/>
  <c r="DU22" i="13" s="1"/>
  <c r="DO45" i="13"/>
  <c r="DO53" i="13" s="1"/>
  <c r="DO44" i="13"/>
  <c r="DO52" i="13" s="1"/>
  <c r="DO43" i="13"/>
  <c r="DO51" i="13" s="1"/>
  <c r="DO42" i="13"/>
  <c r="DO50" i="13" s="1"/>
  <c r="DO41" i="13"/>
  <c r="DO49" i="13" s="1"/>
  <c r="CE52" i="13"/>
  <c r="CE54" i="13" s="1"/>
  <c r="CE39" i="13"/>
  <c r="CE41" i="13"/>
  <c r="CE42" i="13" s="1"/>
  <c r="CE60" i="13"/>
  <c r="CF60" i="13" s="1"/>
  <c r="CG60" i="13" s="1"/>
  <c r="CH60" i="13" s="1"/>
  <c r="CI60" i="13" s="1"/>
  <c r="CJ60" i="13" s="1"/>
  <c r="CP61" i="13"/>
  <c r="CP69" i="13" s="1"/>
  <c r="CP59" i="13"/>
  <c r="CP67" i="13" s="1"/>
  <c r="CP58" i="13"/>
  <c r="CP66" i="13" s="1"/>
  <c r="CP60" i="13"/>
  <c r="CP68" i="13" s="1"/>
  <c r="CP57" i="13"/>
  <c r="CP65" i="13" s="1"/>
  <c r="CD60" i="13"/>
  <c r="CD68" i="13" s="1"/>
  <c r="AJ56" i="13"/>
  <c r="CD42" i="13"/>
  <c r="CC68" i="13"/>
  <c r="DO17" i="13"/>
  <c r="DC44" i="13" s="1"/>
  <c r="EC60" i="13"/>
  <c r="ED60" i="13" s="1"/>
  <c r="EE60" i="13" s="1"/>
  <c r="EF60" i="13" s="1"/>
  <c r="EG60" i="13" s="1"/>
  <c r="EH60" i="13" s="1"/>
  <c r="EN57" i="13"/>
  <c r="EN65" i="13" s="1"/>
  <c r="EN61" i="13"/>
  <c r="EN69" i="13" s="1"/>
  <c r="EN59" i="13"/>
  <c r="EN67" i="13" s="1"/>
  <c r="EN58" i="13"/>
  <c r="EN66" i="13" s="1"/>
  <c r="EN60" i="13"/>
  <c r="EN68" i="13" s="1"/>
  <c r="EB60" i="13"/>
  <c r="EB69" i="13" s="1"/>
  <c r="AH36" i="2"/>
  <c r="AG37" i="2"/>
  <c r="EE30" i="13"/>
  <c r="ED31" i="13"/>
  <c r="ED36" i="13"/>
  <c r="CQ22" i="13"/>
  <c r="CR22" i="13" s="1"/>
  <c r="CS22" i="13" s="1"/>
  <c r="CT22" i="13" s="1"/>
  <c r="CU22" i="13" s="1"/>
  <c r="CV22" i="13" s="1"/>
  <c r="CP44" i="13"/>
  <c r="CP52" i="13" s="1"/>
  <c r="CP43" i="13"/>
  <c r="CP51" i="13" s="1"/>
  <c r="CP41" i="13"/>
  <c r="CP49" i="13" s="1"/>
  <c r="CP42" i="13"/>
  <c r="CP50" i="13" s="1"/>
  <c r="CP45" i="13"/>
  <c r="CP53" i="13" s="1"/>
  <c r="CP22" i="13"/>
  <c r="CP17" i="13" s="1"/>
  <c r="CD44" i="13" s="1"/>
  <c r="AI38" i="13"/>
  <c r="AH53" i="13"/>
  <c r="EO22" i="13"/>
  <c r="EP22" i="13" s="1"/>
  <c r="EQ22" i="13" s="1"/>
  <c r="ER22" i="13" s="1"/>
  <c r="ES22" i="13" s="1"/>
  <c r="ET22" i="13" s="1"/>
  <c r="EN44" i="13"/>
  <c r="EN52" i="13" s="1"/>
  <c r="EN42" i="13"/>
  <c r="EN50" i="13" s="1"/>
  <c r="EN45" i="13"/>
  <c r="EN53" i="13" s="1"/>
  <c r="EN43" i="13"/>
  <c r="EN51" i="13" s="1"/>
  <c r="EN41" i="13"/>
  <c r="EN49" i="13" s="1"/>
  <c r="AT19" i="13"/>
  <c r="CG30" i="13"/>
  <c r="CF36" i="13"/>
  <c r="CF31" i="13"/>
  <c r="CE57" i="13"/>
  <c r="AG52" i="13"/>
  <c r="AG54" i="13" s="1"/>
  <c r="BR22" i="13"/>
  <c r="BS22" i="13" s="1"/>
  <c r="BT22" i="13" s="1"/>
  <c r="BU22" i="13" s="1"/>
  <c r="BV22" i="13" s="1"/>
  <c r="BW22" i="13" s="1"/>
  <c r="BQ41" i="13"/>
  <c r="BQ49" i="13" s="1"/>
  <c r="BQ42" i="13"/>
  <c r="BQ50" i="13" s="1"/>
  <c r="BQ43" i="13"/>
  <c r="BQ51" i="13" s="1"/>
  <c r="BQ45" i="13"/>
  <c r="BQ53" i="13" s="1"/>
  <c r="BQ44" i="13"/>
  <c r="BQ52" i="13" s="1"/>
  <c r="DD60" i="13"/>
  <c r="DE60" i="13" s="1"/>
  <c r="DF60" i="13" s="1"/>
  <c r="DG60" i="13" s="1"/>
  <c r="DH60" i="13" s="1"/>
  <c r="DI60" i="13" s="1"/>
  <c r="DO57" i="13"/>
  <c r="DO65" i="13" s="1"/>
  <c r="DO60" i="13"/>
  <c r="DO68" i="13" s="1"/>
  <c r="DO61" i="13"/>
  <c r="DO69" i="13" s="1"/>
  <c r="DO58" i="13"/>
  <c r="DO66" i="13" s="1"/>
  <c r="DO59" i="13"/>
  <c r="DO67" i="13" s="1"/>
  <c r="DC60" i="13"/>
  <c r="DC68" i="13" s="1"/>
  <c r="BQ22" i="13"/>
  <c r="BQ17" i="13" s="1"/>
  <c r="BE44" i="13" s="1"/>
  <c r="AI48" i="2"/>
  <c r="AH49" i="2"/>
  <c r="DD34" i="13"/>
  <c r="EC57" i="13"/>
  <c r="DF29" i="13"/>
  <c r="DE33" i="13"/>
  <c r="AV4" i="13"/>
  <c r="AU3" i="13"/>
  <c r="AI26" i="13" s="1"/>
  <c r="AI27" i="13"/>
  <c r="BF52" i="13"/>
  <c r="BF54" i="13" s="1"/>
  <c r="BF39" i="13"/>
  <c r="BR23" i="13" s="1"/>
  <c r="BR17" i="13" s="1"/>
  <c r="BF44" i="13" s="1"/>
  <c r="BF41" i="13"/>
  <c r="BF42" i="13" s="1"/>
  <c r="K46" i="4" s="1"/>
  <c r="AI29" i="13"/>
  <c r="AH33" i="13"/>
  <c r="DF30" i="13"/>
  <c r="DE31" i="13"/>
  <c r="DE36" i="13"/>
  <c r="AG45" i="13"/>
  <c r="AG41" i="13"/>
  <c r="AG42" i="13" s="1"/>
  <c r="AG39" i="13"/>
  <c r="AS23" i="13" s="1"/>
  <c r="BW18" i="13"/>
  <c r="DB69" i="13"/>
  <c r="AW18" i="13"/>
  <c r="AG57" i="13"/>
  <c r="AF68" i="13"/>
  <c r="BE60" i="13"/>
  <c r="BE69" i="13" s="1"/>
  <c r="BF60" i="13"/>
  <c r="BG60" i="13" s="1"/>
  <c r="BH60" i="13" s="1"/>
  <c r="BI60" i="13" s="1"/>
  <c r="BJ60" i="13" s="1"/>
  <c r="BK60" i="13" s="1"/>
  <c r="BQ60" i="13"/>
  <c r="BQ68" i="13" s="1"/>
  <c r="BQ59" i="13"/>
  <c r="BQ67" i="13" s="1"/>
  <c r="BQ61" i="13"/>
  <c r="BQ69" i="13" s="1"/>
  <c r="BQ57" i="13"/>
  <c r="BQ65" i="13" s="1"/>
  <c r="BQ58" i="13"/>
  <c r="BQ66" i="13" s="1"/>
  <c r="BF34" i="13"/>
  <c r="BF57" i="13"/>
  <c r="AI30" i="13"/>
  <c r="AH24" i="2"/>
  <c r="AH25" i="2" s="1"/>
  <c r="AH31" i="13"/>
  <c r="AH36" i="13"/>
  <c r="EC34" i="13"/>
  <c r="DD57" i="13"/>
  <c r="BH30" i="13"/>
  <c r="AH30" i="2"/>
  <c r="AH31" i="2" s="1"/>
  <c r="BG31" i="13"/>
  <c r="BG36" i="13"/>
  <c r="BH29" i="13"/>
  <c r="BG33" i="13"/>
  <c r="AS22" i="13"/>
  <c r="AT22" i="13" s="1"/>
  <c r="AU22" i="13" s="1"/>
  <c r="AV22" i="13" s="1"/>
  <c r="AW22" i="13" s="1"/>
  <c r="AX22" i="13" s="1"/>
  <c r="AR44" i="13"/>
  <c r="AR52" i="13" s="1"/>
  <c r="AR41" i="13"/>
  <c r="AR49" i="13" s="1"/>
  <c r="AR43" i="13"/>
  <c r="AR51" i="13" s="1"/>
  <c r="AR42" i="13"/>
  <c r="AR50" i="13" s="1"/>
  <c r="AR45" i="13"/>
  <c r="AR53" i="13" s="1"/>
  <c r="EE29" i="13"/>
  <c r="ED33" i="13"/>
  <c r="EC52" i="13"/>
  <c r="EC54" i="13" s="1"/>
  <c r="EC39" i="13"/>
  <c r="EO23" i="13" s="1"/>
  <c r="EC41" i="13"/>
  <c r="EC42" i="13" s="1"/>
  <c r="DD39" i="13"/>
  <c r="DD52" i="13"/>
  <c r="DD54" i="13" s="1"/>
  <c r="DD41" i="13"/>
  <c r="AG34" i="13"/>
  <c r="ET14" i="13"/>
  <c r="ET3" i="13" s="1"/>
  <c r="EH26" i="13" s="1"/>
  <c r="EH15" i="13"/>
  <c r="EH27" i="13"/>
  <c r="DU14" i="13"/>
  <c r="DI15" i="13"/>
  <c r="CV14" i="13"/>
  <c r="CJ15" i="13"/>
  <c r="CJ33" i="13"/>
  <c r="CI34" i="13"/>
  <c r="I30" i="13"/>
  <c r="AG18" i="2"/>
  <c r="AG11" i="2" s="1"/>
  <c r="AF11" i="2"/>
  <c r="K38" i="13"/>
  <c r="J53" i="13"/>
  <c r="J46" i="4"/>
  <c r="G34" i="13"/>
  <c r="I29" i="13"/>
  <c r="H33" i="13"/>
  <c r="L23" i="2"/>
  <c r="L18" i="2" s="1"/>
  <c r="L20" i="2" s="1"/>
  <c r="L35" i="4"/>
  <c r="S45" i="4"/>
  <c r="I38" i="2"/>
  <c r="I53" i="2" s="1"/>
  <c r="K33" i="2"/>
  <c r="K34" i="2" s="1"/>
  <c r="E31" i="2"/>
  <c r="R18" i="2"/>
  <c r="F30" i="2"/>
  <c r="J82" i="8"/>
  <c r="K46" i="8"/>
  <c r="F120" i="8"/>
  <c r="F121" i="8" s="1"/>
  <c r="F122" i="8" s="1"/>
  <c r="F129" i="8"/>
  <c r="DU4" i="13" l="1"/>
  <c r="DI27" i="13" s="1"/>
  <c r="DH27" i="13"/>
  <c r="BK27" i="13"/>
  <c r="BW3" i="13"/>
  <c r="BK26" i="13" s="1"/>
  <c r="BJ38" i="13"/>
  <c r="BI53" i="13"/>
  <c r="CU4" i="13"/>
  <c r="CH27" i="13"/>
  <c r="CT3" i="13"/>
  <c r="CH26" i="13" s="1"/>
  <c r="CH38" i="13"/>
  <c r="CG53" i="13"/>
  <c r="DG38" i="13"/>
  <c r="DF53" i="13"/>
  <c r="DT3" i="13"/>
  <c r="DH26" i="13" s="1"/>
  <c r="EG38" i="13"/>
  <c r="EF53" i="13"/>
  <c r="DE45" i="13"/>
  <c r="EO17" i="13"/>
  <c r="EC44" i="13" s="1"/>
  <c r="DC69" i="13"/>
  <c r="BE68" i="13"/>
  <c r="EB68" i="13"/>
  <c r="CD69" i="13"/>
  <c r="AH61" i="13"/>
  <c r="AI61" i="13" s="1"/>
  <c r="AJ61" i="13" s="1"/>
  <c r="AK61" i="13" s="1"/>
  <c r="AL61" i="13" s="1"/>
  <c r="AG61" i="13"/>
  <c r="AG68" i="13" s="1"/>
  <c r="AS57" i="13"/>
  <c r="AS65" i="13" s="1"/>
  <c r="AS61" i="13"/>
  <c r="AS69" i="13" s="1"/>
  <c r="AS59" i="13"/>
  <c r="AS67" i="13" s="1"/>
  <c r="AS60" i="13"/>
  <c r="AS68" i="13" s="1"/>
  <c r="AS58" i="13"/>
  <c r="AS66" i="13" s="1"/>
  <c r="BG57" i="13"/>
  <c r="DE39" i="13"/>
  <c r="DQ24" i="13" s="1"/>
  <c r="DE52" i="13"/>
  <c r="DE54" i="13" s="1"/>
  <c r="DE41" i="13"/>
  <c r="DE42" i="13" s="1"/>
  <c r="CF52" i="13"/>
  <c r="CF54" i="13" s="1"/>
  <c r="CF39" i="13"/>
  <c r="CF41" i="13"/>
  <c r="CF42" i="13" s="1"/>
  <c r="EF30" i="13"/>
  <c r="EE36" i="13"/>
  <c r="EE31" i="13"/>
  <c r="AI36" i="2"/>
  <c r="AH37" i="2"/>
  <c r="AJ42" i="2"/>
  <c r="AI43" i="2"/>
  <c r="DG30" i="13"/>
  <c r="DF36" i="13"/>
  <c r="DF31" i="13"/>
  <c r="AW4" i="13"/>
  <c r="AV3" i="13"/>
  <c r="AJ26" i="13" s="1"/>
  <c r="AJ27" i="13"/>
  <c r="AJ48" i="2"/>
  <c r="AI49" i="2"/>
  <c r="AS17" i="13"/>
  <c r="AG44" i="13" s="1"/>
  <c r="CF61" i="13"/>
  <c r="CG61" i="13" s="1"/>
  <c r="CH61" i="13" s="1"/>
  <c r="CI61" i="13" s="1"/>
  <c r="CJ61" i="13" s="1"/>
  <c r="CQ58" i="13"/>
  <c r="CQ66" i="13" s="1"/>
  <c r="CQ60" i="13"/>
  <c r="CQ68" i="13" s="1"/>
  <c r="CQ57" i="13"/>
  <c r="CQ65" i="13" s="1"/>
  <c r="CQ61" i="13"/>
  <c r="CQ69" i="13" s="1"/>
  <c r="CQ59" i="13"/>
  <c r="CQ67" i="13" s="1"/>
  <c r="CE61" i="13"/>
  <c r="CE68" i="13" s="1"/>
  <c r="AH57" i="13"/>
  <c r="AX18" i="13"/>
  <c r="AH34" i="13"/>
  <c r="DE34" i="13"/>
  <c r="AU19" i="13"/>
  <c r="AK56" i="13"/>
  <c r="AL56" i="13" s="1"/>
  <c r="AJ38" i="13"/>
  <c r="AI53" i="13"/>
  <c r="CH30" i="13"/>
  <c r="CG36" i="13"/>
  <c r="CG31" i="13"/>
  <c r="CR23" i="13"/>
  <c r="CS23" i="13" s="1"/>
  <c r="CT23" i="13" s="1"/>
  <c r="CU23" i="13" s="1"/>
  <c r="CV23" i="13" s="1"/>
  <c r="CQ43" i="13"/>
  <c r="CQ51" i="13" s="1"/>
  <c r="CQ44" i="13"/>
  <c r="CQ52" i="13" s="1"/>
  <c r="CQ42" i="13"/>
  <c r="CQ50" i="13" s="1"/>
  <c r="CQ41" i="13"/>
  <c r="CQ49" i="13" s="1"/>
  <c r="CQ45" i="13"/>
  <c r="CQ53" i="13" s="1"/>
  <c r="CQ23" i="13"/>
  <c r="CQ17" i="13" s="1"/>
  <c r="CE44" i="13" s="1"/>
  <c r="DE57" i="13"/>
  <c r="AJ29" i="13"/>
  <c r="AI33" i="13"/>
  <c r="DG29" i="13"/>
  <c r="DF33" i="13"/>
  <c r="ED61" i="13"/>
  <c r="EE61" i="13" s="1"/>
  <c r="EF61" i="13" s="1"/>
  <c r="EG61" i="13" s="1"/>
  <c r="EH61" i="13" s="1"/>
  <c r="EO61" i="13"/>
  <c r="EO69" i="13" s="1"/>
  <c r="EO59" i="13"/>
  <c r="EO67" i="13" s="1"/>
  <c r="EO60" i="13"/>
  <c r="EO68" i="13" s="1"/>
  <c r="EO57" i="13"/>
  <c r="EO65" i="13" s="1"/>
  <c r="EO58" i="13"/>
  <c r="EO66" i="13" s="1"/>
  <c r="EC61" i="13"/>
  <c r="EC69" i="13" s="1"/>
  <c r="ED34" i="13"/>
  <c r="DD42" i="13"/>
  <c r="BI30" i="13"/>
  <c r="AI30" i="2"/>
  <c r="AI31" i="2" s="1"/>
  <c r="BH36" i="13"/>
  <c r="BH31" i="13"/>
  <c r="EF29" i="13"/>
  <c r="EE33" i="13"/>
  <c r="DQ23" i="13"/>
  <c r="DR23" i="13" s="1"/>
  <c r="DS23" i="13" s="1"/>
  <c r="DT23" i="13" s="1"/>
  <c r="DU23" i="13" s="1"/>
  <c r="DP42" i="13"/>
  <c r="DP50" i="13" s="1"/>
  <c r="DP45" i="13"/>
  <c r="DP53" i="13" s="1"/>
  <c r="DP41" i="13"/>
  <c r="DP49" i="13" s="1"/>
  <c r="DP44" i="13"/>
  <c r="DP52" i="13" s="1"/>
  <c r="DP43" i="13"/>
  <c r="DP51" i="13" s="1"/>
  <c r="AH52" i="13"/>
  <c r="AH54" i="13" s="1"/>
  <c r="AH41" i="13"/>
  <c r="AH39" i="13"/>
  <c r="BG34" i="13"/>
  <c r="AH45" i="13"/>
  <c r="DE61" i="13"/>
  <c r="DF61" i="13" s="1"/>
  <c r="DG61" i="13" s="1"/>
  <c r="DH61" i="13" s="1"/>
  <c r="DI61" i="13" s="1"/>
  <c r="DP60" i="13"/>
  <c r="DP68" i="13" s="1"/>
  <c r="DP59" i="13"/>
  <c r="DP67" i="13" s="1"/>
  <c r="DP57" i="13"/>
  <c r="DP65" i="13" s="1"/>
  <c r="DP61" i="13"/>
  <c r="DP69" i="13" s="1"/>
  <c r="DP58" i="13"/>
  <c r="DP66" i="13" s="1"/>
  <c r="DD61" i="13"/>
  <c r="DD68" i="13" s="1"/>
  <c r="BS23" i="13"/>
  <c r="BT23" i="13" s="1"/>
  <c r="BU23" i="13" s="1"/>
  <c r="BR44" i="13"/>
  <c r="BR52" i="13" s="1"/>
  <c r="BR41" i="13"/>
  <c r="BR49" i="13" s="1"/>
  <c r="BR43" i="13"/>
  <c r="BR51" i="13" s="1"/>
  <c r="BR42" i="13"/>
  <c r="BR50" i="13" s="1"/>
  <c r="BR45" i="13"/>
  <c r="BR53" i="13" s="1"/>
  <c r="CF57" i="13"/>
  <c r="ED52" i="13"/>
  <c r="ED54" i="13" s="1"/>
  <c r="ED39" i="13"/>
  <c r="ED41" i="13"/>
  <c r="ED45" i="13"/>
  <c r="BI29" i="13"/>
  <c r="BH33" i="13"/>
  <c r="AT23" i="13"/>
  <c r="AU23" i="13" s="1"/>
  <c r="AV23" i="13" s="1"/>
  <c r="AW23" i="13" s="1"/>
  <c r="AX23" i="13" s="1"/>
  <c r="AS44" i="13"/>
  <c r="AS52" i="13" s="1"/>
  <c r="AS43" i="13"/>
  <c r="AS51" i="13" s="1"/>
  <c r="AS42" i="13"/>
  <c r="AS50" i="13" s="1"/>
  <c r="AS41" i="13"/>
  <c r="AS49" i="13" s="1"/>
  <c r="AS45" i="13"/>
  <c r="AS53" i="13" s="1"/>
  <c r="ED57" i="13"/>
  <c r="CF45" i="13"/>
  <c r="EP23" i="13"/>
  <c r="EQ23" i="13" s="1"/>
  <c r="ER23" i="13" s="1"/>
  <c r="ES23" i="13" s="1"/>
  <c r="ET23" i="13" s="1"/>
  <c r="EO45" i="13"/>
  <c r="EO53" i="13" s="1"/>
  <c r="EO41" i="13"/>
  <c r="EO49" i="13" s="1"/>
  <c r="EO44" i="13"/>
  <c r="EO52" i="13" s="1"/>
  <c r="EO43" i="13"/>
  <c r="EO51" i="13" s="1"/>
  <c r="EO42" i="13"/>
  <c r="EO50" i="13" s="1"/>
  <c r="BG52" i="13"/>
  <c r="BG54" i="13" s="1"/>
  <c r="BG41" i="13"/>
  <c r="BG42" i="13" s="1"/>
  <c r="BG39" i="13"/>
  <c r="BG45" i="13"/>
  <c r="AI24" i="2"/>
  <c r="AI25" i="2" s="1"/>
  <c r="AJ30" i="13"/>
  <c r="AI31" i="13"/>
  <c r="AI36" i="13"/>
  <c r="BF61" i="13"/>
  <c r="BF69" i="13" s="1"/>
  <c r="BG61" i="13"/>
  <c r="BH61" i="13" s="1"/>
  <c r="BI61" i="13" s="1"/>
  <c r="BJ61" i="13" s="1"/>
  <c r="BK61" i="13" s="1"/>
  <c r="BR61" i="13"/>
  <c r="BR69" i="13" s="1"/>
  <c r="BR57" i="13"/>
  <c r="BR65" i="13" s="1"/>
  <c r="BR58" i="13"/>
  <c r="BR66" i="13" s="1"/>
  <c r="BR60" i="13"/>
  <c r="BR68" i="13" s="1"/>
  <c r="BR59" i="13"/>
  <c r="BR67" i="13" s="1"/>
  <c r="DP23" i="13"/>
  <c r="DP17" i="13" s="1"/>
  <c r="DD44" i="13" s="1"/>
  <c r="EH16" i="13"/>
  <c r="DI16" i="13"/>
  <c r="CJ34" i="13"/>
  <c r="CJ37" i="13"/>
  <c r="CJ16" i="13"/>
  <c r="J30" i="13"/>
  <c r="AH18" i="2"/>
  <c r="AH11" i="2" s="1"/>
  <c r="I46" i="4"/>
  <c r="L38" i="13"/>
  <c r="K53" i="13"/>
  <c r="J29" i="13"/>
  <c r="I33" i="13"/>
  <c r="H34" i="13"/>
  <c r="G40" i="4"/>
  <c r="H40" i="4" s="1"/>
  <c r="J38" i="2"/>
  <c r="J53" i="2" s="1"/>
  <c r="L33" i="2"/>
  <c r="L34" i="2" s="1"/>
  <c r="F31" i="2"/>
  <c r="S18" i="2"/>
  <c r="F130" i="8"/>
  <c r="F134" i="8" s="1"/>
  <c r="G30" i="2"/>
  <c r="K82" i="8"/>
  <c r="L46" i="8"/>
  <c r="AG69" i="13" l="1"/>
  <c r="CE69" i="13"/>
  <c r="CV4" i="13"/>
  <c r="CI27" i="13"/>
  <c r="CU3" i="13"/>
  <c r="CI26" i="13" s="1"/>
  <c r="CI38" i="13"/>
  <c r="CH53" i="13"/>
  <c r="BJ53" i="13"/>
  <c r="BK38" i="13"/>
  <c r="BK53" i="13" s="1"/>
  <c r="EG53" i="13"/>
  <c r="EH38" i="13"/>
  <c r="EH53" i="13" s="1"/>
  <c r="DH38" i="13"/>
  <c r="DG53" i="13"/>
  <c r="DU3" i="13"/>
  <c r="DI26" i="13" s="1"/>
  <c r="EC68" i="13"/>
  <c r="DQ17" i="13"/>
  <c r="DE44" i="13" s="1"/>
  <c r="BV23" i="13"/>
  <c r="BW23" i="13" s="1"/>
  <c r="EG29" i="13"/>
  <c r="EF33" i="13"/>
  <c r="DD69" i="13"/>
  <c r="AJ36" i="2"/>
  <c r="AI37" i="2"/>
  <c r="DR24" i="13"/>
  <c r="DS24" i="13" s="1"/>
  <c r="DT24" i="13" s="1"/>
  <c r="DU24" i="13" s="1"/>
  <c r="DQ45" i="13"/>
  <c r="DQ53" i="13" s="1"/>
  <c r="DQ42" i="13"/>
  <c r="DQ50" i="13" s="1"/>
  <c r="DQ44" i="13"/>
  <c r="DQ52" i="13" s="1"/>
  <c r="DQ43" i="13"/>
  <c r="DQ51" i="13" s="1"/>
  <c r="DQ41" i="13"/>
  <c r="DQ49" i="13" s="1"/>
  <c r="BT24" i="13"/>
  <c r="BU24" i="13" s="1"/>
  <c r="BV24" i="13" s="1"/>
  <c r="BW24" i="13" s="1"/>
  <c r="BS43" i="13"/>
  <c r="BS51" i="13" s="1"/>
  <c r="BS42" i="13"/>
  <c r="BS50" i="13" s="1"/>
  <c r="BS41" i="13"/>
  <c r="BS49" i="13" s="1"/>
  <c r="BS45" i="13"/>
  <c r="BS53" i="13" s="1"/>
  <c r="BS44" i="13"/>
  <c r="BS52" i="13" s="1"/>
  <c r="ED42" i="13"/>
  <c r="DF57" i="13"/>
  <c r="AK38" i="13"/>
  <c r="AJ53" i="13"/>
  <c r="AI57" i="13"/>
  <c r="BF68" i="13"/>
  <c r="EE57" i="13"/>
  <c r="EQ24" i="13"/>
  <c r="ER24" i="13" s="1"/>
  <c r="ES24" i="13" s="1"/>
  <c r="ET24" i="13" s="1"/>
  <c r="EP41" i="13"/>
  <c r="EP49" i="13" s="1"/>
  <c r="EP42" i="13"/>
  <c r="EP50" i="13" s="1"/>
  <c r="EP44" i="13"/>
  <c r="EP52" i="13" s="1"/>
  <c r="EP45" i="13"/>
  <c r="EP53" i="13" s="1"/>
  <c r="EP43" i="13"/>
  <c r="EP51" i="13" s="1"/>
  <c r="AU24" i="13"/>
  <c r="AV24" i="13" s="1"/>
  <c r="AW24" i="13" s="1"/>
  <c r="AX24" i="13" s="1"/>
  <c r="AT42" i="13"/>
  <c r="AT50" i="13" s="1"/>
  <c r="AT41" i="13"/>
  <c r="AT49" i="13" s="1"/>
  <c r="AT45" i="13"/>
  <c r="AT53" i="13" s="1"/>
  <c r="AT43" i="13"/>
  <c r="AT51" i="13" s="1"/>
  <c r="AT44" i="13"/>
  <c r="AT52" i="13" s="1"/>
  <c r="AK48" i="2"/>
  <c r="AJ49" i="2"/>
  <c r="EE41" i="13"/>
  <c r="EE42" i="13" s="1"/>
  <c r="EE39" i="13"/>
  <c r="EQ25" i="13" s="1"/>
  <c r="EE52" i="13"/>
  <c r="EE54" i="13" s="1"/>
  <c r="EE45" i="13"/>
  <c r="BH57" i="13"/>
  <c r="BG62" i="13"/>
  <c r="BG68" i="13" s="1"/>
  <c r="BH62" i="13"/>
  <c r="BI62" i="13" s="1"/>
  <c r="BJ62" i="13" s="1"/>
  <c r="BK62" i="13" s="1"/>
  <c r="BS61" i="13"/>
  <c r="BS69" i="13" s="1"/>
  <c r="BS59" i="13"/>
  <c r="BS67" i="13" s="1"/>
  <c r="BS58" i="13"/>
  <c r="BS66" i="13" s="1"/>
  <c r="BS60" i="13"/>
  <c r="BS68" i="13" s="1"/>
  <c r="BS57" i="13"/>
  <c r="BS65" i="13" s="1"/>
  <c r="EE62" i="13"/>
  <c r="EF62" i="13" s="1"/>
  <c r="EG62" i="13" s="1"/>
  <c r="EH62" i="13" s="1"/>
  <c r="EP58" i="13"/>
  <c r="EP66" i="13" s="1"/>
  <c r="EP60" i="13"/>
  <c r="EP68" i="13" s="1"/>
  <c r="EP57" i="13"/>
  <c r="EP65" i="13" s="1"/>
  <c r="EP59" i="13"/>
  <c r="EP67" i="13" s="1"/>
  <c r="EP61" i="13"/>
  <c r="EP69" i="13" s="1"/>
  <c r="ED62" i="13"/>
  <c r="ED69" i="13" s="1"/>
  <c r="AH42" i="13"/>
  <c r="EG30" i="13"/>
  <c r="EF31" i="13"/>
  <c r="EF36" i="13"/>
  <c r="AI62" i="13"/>
  <c r="AJ62" i="13" s="1"/>
  <c r="AK62" i="13" s="1"/>
  <c r="AL62" i="13" s="1"/>
  <c r="AH62" i="13"/>
  <c r="AH69" i="13" s="1"/>
  <c r="AT58" i="13"/>
  <c r="AT66" i="13" s="1"/>
  <c r="AT61" i="13"/>
  <c r="AT69" i="13" s="1"/>
  <c r="AT60" i="13"/>
  <c r="AT68" i="13" s="1"/>
  <c r="AT59" i="13"/>
  <c r="AT67" i="13" s="1"/>
  <c r="AT57" i="13"/>
  <c r="AT65" i="13" s="1"/>
  <c r="BH41" i="13"/>
  <c r="BH42" i="13" s="1"/>
  <c r="BH52" i="13"/>
  <c r="BH54" i="13" s="1"/>
  <c r="BH39" i="13"/>
  <c r="BT25" i="13" s="1"/>
  <c r="BH45" i="13"/>
  <c r="AV19" i="13"/>
  <c r="AX4" i="13"/>
  <c r="AW3" i="13"/>
  <c r="AK26" i="13" s="1"/>
  <c r="AK27" i="13"/>
  <c r="BJ30" i="13"/>
  <c r="AJ30" i="2"/>
  <c r="AJ31" i="2" s="1"/>
  <c r="BI31" i="13"/>
  <c r="BI36" i="13"/>
  <c r="AI39" i="13"/>
  <c r="AU25" i="13" s="1"/>
  <c r="AI52" i="13"/>
  <c r="AI54" i="13" s="1"/>
  <c r="AI41" i="13"/>
  <c r="AI42" i="13" s="1"/>
  <c r="DF34" i="13"/>
  <c r="DF39" i="13"/>
  <c r="DR25" i="13" s="1"/>
  <c r="DF52" i="13"/>
  <c r="DF54" i="13" s="1"/>
  <c r="DF41" i="13"/>
  <c r="DF45" i="13"/>
  <c r="CS24" i="13"/>
  <c r="CT24" i="13" s="1"/>
  <c r="CU24" i="13" s="1"/>
  <c r="CV24" i="13" s="1"/>
  <c r="CR41" i="13"/>
  <c r="CR49" i="13" s="1"/>
  <c r="CR45" i="13"/>
  <c r="CR53" i="13" s="1"/>
  <c r="CR44" i="13"/>
  <c r="CR52" i="13" s="1"/>
  <c r="CR43" i="13"/>
  <c r="CR51" i="13" s="1"/>
  <c r="CR42" i="13"/>
  <c r="CR50" i="13" s="1"/>
  <c r="CR24" i="13"/>
  <c r="CR17" i="13" s="1"/>
  <c r="CF44" i="13" s="1"/>
  <c r="AK30" i="13"/>
  <c r="AJ24" i="2"/>
  <c r="AJ25" i="2" s="1"/>
  <c r="AJ36" i="13"/>
  <c r="AJ31" i="13"/>
  <c r="DH29" i="13"/>
  <c r="DG33" i="13"/>
  <c r="AT24" i="13"/>
  <c r="AT17" i="13" s="1"/>
  <c r="AH44" i="13" s="1"/>
  <c r="DH30" i="13"/>
  <c r="DG31" i="13"/>
  <c r="DG36" i="13"/>
  <c r="CG62" i="13"/>
  <c r="CH62" i="13" s="1"/>
  <c r="CI62" i="13" s="1"/>
  <c r="CJ62" i="13" s="1"/>
  <c r="CR58" i="13"/>
  <c r="CR66" i="13" s="1"/>
  <c r="CR60" i="13"/>
  <c r="CR68" i="13" s="1"/>
  <c r="CR57" i="13"/>
  <c r="CR65" i="13" s="1"/>
  <c r="CR59" i="13"/>
  <c r="CR67" i="13" s="1"/>
  <c r="CR61" i="13"/>
  <c r="CR69" i="13" s="1"/>
  <c r="CF62" i="13"/>
  <c r="CF68" i="13" s="1"/>
  <c r="CG57" i="13"/>
  <c r="BH34" i="13"/>
  <c r="BS24" i="13"/>
  <c r="BS17" i="13" s="1"/>
  <c r="BG44" i="13" s="1"/>
  <c r="AI34" i="13"/>
  <c r="BJ29" i="13"/>
  <c r="BI33" i="13"/>
  <c r="EP24" i="13"/>
  <c r="EP17" i="13" s="1"/>
  <c r="ED44" i="13" s="1"/>
  <c r="AK29" i="13"/>
  <c r="AJ33" i="13"/>
  <c r="CG39" i="13"/>
  <c r="CG52" i="13"/>
  <c r="CG54" i="13" s="1"/>
  <c r="CG41" i="13"/>
  <c r="CG42" i="13" s="1"/>
  <c r="CG45" i="13"/>
  <c r="AK42" i="2"/>
  <c r="AJ43" i="2"/>
  <c r="AI45" i="13"/>
  <c r="EE34" i="13"/>
  <c r="CI30" i="13"/>
  <c r="CH31" i="13"/>
  <c r="CH36" i="13"/>
  <c r="DF62" i="13"/>
  <c r="DG62" i="13" s="1"/>
  <c r="DH62" i="13" s="1"/>
  <c r="DI62" i="13" s="1"/>
  <c r="DQ57" i="13"/>
  <c r="DQ65" i="13" s="1"/>
  <c r="DQ60" i="13"/>
  <c r="DQ68" i="13" s="1"/>
  <c r="DQ59" i="13"/>
  <c r="DQ67" i="13" s="1"/>
  <c r="DQ58" i="13"/>
  <c r="DQ66" i="13" s="1"/>
  <c r="DQ61" i="13"/>
  <c r="DQ69" i="13" s="1"/>
  <c r="DE62" i="13"/>
  <c r="DE69" i="13" s="1"/>
  <c r="K30" i="13"/>
  <c r="AI18" i="2"/>
  <c r="AI11" i="2" s="1"/>
  <c r="M38" i="13"/>
  <c r="M53" i="13" s="1"/>
  <c r="L53" i="13"/>
  <c r="I34" i="13"/>
  <c r="K29" i="13"/>
  <c r="J33" i="13"/>
  <c r="M20" i="2"/>
  <c r="L40" i="4" s="1"/>
  <c r="K47" i="4"/>
  <c r="K38" i="2"/>
  <c r="K53" i="2" s="1"/>
  <c r="M15" i="2"/>
  <c r="F56" i="2"/>
  <c r="J49" i="4"/>
  <c r="G31" i="2"/>
  <c r="T18" i="2"/>
  <c r="F132" i="8"/>
  <c r="J47" i="4"/>
  <c r="F131" i="8"/>
  <c r="H30" i="2"/>
  <c r="L82" i="8"/>
  <c r="M46" i="8"/>
  <c r="F135" i="8"/>
  <c r="F136" i="8" s="1"/>
  <c r="F137" i="8" s="1"/>
  <c r="F141" i="8" s="1"/>
  <c r="F65" i="8" s="1"/>
  <c r="DI38" i="13" l="1"/>
  <c r="DI53" i="13" s="1"/>
  <c r="DH53" i="13"/>
  <c r="CJ38" i="13"/>
  <c r="CJ53" i="13" s="1"/>
  <c r="CI53" i="13"/>
  <c r="CJ27" i="13"/>
  <c r="CV3" i="13"/>
  <c r="CJ26" i="13" s="1"/>
  <c r="EQ17" i="13"/>
  <c r="EE44" i="13" s="1"/>
  <c r="BT17" i="13"/>
  <c r="BH44" i="13" s="1"/>
  <c r="DR17" i="13"/>
  <c r="DF44" i="13" s="1"/>
  <c r="DG45" i="13"/>
  <c r="BI45" i="13"/>
  <c r="BG69" i="13"/>
  <c r="AU17" i="13"/>
  <c r="AI44" i="13" s="1"/>
  <c r="DI29" i="13"/>
  <c r="DH33" i="13"/>
  <c r="AL48" i="2"/>
  <c r="AL49" i="2" s="1"/>
  <c r="AK49" i="2"/>
  <c r="AL42" i="2"/>
  <c r="AL43" i="2" s="1"/>
  <c r="AK43" i="2"/>
  <c r="DF42" i="13"/>
  <c r="AK30" i="2"/>
  <c r="AK31" i="2" s="1"/>
  <c r="BK30" i="13"/>
  <c r="BJ31" i="13"/>
  <c r="BJ36" i="13"/>
  <c r="ED68" i="13"/>
  <c r="AJ39" i="13"/>
  <c r="AV26" i="13" s="1"/>
  <c r="AJ41" i="13"/>
  <c r="AJ42" i="13" s="1"/>
  <c r="AJ52" i="13"/>
  <c r="AJ54" i="13" s="1"/>
  <c r="DG63" i="13"/>
  <c r="DH63" i="13" s="1"/>
  <c r="DI63" i="13" s="1"/>
  <c r="DR59" i="13"/>
  <c r="DR67" i="13" s="1"/>
  <c r="DR60" i="13"/>
  <c r="DR68" i="13" s="1"/>
  <c r="DR57" i="13"/>
  <c r="DR65" i="13" s="1"/>
  <c r="DR61" i="13"/>
  <c r="DR69" i="13" s="1"/>
  <c r="DR58" i="13"/>
  <c r="DR66" i="13" s="1"/>
  <c r="DF63" i="13"/>
  <c r="DF69" i="13" s="1"/>
  <c r="DS25" i="13"/>
  <c r="DT25" i="13" s="1"/>
  <c r="DU25" i="13" s="1"/>
  <c r="DR44" i="13"/>
  <c r="DR52" i="13" s="1"/>
  <c r="DR41" i="13"/>
  <c r="DR49" i="13" s="1"/>
  <c r="DR43" i="13"/>
  <c r="DR51" i="13" s="1"/>
  <c r="DR42" i="13"/>
  <c r="DR50" i="13" s="1"/>
  <c r="DR45" i="13"/>
  <c r="DR53" i="13" s="1"/>
  <c r="EF57" i="13"/>
  <c r="AX3" i="13"/>
  <c r="AL26" i="13" s="1"/>
  <c r="AL27" i="13"/>
  <c r="BI57" i="13"/>
  <c r="AH68" i="13"/>
  <c r="AK36" i="2"/>
  <c r="AJ37" i="2"/>
  <c r="CH63" i="13"/>
  <c r="CI63" i="13"/>
  <c r="CJ63" i="13" s="1"/>
  <c r="CS60" i="13"/>
  <c r="CS68" i="13" s="1"/>
  <c r="CS57" i="13"/>
  <c r="CS65" i="13" s="1"/>
  <c r="CS59" i="13"/>
  <c r="CS67" i="13" s="1"/>
  <c r="CS61" i="13"/>
  <c r="CS69" i="13" s="1"/>
  <c r="CS58" i="13"/>
  <c r="CS66" i="13" s="1"/>
  <c r="CG63" i="13"/>
  <c r="CG69" i="13" s="1"/>
  <c r="CH39" i="13"/>
  <c r="CH52" i="13"/>
  <c r="CH54" i="13" s="1"/>
  <c r="CH41" i="13"/>
  <c r="CH42" i="13" s="1"/>
  <c r="CH45" i="13"/>
  <c r="CT25" i="13"/>
  <c r="CU25" i="13" s="1"/>
  <c r="CV25" i="13" s="1"/>
  <c r="CS43" i="13"/>
  <c r="CS51" i="13" s="1"/>
  <c r="CS41" i="13"/>
  <c r="CS49" i="13" s="1"/>
  <c r="CS42" i="13"/>
  <c r="CS50" i="13" s="1"/>
  <c r="CS45" i="13"/>
  <c r="CS53" i="13" s="1"/>
  <c r="CS44" i="13"/>
  <c r="CS52" i="13" s="1"/>
  <c r="CS25" i="13"/>
  <c r="CS17" i="13" s="1"/>
  <c r="CG44" i="13" s="1"/>
  <c r="AW19" i="13"/>
  <c r="AJ57" i="13"/>
  <c r="AJ34" i="13"/>
  <c r="DG52" i="13"/>
  <c r="DG54" i="13" s="1"/>
  <c r="DG39" i="13"/>
  <c r="DS26" i="13" s="1"/>
  <c r="DG41" i="13"/>
  <c r="DG42" i="13" s="1"/>
  <c r="EF39" i="13"/>
  <c r="ER26" i="13" s="1"/>
  <c r="EF52" i="13"/>
  <c r="EF54" i="13" s="1"/>
  <c r="EF41" i="13"/>
  <c r="EF42" i="13" s="1"/>
  <c r="EF45" i="13"/>
  <c r="EF34" i="13"/>
  <c r="CJ30" i="13"/>
  <c r="CI36" i="13"/>
  <c r="CI31" i="13"/>
  <c r="AL29" i="13"/>
  <c r="AK33" i="13"/>
  <c r="AJ63" i="13"/>
  <c r="AK63" i="13" s="1"/>
  <c r="AL63" i="13" s="1"/>
  <c r="AI63" i="13"/>
  <c r="AI69" i="13" s="1"/>
  <c r="AU61" i="13"/>
  <c r="AU69" i="13" s="1"/>
  <c r="AU60" i="13"/>
  <c r="AU68" i="13" s="1"/>
  <c r="AU57" i="13"/>
  <c r="AU65" i="13" s="1"/>
  <c r="AU58" i="13"/>
  <c r="AU66" i="13" s="1"/>
  <c r="AU59" i="13"/>
  <c r="AU67" i="13" s="1"/>
  <c r="EF63" i="13"/>
  <c r="EG63" i="13" s="1"/>
  <c r="EH63" i="13" s="1"/>
  <c r="EQ59" i="13"/>
  <c r="EQ67" i="13" s="1"/>
  <c r="EQ61" i="13"/>
  <c r="EQ69" i="13" s="1"/>
  <c r="EQ60" i="13"/>
  <c r="EQ68" i="13" s="1"/>
  <c r="EQ57" i="13"/>
  <c r="EQ65" i="13" s="1"/>
  <c r="EQ58" i="13"/>
  <c r="EQ66" i="13" s="1"/>
  <c r="EE63" i="13"/>
  <c r="EE69" i="13" s="1"/>
  <c r="AL38" i="13"/>
  <c r="AL53" i="13" s="1"/>
  <c r="AK53" i="13"/>
  <c r="EH29" i="13"/>
  <c r="EG33" i="13"/>
  <c r="AL30" i="13"/>
  <c r="AK24" i="2"/>
  <c r="AK25" i="2" s="1"/>
  <c r="AK36" i="13"/>
  <c r="AK31" i="13"/>
  <c r="CF69" i="13"/>
  <c r="DI30" i="13"/>
  <c r="DH31" i="13"/>
  <c r="DH36" i="13"/>
  <c r="AV25" i="13"/>
  <c r="AW25" i="13" s="1"/>
  <c r="AX25" i="13" s="1"/>
  <c r="AU42" i="13"/>
  <c r="AU50" i="13" s="1"/>
  <c r="AU41" i="13"/>
  <c r="AU49" i="13" s="1"/>
  <c r="AU45" i="13"/>
  <c r="AU53" i="13" s="1"/>
  <c r="AU43" i="13"/>
  <c r="AU51" i="13" s="1"/>
  <c r="AU44" i="13"/>
  <c r="AU52" i="13" s="1"/>
  <c r="BU25" i="13"/>
  <c r="BV25" i="13" s="1"/>
  <c r="BW25" i="13" s="1"/>
  <c r="BT44" i="13"/>
  <c r="BT52" i="13" s="1"/>
  <c r="BT42" i="13"/>
  <c r="BT50" i="13" s="1"/>
  <c r="BT45" i="13"/>
  <c r="BT53" i="13" s="1"/>
  <c r="BT41" i="13"/>
  <c r="BT49" i="13" s="1"/>
  <c r="BT43" i="13"/>
  <c r="BT51" i="13" s="1"/>
  <c r="EH30" i="13"/>
  <c r="EG36" i="13"/>
  <c r="EG31" i="13"/>
  <c r="ER25" i="13"/>
  <c r="ES25" i="13" s="1"/>
  <c r="ET25" i="13" s="1"/>
  <c r="EQ41" i="13"/>
  <c r="EQ49" i="13" s="1"/>
  <c r="EQ42" i="13"/>
  <c r="EQ50" i="13" s="1"/>
  <c r="EQ45" i="13"/>
  <c r="EQ53" i="13" s="1"/>
  <c r="EQ44" i="13"/>
  <c r="EQ52" i="13" s="1"/>
  <c r="EQ43" i="13"/>
  <c r="EQ51" i="13" s="1"/>
  <c r="DE68" i="13"/>
  <c r="BI39" i="13"/>
  <c r="BU26" i="13" s="1"/>
  <c r="BI52" i="13"/>
  <c r="BI54" i="13" s="1"/>
  <c r="BI41" i="13"/>
  <c r="BI42" i="13" s="1"/>
  <c r="BT58" i="13"/>
  <c r="BT66" i="13" s="1"/>
  <c r="BI63" i="13"/>
  <c r="BJ63" i="13" s="1"/>
  <c r="BK63" i="13" s="1"/>
  <c r="BH63" i="13"/>
  <c r="BH68" i="13" s="1"/>
  <c r="BT61" i="13"/>
  <c r="BT69" i="13" s="1"/>
  <c r="BT60" i="13"/>
  <c r="BT68" i="13" s="1"/>
  <c r="BT57" i="13"/>
  <c r="BT65" i="13" s="1"/>
  <c r="BT59" i="13"/>
  <c r="BT67" i="13" s="1"/>
  <c r="BI34" i="13"/>
  <c r="BK29" i="13"/>
  <c r="BJ33" i="13"/>
  <c r="CH57" i="13"/>
  <c r="DG34" i="13"/>
  <c r="DG57" i="13"/>
  <c r="AJ45" i="13"/>
  <c r="L30" i="13"/>
  <c r="AJ18" i="2"/>
  <c r="AJ11" i="2" s="1"/>
  <c r="J34" i="13"/>
  <c r="L29" i="13"/>
  <c r="K33" i="13"/>
  <c r="I49" i="4"/>
  <c r="I47" i="4"/>
  <c r="L38" i="2"/>
  <c r="L53" i="2" s="1"/>
  <c r="M33" i="2"/>
  <c r="M37" i="2"/>
  <c r="G56" i="2"/>
  <c r="U18" i="2"/>
  <c r="H31" i="2"/>
  <c r="K49" i="4"/>
  <c r="I30" i="2"/>
  <c r="N46" i="8"/>
  <c r="M82" i="8"/>
  <c r="F25" i="8"/>
  <c r="F68" i="8"/>
  <c r="F142" i="8"/>
  <c r="F72" i="8" s="1"/>
  <c r="DF68" i="13" l="1"/>
  <c r="AI68" i="13"/>
  <c r="CG68" i="13"/>
  <c r="DS17" i="13"/>
  <c r="DG44" i="13" s="1"/>
  <c r="AK41" i="13"/>
  <c r="AK42" i="13" s="1"/>
  <c r="AK39" i="13"/>
  <c r="AW27" i="13" s="1"/>
  <c r="AK52" i="13"/>
  <c r="AK54" i="13" s="1"/>
  <c r="AK45" i="13"/>
  <c r="CI39" i="13"/>
  <c r="CI52" i="13"/>
  <c r="CI54" i="13" s="1"/>
  <c r="CI41" i="13"/>
  <c r="CI42" i="13" s="1"/>
  <c r="CI45" i="13"/>
  <c r="DT26" i="13"/>
  <c r="DU26" i="13" s="1"/>
  <c r="DS43" i="13"/>
  <c r="DS51" i="13" s="1"/>
  <c r="DS41" i="13"/>
  <c r="DS49" i="13" s="1"/>
  <c r="DS45" i="13"/>
  <c r="DS53" i="13" s="1"/>
  <c r="DS44" i="13"/>
  <c r="DS52" i="13" s="1"/>
  <c r="DS42" i="13"/>
  <c r="DS50" i="13" s="1"/>
  <c r="AL30" i="2"/>
  <c r="AL31" i="2" s="1"/>
  <c r="BK36" i="13"/>
  <c r="BK31" i="13"/>
  <c r="CJ36" i="13"/>
  <c r="CJ45" i="13" s="1"/>
  <c r="CJ31" i="13"/>
  <c r="DH64" i="13"/>
  <c r="DI64" i="13" s="1"/>
  <c r="DS60" i="13"/>
  <c r="DS68" i="13" s="1"/>
  <c r="DS59" i="13"/>
  <c r="DS67" i="13" s="1"/>
  <c r="DS57" i="13"/>
  <c r="DS65" i="13" s="1"/>
  <c r="DS58" i="13"/>
  <c r="DS66" i="13" s="1"/>
  <c r="DS61" i="13"/>
  <c r="DS69" i="13" s="1"/>
  <c r="DG64" i="13"/>
  <c r="DG68" i="13" s="1"/>
  <c r="AL24" i="2"/>
  <c r="AL25" i="2" s="1"/>
  <c r="AL31" i="13"/>
  <c r="AL36" i="13"/>
  <c r="EE68" i="13"/>
  <c r="EG34" i="13"/>
  <c r="ER17" i="13"/>
  <c r="EF44" i="13" s="1"/>
  <c r="EG57" i="13"/>
  <c r="CI57" i="13"/>
  <c r="BJ34" i="13"/>
  <c r="BK33" i="13"/>
  <c r="BK37" i="13"/>
  <c r="EG39" i="13"/>
  <c r="EG52" i="13"/>
  <c r="EG54" i="13" s="1"/>
  <c r="EG41" i="13"/>
  <c r="EG42" i="13" s="1"/>
  <c r="BI64" i="13"/>
  <c r="BI68" i="13" s="1"/>
  <c r="BJ64" i="13"/>
  <c r="BK64" i="13" s="1"/>
  <c r="BU59" i="13"/>
  <c r="BU67" i="13" s="1"/>
  <c r="BU60" i="13"/>
  <c r="BU68" i="13" s="1"/>
  <c r="BU57" i="13"/>
  <c r="BU65" i="13" s="1"/>
  <c r="BU61" i="13"/>
  <c r="BU69" i="13" s="1"/>
  <c r="BU58" i="13"/>
  <c r="BU66" i="13" s="1"/>
  <c r="EH31" i="13"/>
  <c r="EH36" i="13"/>
  <c r="AK57" i="13"/>
  <c r="AK64" i="13"/>
  <c r="AL64" i="13" s="1"/>
  <c r="AJ64" i="13"/>
  <c r="AJ69" i="13" s="1"/>
  <c r="AV59" i="13"/>
  <c r="AV67" i="13" s="1"/>
  <c r="AV60" i="13"/>
  <c r="AV68" i="13" s="1"/>
  <c r="AV61" i="13"/>
  <c r="AV69" i="13" s="1"/>
  <c r="AV57" i="13"/>
  <c r="AV65" i="13" s="1"/>
  <c r="AV58" i="13"/>
  <c r="AV66" i="13" s="1"/>
  <c r="EH33" i="13"/>
  <c r="EH37" i="13"/>
  <c r="BV26" i="13"/>
  <c r="BW26" i="13" s="1"/>
  <c r="BU42" i="13"/>
  <c r="BU50" i="13" s="1"/>
  <c r="BU44" i="13"/>
  <c r="BU52" i="13" s="1"/>
  <c r="BU45" i="13"/>
  <c r="BU53" i="13" s="1"/>
  <c r="BU43" i="13"/>
  <c r="BU51" i="13" s="1"/>
  <c r="BU41" i="13"/>
  <c r="BU49" i="13" s="1"/>
  <c r="DH39" i="13"/>
  <c r="DT27" i="13" s="1"/>
  <c r="DH52" i="13"/>
  <c r="DH54" i="13" s="1"/>
  <c r="DH41" i="13"/>
  <c r="DH42" i="13" s="1"/>
  <c r="EG64" i="13"/>
  <c r="EH64" i="13" s="1"/>
  <c r="ER61" i="13"/>
  <c r="ER69" i="13" s="1"/>
  <c r="ER57" i="13"/>
  <c r="ER65" i="13" s="1"/>
  <c r="ER58" i="13"/>
  <c r="ER66" i="13" s="1"/>
  <c r="ER59" i="13"/>
  <c r="ER67" i="13" s="1"/>
  <c r="ER60" i="13"/>
  <c r="ER68" i="13" s="1"/>
  <c r="EF64" i="13"/>
  <c r="EF69" i="13" s="1"/>
  <c r="AV17" i="13"/>
  <c r="AJ44" i="13" s="1"/>
  <c r="CI64" i="13"/>
  <c r="CJ64" i="13" s="1"/>
  <c r="CT58" i="13"/>
  <c r="CT66" i="13" s="1"/>
  <c r="CT60" i="13"/>
  <c r="CT68" i="13" s="1"/>
  <c r="CT61" i="13"/>
  <c r="CT69" i="13" s="1"/>
  <c r="CT57" i="13"/>
  <c r="CT65" i="13" s="1"/>
  <c r="CT59" i="13"/>
  <c r="CT67" i="13" s="1"/>
  <c r="CH64" i="13"/>
  <c r="CH69" i="13" s="1"/>
  <c r="BU17" i="13"/>
  <c r="BI44" i="13" s="1"/>
  <c r="ES26" i="13"/>
  <c r="ET26" i="13" s="1"/>
  <c r="ER42" i="13"/>
  <c r="ER50" i="13" s="1"/>
  <c r="ER44" i="13"/>
  <c r="ER52" i="13" s="1"/>
  <c r="ER45" i="13"/>
  <c r="ER53" i="13" s="1"/>
  <c r="ER43" i="13"/>
  <c r="ER51" i="13" s="1"/>
  <c r="ER41" i="13"/>
  <c r="ER49" i="13" s="1"/>
  <c r="AX19" i="13"/>
  <c r="CU26" i="13"/>
  <c r="CV26" i="13" s="1"/>
  <c r="CT41" i="13"/>
  <c r="CT49" i="13" s="1"/>
  <c r="CT43" i="13"/>
  <c r="CT51" i="13" s="1"/>
  <c r="CT42" i="13"/>
  <c r="CT50" i="13" s="1"/>
  <c r="CT45" i="13"/>
  <c r="CT53" i="13" s="1"/>
  <c r="CT44" i="13"/>
  <c r="CT52" i="13" s="1"/>
  <c r="CT26" i="13"/>
  <c r="CT17" i="13" s="1"/>
  <c r="CH44" i="13" s="1"/>
  <c r="AL36" i="2"/>
  <c r="AL37" i="2" s="1"/>
  <c r="AK37" i="2"/>
  <c r="AW26" i="13"/>
  <c r="AX26" i="13" s="1"/>
  <c r="AV42" i="13"/>
  <c r="AV50" i="13" s="1"/>
  <c r="AV44" i="13"/>
  <c r="AV52" i="13" s="1"/>
  <c r="AV45" i="13"/>
  <c r="AV53" i="13" s="1"/>
  <c r="AV43" i="13"/>
  <c r="AV51" i="13" s="1"/>
  <c r="AV41" i="13"/>
  <c r="AV49" i="13" s="1"/>
  <c r="DH34" i="13"/>
  <c r="DI36" i="13"/>
  <c r="DI31" i="13"/>
  <c r="AK34" i="13"/>
  <c r="DI33" i="13"/>
  <c r="DI37" i="13"/>
  <c r="AL33" i="13"/>
  <c r="AL37" i="13"/>
  <c r="DH45" i="13"/>
  <c r="BH69" i="13"/>
  <c r="BJ52" i="13"/>
  <c r="BJ54" i="13" s="1"/>
  <c r="BJ39" i="13"/>
  <c r="BV27" i="13" s="1"/>
  <c r="BJ41" i="13"/>
  <c r="BJ42" i="13" s="1"/>
  <c r="BJ45" i="13"/>
  <c r="DH57" i="13"/>
  <c r="BJ57" i="13"/>
  <c r="EG45" i="13"/>
  <c r="M30" i="13"/>
  <c r="AL18" i="2" s="1"/>
  <c r="AK18" i="2"/>
  <c r="AK11" i="2" s="1"/>
  <c r="K34" i="13"/>
  <c r="M29" i="13"/>
  <c r="L33" i="13"/>
  <c r="M38" i="2"/>
  <c r="M53" i="2" s="1"/>
  <c r="H56" i="2"/>
  <c r="I31" i="2"/>
  <c r="V18" i="2"/>
  <c r="J30" i="2"/>
  <c r="O46" i="8"/>
  <c r="N82" i="8"/>
  <c r="F143" i="8"/>
  <c r="F144" i="8" s="1"/>
  <c r="F36" i="8"/>
  <c r="F76" i="8"/>
  <c r="F28" i="8"/>
  <c r="BV17" i="13" l="1"/>
  <c r="BJ44" i="13" s="1"/>
  <c r="BI69" i="13"/>
  <c r="AW17" i="13"/>
  <c r="AK44" i="13" s="1"/>
  <c r="DG69" i="13"/>
  <c r="AL11" i="2"/>
  <c r="DI39" i="13"/>
  <c r="DU42" i="13" s="1"/>
  <c r="DU50" i="13" s="1"/>
  <c r="DT17" i="13"/>
  <c r="DH44" i="13" s="1"/>
  <c r="AJ68" i="13"/>
  <c r="AL57" i="13"/>
  <c r="ET27" i="13"/>
  <c r="ES43" i="13"/>
  <c r="ES51" i="13" s="1"/>
  <c r="ES45" i="13"/>
  <c r="ES53" i="13" s="1"/>
  <c r="ES42" i="13"/>
  <c r="ES50" i="13" s="1"/>
  <c r="ES41" i="13"/>
  <c r="ES49" i="13" s="1"/>
  <c r="ES44" i="13"/>
  <c r="ES52" i="13" s="1"/>
  <c r="EH65" i="13"/>
  <c r="ES59" i="13"/>
  <c r="ES67" i="13" s="1"/>
  <c r="ES57" i="13"/>
  <c r="ES65" i="13" s="1"/>
  <c r="ES61" i="13"/>
  <c r="ES69" i="13" s="1"/>
  <c r="ES60" i="13"/>
  <c r="ES68" i="13" s="1"/>
  <c r="ES58" i="13"/>
  <c r="ES66" i="13" s="1"/>
  <c r="EG65" i="13"/>
  <c r="EG69" i="13" s="1"/>
  <c r="EH41" i="13"/>
  <c r="EH42" i="13" s="1"/>
  <c r="EH52" i="13"/>
  <c r="EH54" i="13" s="1"/>
  <c r="EH39" i="13"/>
  <c r="BK34" i="13"/>
  <c r="BW28" i="13"/>
  <c r="ES27" i="13"/>
  <c r="ES17" i="13" s="1"/>
  <c r="EG44" i="13" s="1"/>
  <c r="ET28" i="13"/>
  <c r="EH34" i="13"/>
  <c r="CJ52" i="13"/>
  <c r="CJ54" i="13" s="1"/>
  <c r="CJ41" i="13"/>
  <c r="CJ42" i="13" s="1"/>
  <c r="CV28" i="13"/>
  <c r="CJ39" i="13"/>
  <c r="CU61" i="13"/>
  <c r="CU69" i="13" s="1"/>
  <c r="CJ65" i="13"/>
  <c r="CU58" i="13"/>
  <c r="CU66" i="13" s="1"/>
  <c r="CU57" i="13"/>
  <c r="CU65" i="13" s="1"/>
  <c r="CU59" i="13"/>
  <c r="CU67" i="13" s="1"/>
  <c r="CU60" i="13"/>
  <c r="CU68" i="13" s="1"/>
  <c r="CI65" i="13"/>
  <c r="CI69" i="13" s="1"/>
  <c r="DU41" i="13"/>
  <c r="DU49" i="13" s="1"/>
  <c r="AL41" i="13"/>
  <c r="AL42" i="13" s="1"/>
  <c r="AL39" i="13"/>
  <c r="AL52" i="13"/>
  <c r="AL54" i="13" s="1"/>
  <c r="AL45" i="13"/>
  <c r="CV27" i="13"/>
  <c r="CU43" i="13"/>
  <c r="CU51" i="13" s="1"/>
  <c r="CU41" i="13"/>
  <c r="CU49" i="13" s="1"/>
  <c r="CU45" i="13"/>
  <c r="CU53" i="13" s="1"/>
  <c r="CU44" i="13"/>
  <c r="CU52" i="13" s="1"/>
  <c r="CU42" i="13"/>
  <c r="CU50" i="13" s="1"/>
  <c r="CU27" i="13"/>
  <c r="CU17" i="13" s="1"/>
  <c r="CI44" i="13" s="1"/>
  <c r="BK57" i="13"/>
  <c r="AL34" i="13"/>
  <c r="AX28" i="13"/>
  <c r="DU28" i="13"/>
  <c r="DI34" i="13"/>
  <c r="BK39" i="13"/>
  <c r="BK52" i="13"/>
  <c r="BK54" i="13" s="1"/>
  <c r="BK41" i="13"/>
  <c r="BK42" i="13" s="1"/>
  <c r="K36" i="4" s="1"/>
  <c r="BK45" i="13"/>
  <c r="J36" i="4" s="1"/>
  <c r="DI57" i="13"/>
  <c r="DT60" i="13"/>
  <c r="DT68" i="13" s="1"/>
  <c r="DI65" i="13"/>
  <c r="DT59" i="13"/>
  <c r="DT67" i="13" s="1"/>
  <c r="DT58" i="13"/>
  <c r="DT66" i="13" s="1"/>
  <c r="DT61" i="13"/>
  <c r="DT69" i="13" s="1"/>
  <c r="DT57" i="13"/>
  <c r="DT65" i="13" s="1"/>
  <c r="DH65" i="13"/>
  <c r="DH68" i="13" s="1"/>
  <c r="CH68" i="13"/>
  <c r="AW57" i="13"/>
  <c r="AW65" i="13" s="1"/>
  <c r="AK65" i="13"/>
  <c r="AK68" i="13" s="1"/>
  <c r="AL65" i="13"/>
  <c r="AW61" i="13"/>
  <c r="AW69" i="13" s="1"/>
  <c r="AW59" i="13"/>
  <c r="AW67" i="13" s="1"/>
  <c r="AW60" i="13"/>
  <c r="AW68" i="13" s="1"/>
  <c r="AW58" i="13"/>
  <c r="AW66" i="13" s="1"/>
  <c r="DU27" i="13"/>
  <c r="DT45" i="13"/>
  <c r="DT53" i="13" s="1"/>
  <c r="DT44" i="13"/>
  <c r="DT52" i="13" s="1"/>
  <c r="DT42" i="13"/>
  <c r="DT50" i="13" s="1"/>
  <c r="DT43" i="13"/>
  <c r="DT51" i="13" s="1"/>
  <c r="DT41" i="13"/>
  <c r="DT49" i="13" s="1"/>
  <c r="AX27" i="13"/>
  <c r="AW44" i="13"/>
  <c r="AW52" i="13" s="1"/>
  <c r="AW43" i="13"/>
  <c r="AW51" i="13" s="1"/>
  <c r="AW45" i="13"/>
  <c r="AW53" i="13" s="1"/>
  <c r="AW41" i="13"/>
  <c r="AW49" i="13" s="1"/>
  <c r="AW42" i="13"/>
  <c r="AW50" i="13" s="1"/>
  <c r="CJ57" i="13"/>
  <c r="EH57" i="13"/>
  <c r="BW27" i="13"/>
  <c r="BV41" i="13"/>
  <c r="BV49" i="13" s="1"/>
  <c r="BV44" i="13"/>
  <c r="BV52" i="13" s="1"/>
  <c r="BV42" i="13"/>
  <c r="BV50" i="13" s="1"/>
  <c r="BV43" i="13"/>
  <c r="BV51" i="13" s="1"/>
  <c r="BV45" i="13"/>
  <c r="BV53" i="13" s="1"/>
  <c r="DI52" i="13"/>
  <c r="DI54" i="13" s="1"/>
  <c r="DI41" i="13"/>
  <c r="DI42" i="13" s="1"/>
  <c r="DI45" i="13"/>
  <c r="EF68" i="13"/>
  <c r="EH45" i="13"/>
  <c r="BV59" i="13"/>
  <c r="BV67" i="13" s="1"/>
  <c r="BK65" i="13"/>
  <c r="BJ65" i="13"/>
  <c r="BJ69" i="13" s="1"/>
  <c r="BV61" i="13"/>
  <c r="BV69" i="13" s="1"/>
  <c r="BV58" i="13"/>
  <c r="BV66" i="13" s="1"/>
  <c r="BV60" i="13"/>
  <c r="BV68" i="13" s="1"/>
  <c r="BV57" i="13"/>
  <c r="BV65" i="13" s="1"/>
  <c r="S35" i="4"/>
  <c r="L34" i="13"/>
  <c r="M33" i="13"/>
  <c r="M37" i="13"/>
  <c r="I56" i="2"/>
  <c r="J31" i="2"/>
  <c r="W18" i="2"/>
  <c r="K30" i="2"/>
  <c r="O82" i="8"/>
  <c r="P46" i="8"/>
  <c r="P82" i="8" s="1"/>
  <c r="F40" i="8"/>
  <c r="EG68" i="13" l="1"/>
  <c r="ET17" i="13"/>
  <c r="EH44" i="13" s="1"/>
  <c r="DU44" i="13"/>
  <c r="DU52" i="13" s="1"/>
  <c r="DU45" i="13"/>
  <c r="DU53" i="13" s="1"/>
  <c r="DU43" i="13"/>
  <c r="DU51" i="13" s="1"/>
  <c r="AX17" i="13"/>
  <c r="AL44" i="13" s="1"/>
  <c r="CI68" i="13"/>
  <c r="BK66" i="13"/>
  <c r="BK68" i="13" s="1"/>
  <c r="BW58" i="13"/>
  <c r="BW66" i="13" s="1"/>
  <c r="BW57" i="13"/>
  <c r="BW65" i="13" s="1"/>
  <c r="BW60" i="13"/>
  <c r="BW68" i="13" s="1"/>
  <c r="BW61" i="13"/>
  <c r="BW69" i="13" s="1"/>
  <c r="BW59" i="13"/>
  <c r="BW67" i="13" s="1"/>
  <c r="CV60" i="13"/>
  <c r="CV68" i="13" s="1"/>
  <c r="CV57" i="13"/>
  <c r="CV65" i="13" s="1"/>
  <c r="CV61" i="13"/>
  <c r="CV69" i="13" s="1"/>
  <c r="CV59" i="13"/>
  <c r="CV67" i="13" s="1"/>
  <c r="CV58" i="13"/>
  <c r="CV66" i="13" s="1"/>
  <c r="CJ66" i="13"/>
  <c r="CJ68" i="13" s="1"/>
  <c r="BW41" i="13"/>
  <c r="BW49" i="13" s="1"/>
  <c r="BW45" i="13"/>
  <c r="BW53" i="13" s="1"/>
  <c r="BW42" i="13"/>
  <c r="BW50" i="13" s="1"/>
  <c r="BW44" i="13"/>
  <c r="BW52" i="13" s="1"/>
  <c r="BW43" i="13"/>
  <c r="BW51" i="13" s="1"/>
  <c r="DU60" i="13"/>
  <c r="DU68" i="13" s="1"/>
  <c r="DU58" i="13"/>
  <c r="DU66" i="13" s="1"/>
  <c r="DU59" i="13"/>
  <c r="DU67" i="13" s="1"/>
  <c r="DU57" i="13"/>
  <c r="DU65" i="13" s="1"/>
  <c r="DU61" i="13"/>
  <c r="DU69" i="13" s="1"/>
  <c r="DI66" i="13"/>
  <c r="DI69" i="13" s="1"/>
  <c r="CJ69" i="13"/>
  <c r="DU17" i="13"/>
  <c r="DI44" i="13" s="1"/>
  <c r="BW17" i="13"/>
  <c r="BK44" i="13" s="1"/>
  <c r="I36" i="4" s="1"/>
  <c r="AL66" i="13"/>
  <c r="AL69" i="13" s="1"/>
  <c r="AX57" i="13"/>
  <c r="AX65" i="13" s="1"/>
  <c r="AX61" i="13"/>
  <c r="AX69" i="13" s="1"/>
  <c r="AX58" i="13"/>
  <c r="AX66" i="13" s="1"/>
  <c r="AX60" i="13"/>
  <c r="AX68" i="13" s="1"/>
  <c r="AX59" i="13"/>
  <c r="AX67" i="13" s="1"/>
  <c r="BJ68" i="13"/>
  <c r="AX44" i="13"/>
  <c r="AX52" i="13" s="1"/>
  <c r="AX42" i="13"/>
  <c r="AX50" i="13" s="1"/>
  <c r="AX43" i="13"/>
  <c r="AX51" i="13" s="1"/>
  <c r="AX41" i="13"/>
  <c r="AX49" i="13" s="1"/>
  <c r="AX45" i="13"/>
  <c r="AX53" i="13" s="1"/>
  <c r="ET41" i="13"/>
  <c r="ET49" i="13" s="1"/>
  <c r="ET45" i="13"/>
  <c r="ET53" i="13" s="1"/>
  <c r="ET44" i="13"/>
  <c r="ET52" i="13" s="1"/>
  <c r="ET43" i="13"/>
  <c r="ET51" i="13" s="1"/>
  <c r="ET42" i="13"/>
  <c r="ET50" i="13" s="1"/>
  <c r="DH69" i="13"/>
  <c r="ET61" i="13"/>
  <c r="ET69" i="13" s="1"/>
  <c r="ET58" i="13"/>
  <c r="ET66" i="13" s="1"/>
  <c r="ET60" i="13"/>
  <c r="ET68" i="13" s="1"/>
  <c r="ET57" i="13"/>
  <c r="ET65" i="13" s="1"/>
  <c r="ET59" i="13"/>
  <c r="ET67" i="13" s="1"/>
  <c r="EH66" i="13"/>
  <c r="EH69" i="13" s="1"/>
  <c r="BK69" i="13"/>
  <c r="CV44" i="13"/>
  <c r="CV52" i="13" s="1"/>
  <c r="CV41" i="13"/>
  <c r="CV49" i="13" s="1"/>
  <c r="CV45" i="13"/>
  <c r="CV53" i="13" s="1"/>
  <c r="CV42" i="13"/>
  <c r="CV50" i="13" s="1"/>
  <c r="CV43" i="13"/>
  <c r="CV51" i="13" s="1"/>
  <c r="CV17" i="13"/>
  <c r="CJ44" i="13" s="1"/>
  <c r="AK69" i="13"/>
  <c r="M34" i="13"/>
  <c r="J56" i="2"/>
  <c r="X18" i="2"/>
  <c r="K31" i="2"/>
  <c r="L30" i="2"/>
  <c r="AL68" i="13" l="1"/>
  <c r="DI68" i="13"/>
  <c r="EH68" i="13"/>
  <c r="K39" i="4"/>
  <c r="J39" i="4"/>
  <c r="K56" i="2"/>
  <c r="L31" i="2"/>
  <c r="Y18" i="2"/>
  <c r="M30" i="2"/>
  <c r="I39" i="4" l="1"/>
  <c r="I37" i="4"/>
  <c r="J37" i="4"/>
  <c r="K37" i="4"/>
  <c r="L56" i="2"/>
  <c r="M31" i="2"/>
  <c r="M56" i="2" l="1"/>
  <c r="J45" i="4" l="1"/>
  <c r="K45" i="4"/>
  <c r="I45" i="4" l="1"/>
  <c r="J48" i="4" l="1"/>
  <c r="I48" i="4" l="1"/>
  <c r="J35" i="4"/>
  <c r="K35" i="4"/>
  <c r="K48" i="4"/>
  <c r="I35" i="4" l="1"/>
  <c r="J38" i="4" l="1"/>
  <c r="K38" i="4"/>
  <c r="I38" i="4" l="1"/>
  <c r="M34" i="2"/>
  <c r="C17" i="11" l="1"/>
  <c r="H17" i="11" s="1"/>
  <c r="F4" i="4" l="1"/>
  <c r="G17" i="11"/>
  <c r="I24" i="13" l="1"/>
  <c r="J24" i="13"/>
  <c r="K24" i="13"/>
  <c r="L24" i="13"/>
  <c r="M24" i="13"/>
  <c r="D24" i="13"/>
  <c r="E24" i="13"/>
  <c r="F24" i="13"/>
  <c r="H24" i="13"/>
  <c r="G24" i="13"/>
  <c r="D13" i="13"/>
  <c r="E13" i="13" s="1"/>
  <c r="F13" i="13" s="1"/>
  <c r="G13" i="13" s="1"/>
  <c r="H13" i="13" s="1"/>
  <c r="I13" i="13" s="1"/>
  <c r="J13" i="13" s="1"/>
  <c r="K13" i="13" s="1"/>
  <c r="L13" i="13" s="1"/>
  <c r="M13" i="13" s="1"/>
  <c r="F10" i="4"/>
  <c r="G6" i="4" l="1"/>
  <c r="E14" i="13"/>
  <c r="AD17" i="2" s="1"/>
  <c r="D14" i="13"/>
  <c r="F14" i="13"/>
  <c r="AE17" i="2" s="1"/>
  <c r="G9" i="4"/>
  <c r="G4" i="4"/>
  <c r="C12" i="4"/>
  <c r="G7" i="4"/>
  <c r="G5" i="4"/>
  <c r="G8" i="4"/>
  <c r="AE10" i="2" l="1"/>
  <c r="AE12" i="2" s="1"/>
  <c r="AE19" i="2"/>
  <c r="Q5" i="13"/>
  <c r="R5" i="13" s="1"/>
  <c r="AC17" i="2"/>
  <c r="AD10" i="2"/>
  <c r="AD12" i="2" s="1"/>
  <c r="AD19" i="2"/>
  <c r="P5" i="13"/>
  <c r="P3" i="13" s="1"/>
  <c r="D26" i="13" s="1"/>
  <c r="D27" i="13"/>
  <c r="D16" i="13"/>
  <c r="D36" i="13"/>
  <c r="D41" i="13" s="1"/>
  <c r="D31" i="13"/>
  <c r="E27" i="13"/>
  <c r="R6" i="13"/>
  <c r="S6" i="13" s="1"/>
  <c r="T6" i="13" s="1"/>
  <c r="U6" i="13" s="1"/>
  <c r="V6" i="13" s="1"/>
  <c r="W6" i="13" s="1"/>
  <c r="X6" i="13" s="1"/>
  <c r="Y6" i="13" s="1"/>
  <c r="E16" i="13"/>
  <c r="E31" i="13"/>
  <c r="E36" i="13"/>
  <c r="Q6" i="13"/>
  <c r="Q3" i="13" s="1"/>
  <c r="E26" i="13" s="1"/>
  <c r="P45" i="4"/>
  <c r="D24" i="2"/>
  <c r="G14" i="13"/>
  <c r="AF17" i="2" s="1"/>
  <c r="T45" i="4"/>
  <c r="T46" i="4"/>
  <c r="K24" i="2"/>
  <c r="M24" i="2"/>
  <c r="I24" i="2"/>
  <c r="E24" i="2"/>
  <c r="P35" i="4"/>
  <c r="G24" i="2"/>
  <c r="T36" i="4"/>
  <c r="T35" i="4"/>
  <c r="J24" i="2"/>
  <c r="L24" i="2"/>
  <c r="D13" i="2"/>
  <c r="D14" i="2" s="1"/>
  <c r="D41" i="2" s="1"/>
  <c r="F24" i="2"/>
  <c r="H24" i="2"/>
  <c r="G10" i="4"/>
  <c r="AC19" i="2" l="1"/>
  <c r="AC10" i="2"/>
  <c r="AC12" i="2" s="1"/>
  <c r="AF10" i="2"/>
  <c r="AF12" i="2" s="1"/>
  <c r="AF19" i="2"/>
  <c r="D39" i="13"/>
  <c r="Q19" i="13" s="1"/>
  <c r="R19" i="13" s="1"/>
  <c r="S19" i="13" s="1"/>
  <c r="T19" i="13" s="1"/>
  <c r="U19" i="13" s="1"/>
  <c r="V19" i="13" s="1"/>
  <c r="W19" i="13" s="1"/>
  <c r="X19" i="13" s="1"/>
  <c r="Y19" i="13" s="1"/>
  <c r="D45" i="13"/>
  <c r="D52" i="13"/>
  <c r="E52" i="13"/>
  <c r="E54" i="13" s="1"/>
  <c r="E41" i="13"/>
  <c r="E42" i="13" s="1"/>
  <c r="E39" i="13"/>
  <c r="E45" i="13"/>
  <c r="S5" i="13"/>
  <c r="S7" i="13"/>
  <c r="T7" i="13" s="1"/>
  <c r="U7" i="13" s="1"/>
  <c r="V7" i="13" s="1"/>
  <c r="W7" i="13" s="1"/>
  <c r="X7" i="13" s="1"/>
  <c r="Y7" i="13" s="1"/>
  <c r="F36" i="13"/>
  <c r="F45" i="13" s="1"/>
  <c r="F31" i="13"/>
  <c r="F16" i="13"/>
  <c r="R7" i="13"/>
  <c r="R3" i="13" s="1"/>
  <c r="F26" i="13" s="1"/>
  <c r="F27" i="13"/>
  <c r="H14" i="13"/>
  <c r="AG17" i="2" s="1"/>
  <c r="D42" i="13"/>
  <c r="E13" i="2"/>
  <c r="E14" i="2" l="1"/>
  <c r="E41" i="2" s="1"/>
  <c r="F13" i="2"/>
  <c r="AG19" i="2"/>
  <c r="AG10" i="2"/>
  <c r="AG12" i="2" s="1"/>
  <c r="D54" i="13"/>
  <c r="D57" i="13" s="1"/>
  <c r="D68" i="13" s="1"/>
  <c r="P19" i="13"/>
  <c r="P17" i="13" s="1"/>
  <c r="D44" i="13" s="1"/>
  <c r="P44" i="13"/>
  <c r="P52" i="13" s="1"/>
  <c r="P45" i="13"/>
  <c r="P53" i="13" s="1"/>
  <c r="P41" i="13"/>
  <c r="P49" i="13" s="1"/>
  <c r="P42" i="13"/>
  <c r="P50" i="13" s="1"/>
  <c r="P43" i="13"/>
  <c r="P51" i="13" s="1"/>
  <c r="Q20" i="13"/>
  <c r="Q17" i="13" s="1"/>
  <c r="E44" i="13" s="1"/>
  <c r="R20" i="13"/>
  <c r="S20" i="13" s="1"/>
  <c r="T20" i="13" s="1"/>
  <c r="U20" i="13" s="1"/>
  <c r="V20" i="13" s="1"/>
  <c r="W20" i="13" s="1"/>
  <c r="X20" i="13" s="1"/>
  <c r="Y20" i="13" s="1"/>
  <c r="Q43" i="13"/>
  <c r="Q51" i="13" s="1"/>
  <c r="Q41" i="13"/>
  <c r="Q49" i="13" s="1"/>
  <c r="Q45" i="13"/>
  <c r="Q53" i="13" s="1"/>
  <c r="Q42" i="13"/>
  <c r="Q50" i="13" s="1"/>
  <c r="Q44" i="13"/>
  <c r="Q52" i="13" s="1"/>
  <c r="Q57" i="13"/>
  <c r="Q61" i="13"/>
  <c r="Q60" i="13"/>
  <c r="Q59" i="13"/>
  <c r="Q58" i="13"/>
  <c r="T8" i="13"/>
  <c r="U8" i="13" s="1"/>
  <c r="V8" i="13" s="1"/>
  <c r="W8" i="13" s="1"/>
  <c r="X8" i="13" s="1"/>
  <c r="Y8" i="13" s="1"/>
  <c r="G31" i="13"/>
  <c r="G16" i="13"/>
  <c r="G36" i="13"/>
  <c r="S8" i="13"/>
  <c r="S3" i="13" s="1"/>
  <c r="G26" i="13" s="1"/>
  <c r="F39" i="13"/>
  <c r="F52" i="13"/>
  <c r="F54" i="13" s="1"/>
  <c r="F41" i="13"/>
  <c r="F58" i="13"/>
  <c r="G58" i="13" s="1"/>
  <c r="H58" i="13" s="1"/>
  <c r="I58" i="13" s="1"/>
  <c r="J58" i="13" s="1"/>
  <c r="K58" i="13" s="1"/>
  <c r="L58" i="13" s="1"/>
  <c r="M58" i="13" s="1"/>
  <c r="E58" i="13"/>
  <c r="G27" i="13"/>
  <c r="T5" i="13"/>
  <c r="I14" i="13"/>
  <c r="AH17" i="2" s="1"/>
  <c r="P5" i="2"/>
  <c r="P3" i="2" s="1"/>
  <c r="D26" i="2" s="1"/>
  <c r="D27" i="2"/>
  <c r="Q5" i="2"/>
  <c r="R5" i="2" s="1"/>
  <c r="S5" i="2" s="1"/>
  <c r="D16" i="2"/>
  <c r="D36" i="2" s="1"/>
  <c r="D52" i="2" s="1"/>
  <c r="F14" i="2"/>
  <c r="F41" i="2" s="1"/>
  <c r="E27" i="2"/>
  <c r="AH19" i="2" l="1"/>
  <c r="AH10" i="2"/>
  <c r="AH12" i="2" s="1"/>
  <c r="Q67" i="13"/>
  <c r="E57" i="13"/>
  <c r="F57" i="13" s="1"/>
  <c r="G57" i="13" s="1"/>
  <c r="Q68" i="13"/>
  <c r="P58" i="13"/>
  <c r="P66" i="13" s="1"/>
  <c r="Q69" i="13"/>
  <c r="P57" i="13"/>
  <c r="P65" i="13" s="1"/>
  <c r="Q66" i="13"/>
  <c r="Q65" i="13"/>
  <c r="P61" i="13"/>
  <c r="P69" i="13" s="1"/>
  <c r="P60" i="13"/>
  <c r="P68" i="13" s="1"/>
  <c r="D69" i="13"/>
  <c r="P59" i="13"/>
  <c r="P67" i="13" s="1"/>
  <c r="R60" i="13"/>
  <c r="R68" i="13" s="1"/>
  <c r="R58" i="13"/>
  <c r="R66" i="13" s="1"/>
  <c r="R57" i="13"/>
  <c r="R65" i="13" s="1"/>
  <c r="R61" i="13"/>
  <c r="R69" i="13" s="1"/>
  <c r="R59" i="13"/>
  <c r="R67" i="13" s="1"/>
  <c r="R21" i="13"/>
  <c r="R17" i="13" s="1"/>
  <c r="F44" i="13" s="1"/>
  <c r="S21" i="13"/>
  <c r="T21" i="13" s="1"/>
  <c r="U21" i="13" s="1"/>
  <c r="V21" i="13" s="1"/>
  <c r="W21" i="13" s="1"/>
  <c r="X21" i="13" s="1"/>
  <c r="Y21" i="13" s="1"/>
  <c r="R43" i="13"/>
  <c r="R51" i="13" s="1"/>
  <c r="R45" i="13"/>
  <c r="R53" i="13" s="1"/>
  <c r="R41" i="13"/>
  <c r="R49" i="13" s="1"/>
  <c r="R44" i="13"/>
  <c r="R52" i="13" s="1"/>
  <c r="R42" i="13"/>
  <c r="R50" i="13" s="1"/>
  <c r="D42" i="2"/>
  <c r="F42" i="13"/>
  <c r="U9" i="13"/>
  <c r="V9" i="13" s="1"/>
  <c r="W9" i="13" s="1"/>
  <c r="X9" i="13" s="1"/>
  <c r="Y9" i="13" s="1"/>
  <c r="H36" i="13"/>
  <c r="H31" i="13"/>
  <c r="H16" i="13"/>
  <c r="T9" i="13"/>
  <c r="T3" i="13" s="1"/>
  <c r="H26" i="13" s="1"/>
  <c r="G59" i="13"/>
  <c r="H59" i="13" s="1"/>
  <c r="I59" i="13" s="1"/>
  <c r="J59" i="13" s="1"/>
  <c r="K59" i="13" s="1"/>
  <c r="L59" i="13" s="1"/>
  <c r="M59" i="13" s="1"/>
  <c r="F59" i="13"/>
  <c r="G39" i="13"/>
  <c r="G52" i="13"/>
  <c r="G54" i="13" s="1"/>
  <c r="G41" i="13"/>
  <c r="G42" i="13" s="1"/>
  <c r="G45" i="13"/>
  <c r="U5" i="13"/>
  <c r="H27" i="13"/>
  <c r="J14" i="13"/>
  <c r="AI17" i="2" s="1"/>
  <c r="G45" i="8"/>
  <c r="D39" i="2"/>
  <c r="E16" i="2"/>
  <c r="E36" i="2" s="1"/>
  <c r="Q6" i="2"/>
  <c r="Q3" i="2" s="1"/>
  <c r="E26" i="2" s="1"/>
  <c r="R6" i="2"/>
  <c r="S6" i="2" s="1"/>
  <c r="T6" i="2" s="1"/>
  <c r="U6" i="2" s="1"/>
  <c r="V6" i="2" s="1"/>
  <c r="W6" i="2" s="1"/>
  <c r="X6" i="2" s="1"/>
  <c r="Y6" i="2" s="1"/>
  <c r="G13" i="2"/>
  <c r="G14" i="2" s="1"/>
  <c r="G41" i="2" s="1"/>
  <c r="T5" i="2"/>
  <c r="E68" i="13" l="1"/>
  <c r="F69" i="13"/>
  <c r="AI19" i="2"/>
  <c r="AI10" i="2"/>
  <c r="AI12" i="2" s="1"/>
  <c r="E69" i="13"/>
  <c r="P45" i="2"/>
  <c r="P53" i="2" s="1"/>
  <c r="P43" i="2"/>
  <c r="P51" i="2" s="1"/>
  <c r="P44" i="2"/>
  <c r="P52" i="2" s="1"/>
  <c r="P42" i="2"/>
  <c r="P50" i="2" s="1"/>
  <c r="S58" i="13"/>
  <c r="S66" i="13" s="1"/>
  <c r="S60" i="13"/>
  <c r="S68" i="13" s="1"/>
  <c r="S57" i="13"/>
  <c r="S65" i="13" s="1"/>
  <c r="S59" i="13"/>
  <c r="S67" i="13" s="1"/>
  <c r="S61" i="13"/>
  <c r="S69" i="13" s="1"/>
  <c r="P41" i="2"/>
  <c r="P49" i="2" s="1"/>
  <c r="S22" i="13"/>
  <c r="S17" i="13" s="1"/>
  <c r="G44" i="13" s="1"/>
  <c r="T22" i="13"/>
  <c r="U22" i="13" s="1"/>
  <c r="V22" i="13" s="1"/>
  <c r="W22" i="13" s="1"/>
  <c r="X22" i="13" s="1"/>
  <c r="Y22" i="13" s="1"/>
  <c r="S45" i="13"/>
  <c r="S53" i="13" s="1"/>
  <c r="S42" i="13"/>
  <c r="S50" i="13" s="1"/>
  <c r="S43" i="13"/>
  <c r="S51" i="13" s="1"/>
  <c r="S44" i="13"/>
  <c r="S52" i="13" s="1"/>
  <c r="S41" i="13"/>
  <c r="S49" i="13" s="1"/>
  <c r="E42" i="2"/>
  <c r="F68" i="13"/>
  <c r="V5" i="13"/>
  <c r="H60" i="13"/>
  <c r="I60" i="13" s="1"/>
  <c r="J60" i="13" s="1"/>
  <c r="K60" i="13" s="1"/>
  <c r="L60" i="13" s="1"/>
  <c r="M60" i="13" s="1"/>
  <c r="G60" i="13"/>
  <c r="G69" i="13" s="1"/>
  <c r="H39" i="13"/>
  <c r="H52" i="13"/>
  <c r="H54" i="13" s="1"/>
  <c r="H41" i="13"/>
  <c r="H42" i="13" s="1"/>
  <c r="H45" i="13"/>
  <c r="V10" i="13"/>
  <c r="W10" i="13" s="1"/>
  <c r="X10" i="13" s="1"/>
  <c r="Y10" i="13" s="1"/>
  <c r="I31" i="13"/>
  <c r="I16" i="13"/>
  <c r="I36" i="13"/>
  <c r="U10" i="13"/>
  <c r="U3" i="13" s="1"/>
  <c r="I26" i="13" s="1"/>
  <c r="K14" i="13"/>
  <c r="AJ17" i="2" s="1"/>
  <c r="I27" i="13"/>
  <c r="H57" i="13"/>
  <c r="D45" i="2"/>
  <c r="D54" i="2"/>
  <c r="E52" i="2"/>
  <c r="E54" i="2" s="1"/>
  <c r="F16" i="2"/>
  <c r="F36" i="2" s="1"/>
  <c r="R7" i="2"/>
  <c r="R3" i="2" s="1"/>
  <c r="F26" i="2" s="1"/>
  <c r="F27" i="2"/>
  <c r="S7" i="2"/>
  <c r="T7" i="2" s="1"/>
  <c r="U7" i="2" s="1"/>
  <c r="V7" i="2" s="1"/>
  <c r="W7" i="2" s="1"/>
  <c r="X7" i="2" s="1"/>
  <c r="Y7" i="2" s="1"/>
  <c r="H13" i="2"/>
  <c r="H14" i="2" s="1"/>
  <c r="H41" i="2" s="1"/>
  <c r="H45" i="8"/>
  <c r="E39" i="2"/>
  <c r="P19" i="2"/>
  <c r="P17" i="2" s="1"/>
  <c r="D44" i="2" s="1"/>
  <c r="Q19" i="2"/>
  <c r="R19" i="2" s="1"/>
  <c r="S19" i="2" s="1"/>
  <c r="G19" i="8"/>
  <c r="G81" i="8"/>
  <c r="G63" i="8" s="1"/>
  <c r="G73" i="8" s="1"/>
  <c r="U5" i="2"/>
  <c r="AJ19" i="2" l="1"/>
  <c r="AJ10" i="2"/>
  <c r="AJ12" i="2" s="1"/>
  <c r="Q41" i="2"/>
  <c r="Q49" i="2" s="1"/>
  <c r="Q43" i="2"/>
  <c r="Q51" i="2" s="1"/>
  <c r="Q44" i="2"/>
  <c r="Q52" i="2" s="1"/>
  <c r="Q45" i="2"/>
  <c r="Q53" i="2" s="1"/>
  <c r="Q42" i="2"/>
  <c r="Q50" i="2" s="1"/>
  <c r="Q20" i="2"/>
  <c r="Q17" i="2" s="1"/>
  <c r="E44" i="2" s="1"/>
  <c r="T61" i="13"/>
  <c r="T69" i="13" s="1"/>
  <c r="T60" i="13"/>
  <c r="T68" i="13" s="1"/>
  <c r="T59" i="13"/>
  <c r="T67" i="13" s="1"/>
  <c r="T57" i="13"/>
  <c r="T65" i="13" s="1"/>
  <c r="T58" i="13"/>
  <c r="T66" i="13" s="1"/>
  <c r="T23" i="13"/>
  <c r="T17" i="13" s="1"/>
  <c r="H44" i="13" s="1"/>
  <c r="U23" i="13"/>
  <c r="V23" i="13" s="1"/>
  <c r="W23" i="13" s="1"/>
  <c r="X23" i="13" s="1"/>
  <c r="Y23" i="13" s="1"/>
  <c r="T41" i="13"/>
  <c r="T49" i="13" s="1"/>
  <c r="T45" i="13"/>
  <c r="T53" i="13" s="1"/>
  <c r="T43" i="13"/>
  <c r="T51" i="13" s="1"/>
  <c r="T42" i="13"/>
  <c r="T50" i="13" s="1"/>
  <c r="T44" i="13"/>
  <c r="T52" i="13" s="1"/>
  <c r="P61" i="2"/>
  <c r="P69" i="2" s="1"/>
  <c r="P57" i="2"/>
  <c r="P65" i="2" s="1"/>
  <c r="F42" i="2"/>
  <c r="G68" i="13"/>
  <c r="I57" i="13"/>
  <c r="I61" i="13"/>
  <c r="J61" i="13" s="1"/>
  <c r="K61" i="13" s="1"/>
  <c r="L61" i="13" s="1"/>
  <c r="M61" i="13" s="1"/>
  <c r="H61" i="13"/>
  <c r="H69" i="13" s="1"/>
  <c r="W11" i="13"/>
  <c r="X11" i="13" s="1"/>
  <c r="Y11" i="13" s="1"/>
  <c r="J16" i="13"/>
  <c r="J36" i="13"/>
  <c r="J31" i="13"/>
  <c r="V11" i="13"/>
  <c r="V3" i="13" s="1"/>
  <c r="J26" i="13" s="1"/>
  <c r="J27" i="13"/>
  <c r="I39" i="13"/>
  <c r="I52" i="13"/>
  <c r="I54" i="13" s="1"/>
  <c r="I41" i="13"/>
  <c r="I42" i="13" s="1"/>
  <c r="I45" i="13"/>
  <c r="K27" i="13"/>
  <c r="L14" i="13"/>
  <c r="AK17" i="2" s="1"/>
  <c r="W5" i="13"/>
  <c r="E45" i="2"/>
  <c r="E58" i="2"/>
  <c r="F58" i="2"/>
  <c r="G58" i="2" s="1"/>
  <c r="H58" i="2" s="1"/>
  <c r="I58" i="2" s="1"/>
  <c r="J58" i="2" s="1"/>
  <c r="K58" i="2" s="1"/>
  <c r="L58" i="2" s="1"/>
  <c r="M58" i="2" s="1"/>
  <c r="E57" i="2"/>
  <c r="P58" i="2"/>
  <c r="P66" i="2" s="1"/>
  <c r="P59" i="2"/>
  <c r="P67" i="2" s="1"/>
  <c r="P60" i="2"/>
  <c r="P68" i="2" s="1"/>
  <c r="D57" i="2"/>
  <c r="D69" i="2" s="1"/>
  <c r="Q61" i="2"/>
  <c r="Q69" i="2" s="1"/>
  <c r="Q57" i="2"/>
  <c r="Q65" i="2" s="1"/>
  <c r="Q59" i="2"/>
  <c r="Q67" i="2" s="1"/>
  <c r="Q60" i="2"/>
  <c r="Q68" i="2" s="1"/>
  <c r="Q58" i="2"/>
  <c r="Q66" i="2" s="1"/>
  <c r="F52" i="2"/>
  <c r="F54" i="2" s="1"/>
  <c r="G37" i="8"/>
  <c r="G139" i="8"/>
  <c r="G124" i="8"/>
  <c r="G43" i="8"/>
  <c r="G109" i="8"/>
  <c r="G79" i="8"/>
  <c r="G89" i="8"/>
  <c r="I13" i="2"/>
  <c r="I14" i="2" s="1"/>
  <c r="I41" i="2" s="1"/>
  <c r="K44" i="4"/>
  <c r="G27" i="2"/>
  <c r="S8" i="2"/>
  <c r="S3" i="2" s="1"/>
  <c r="G26" i="2" s="1"/>
  <c r="T8" i="2"/>
  <c r="U8" i="2" s="1"/>
  <c r="V8" i="2" s="1"/>
  <c r="W8" i="2" s="1"/>
  <c r="X8" i="2" s="1"/>
  <c r="Y8" i="2" s="1"/>
  <c r="G16" i="2"/>
  <c r="G36" i="2" s="1"/>
  <c r="R20" i="2"/>
  <c r="H19" i="8"/>
  <c r="H81" i="8"/>
  <c r="H63" i="8" s="1"/>
  <c r="H73" i="8" s="1"/>
  <c r="J44" i="4"/>
  <c r="I45" i="8"/>
  <c r="F39" i="2"/>
  <c r="V5" i="2"/>
  <c r="T19" i="2"/>
  <c r="AK19" i="2" l="1"/>
  <c r="AK10" i="2"/>
  <c r="AK12" i="2" s="1"/>
  <c r="R45" i="2"/>
  <c r="R53" i="2" s="1"/>
  <c r="R43" i="2"/>
  <c r="R51" i="2" s="1"/>
  <c r="R44" i="2"/>
  <c r="R52" i="2" s="1"/>
  <c r="R42" i="2"/>
  <c r="R50" i="2" s="1"/>
  <c r="U24" i="13"/>
  <c r="U17" i="13" s="1"/>
  <c r="I44" i="13" s="1"/>
  <c r="V24" i="13"/>
  <c r="W24" i="13" s="1"/>
  <c r="X24" i="13" s="1"/>
  <c r="Y24" i="13" s="1"/>
  <c r="U42" i="13"/>
  <c r="U50" i="13" s="1"/>
  <c r="U45" i="13"/>
  <c r="U53" i="13" s="1"/>
  <c r="U44" i="13"/>
  <c r="U52" i="13" s="1"/>
  <c r="U43" i="13"/>
  <c r="U51" i="13" s="1"/>
  <c r="U41" i="13"/>
  <c r="U49" i="13" s="1"/>
  <c r="R41" i="2"/>
  <c r="R49" i="2" s="1"/>
  <c r="U60" i="13"/>
  <c r="U68" i="13" s="1"/>
  <c r="U61" i="13"/>
  <c r="U69" i="13" s="1"/>
  <c r="U58" i="13"/>
  <c r="U66" i="13" s="1"/>
  <c r="U59" i="13"/>
  <c r="U67" i="13" s="1"/>
  <c r="U57" i="13"/>
  <c r="U65" i="13" s="1"/>
  <c r="G42" i="2"/>
  <c r="X5" i="13"/>
  <c r="M14" i="13"/>
  <c r="AL17" i="2" s="1"/>
  <c r="X12" i="13"/>
  <c r="Y12" i="13" s="1"/>
  <c r="K31" i="13"/>
  <c r="K36" i="13"/>
  <c r="K16" i="13"/>
  <c r="W12" i="13"/>
  <c r="W3" i="13" s="1"/>
  <c r="K26" i="13" s="1"/>
  <c r="J39" i="13"/>
  <c r="J52" i="13"/>
  <c r="J54" i="13" s="1"/>
  <c r="J63" i="13" s="1"/>
  <c r="J41" i="13"/>
  <c r="J42" i="13" s="1"/>
  <c r="J45" i="13"/>
  <c r="J62" i="13"/>
  <c r="K62" i="13" s="1"/>
  <c r="L62" i="13" s="1"/>
  <c r="M62" i="13" s="1"/>
  <c r="I62" i="13"/>
  <c r="I69" i="13" s="1"/>
  <c r="H68" i="13"/>
  <c r="J57" i="13"/>
  <c r="F45" i="2"/>
  <c r="I44" i="4"/>
  <c r="F59" i="2"/>
  <c r="G59" i="2"/>
  <c r="H59" i="2" s="1"/>
  <c r="I59" i="2" s="1"/>
  <c r="J59" i="2" s="1"/>
  <c r="K59" i="2" s="1"/>
  <c r="L59" i="2" s="1"/>
  <c r="M59" i="2" s="1"/>
  <c r="E68" i="2"/>
  <c r="E69" i="2"/>
  <c r="F57" i="2"/>
  <c r="D68" i="2"/>
  <c r="R57" i="2"/>
  <c r="R65" i="2" s="1"/>
  <c r="R61" i="2"/>
  <c r="R69" i="2" s="1"/>
  <c r="R60" i="2"/>
  <c r="R68" i="2" s="1"/>
  <c r="R59" i="2"/>
  <c r="R67" i="2" s="1"/>
  <c r="R58" i="2"/>
  <c r="R66" i="2" s="1"/>
  <c r="G52" i="2"/>
  <c r="G54" i="2" s="1"/>
  <c r="G39" i="2"/>
  <c r="J45" i="8"/>
  <c r="S20" i="2"/>
  <c r="G84" i="8"/>
  <c r="G101" i="8" s="1"/>
  <c r="G38" i="8" s="1"/>
  <c r="G111" i="8"/>
  <c r="G99" i="8"/>
  <c r="G90" i="8"/>
  <c r="G49" i="8"/>
  <c r="G44" i="8"/>
  <c r="G80" i="8" s="1"/>
  <c r="I19" i="8"/>
  <c r="I81" i="8"/>
  <c r="I63" i="8" s="1"/>
  <c r="I73" i="8" s="1"/>
  <c r="S21" i="2"/>
  <c r="T21" i="2" s="1"/>
  <c r="U21" i="2" s="1"/>
  <c r="V21" i="2" s="1"/>
  <c r="W21" i="2" s="1"/>
  <c r="X21" i="2" s="1"/>
  <c r="Y21" i="2" s="1"/>
  <c r="R21" i="2"/>
  <c r="R17" i="2" s="1"/>
  <c r="F44" i="2" s="1"/>
  <c r="H16" i="2"/>
  <c r="H36" i="2" s="1"/>
  <c r="U9" i="2"/>
  <c r="V9" i="2" s="1"/>
  <c r="W9" i="2" s="1"/>
  <c r="X9" i="2" s="1"/>
  <c r="Y9" i="2" s="1"/>
  <c r="T9" i="2"/>
  <c r="T3" i="2" s="1"/>
  <c r="H26" i="2" s="1"/>
  <c r="J13" i="2"/>
  <c r="J14" i="2" s="1"/>
  <c r="J41" i="2" s="1"/>
  <c r="H79" i="8"/>
  <c r="H43" i="8"/>
  <c r="H37" i="8"/>
  <c r="H109" i="8"/>
  <c r="H124" i="8"/>
  <c r="H139" i="8"/>
  <c r="H89" i="8"/>
  <c r="H27" i="2"/>
  <c r="U19" i="2"/>
  <c r="W5" i="2"/>
  <c r="AL19" i="2" l="1"/>
  <c r="AL10" i="2"/>
  <c r="AL12" i="2" s="1"/>
  <c r="S41" i="2"/>
  <c r="S49" i="2" s="1"/>
  <c r="S43" i="2"/>
  <c r="S51" i="2" s="1"/>
  <c r="S45" i="2"/>
  <c r="S53" i="2" s="1"/>
  <c r="S44" i="2"/>
  <c r="S52" i="2" s="1"/>
  <c r="S42" i="2"/>
  <c r="S50" i="2" s="1"/>
  <c r="V57" i="13"/>
  <c r="V65" i="13" s="1"/>
  <c r="V58" i="13"/>
  <c r="V66" i="13" s="1"/>
  <c r="V61" i="13"/>
  <c r="V69" i="13" s="1"/>
  <c r="V59" i="13"/>
  <c r="V67" i="13" s="1"/>
  <c r="V60" i="13"/>
  <c r="V68" i="13" s="1"/>
  <c r="V42" i="13"/>
  <c r="V50" i="13" s="1"/>
  <c r="V43" i="13"/>
  <c r="V51" i="13" s="1"/>
  <c r="V45" i="13"/>
  <c r="V53" i="13" s="1"/>
  <c r="V41" i="13"/>
  <c r="V49" i="13" s="1"/>
  <c r="V44" i="13"/>
  <c r="V52" i="13" s="1"/>
  <c r="V25" i="13"/>
  <c r="V17" i="13" s="1"/>
  <c r="J44" i="13" s="1"/>
  <c r="W25" i="13"/>
  <c r="X25" i="13" s="1"/>
  <c r="Y25" i="13" s="1"/>
  <c r="H42" i="2"/>
  <c r="I68" i="13"/>
  <c r="K63" i="13"/>
  <c r="L63" i="13" s="1"/>
  <c r="M63" i="13" s="1"/>
  <c r="J69" i="13"/>
  <c r="K57" i="13"/>
  <c r="K52" i="13"/>
  <c r="K54" i="13" s="1"/>
  <c r="K39" i="13"/>
  <c r="K41" i="13"/>
  <c r="K42" i="13" s="1"/>
  <c r="Y13" i="13"/>
  <c r="L16" i="13"/>
  <c r="L36" i="13"/>
  <c r="L31" i="13"/>
  <c r="X13" i="13"/>
  <c r="X3" i="13" s="1"/>
  <c r="L26" i="13" s="1"/>
  <c r="M27" i="13"/>
  <c r="L27" i="13"/>
  <c r="M36" i="13"/>
  <c r="M31" i="13"/>
  <c r="Y14" i="13"/>
  <c r="M16" i="13"/>
  <c r="K45" i="13"/>
  <c r="Y5" i="13"/>
  <c r="G45" i="2"/>
  <c r="G57" i="2"/>
  <c r="F69" i="2"/>
  <c r="G60" i="2"/>
  <c r="H60" i="2"/>
  <c r="I60" i="2" s="1"/>
  <c r="J60" i="2" s="1"/>
  <c r="K60" i="2" s="1"/>
  <c r="L60" i="2" s="1"/>
  <c r="M60" i="2" s="1"/>
  <c r="F68" i="2"/>
  <c r="S60" i="2"/>
  <c r="S68" i="2" s="1"/>
  <c r="S59" i="2"/>
  <c r="S67" i="2" s="1"/>
  <c r="S57" i="2"/>
  <c r="S65" i="2" s="1"/>
  <c r="S61" i="2"/>
  <c r="S69" i="2" s="1"/>
  <c r="S58" i="2"/>
  <c r="S66" i="2" s="1"/>
  <c r="H52" i="2"/>
  <c r="H54" i="2" s="1"/>
  <c r="I79" i="8"/>
  <c r="I109" i="8"/>
  <c r="I37" i="8"/>
  <c r="I139" i="8"/>
  <c r="I89" i="8"/>
  <c r="I124" i="8"/>
  <c r="I43" i="8"/>
  <c r="K45" i="8"/>
  <c r="H39" i="2"/>
  <c r="H44" i="8"/>
  <c r="H80" i="8" s="1"/>
  <c r="H49" i="8"/>
  <c r="H84" i="8"/>
  <c r="H101" i="8" s="1"/>
  <c r="H38" i="8" s="1"/>
  <c r="G93" i="8"/>
  <c r="G92" i="8"/>
  <c r="G97" i="8" s="1"/>
  <c r="T20" i="2"/>
  <c r="G113" i="8"/>
  <c r="G118" i="8"/>
  <c r="G112" i="8"/>
  <c r="K13" i="2"/>
  <c r="K14" i="2" s="1"/>
  <c r="K41" i="2" s="1"/>
  <c r="V10" i="2"/>
  <c r="W10" i="2" s="1"/>
  <c r="X10" i="2" s="1"/>
  <c r="Y10" i="2" s="1"/>
  <c r="I16" i="2"/>
  <c r="I36" i="2" s="1"/>
  <c r="U10" i="2"/>
  <c r="U3" i="2" s="1"/>
  <c r="I26" i="2" s="1"/>
  <c r="I27" i="2"/>
  <c r="J81" i="8"/>
  <c r="J63" i="8" s="1"/>
  <c r="J73" i="8" s="1"/>
  <c r="J19" i="8"/>
  <c r="S22" i="2"/>
  <c r="S17" i="2" s="1"/>
  <c r="G44" i="2" s="1"/>
  <c r="T22" i="2"/>
  <c r="U22" i="2" s="1"/>
  <c r="V22" i="2" s="1"/>
  <c r="W22" i="2" s="1"/>
  <c r="X22" i="2" s="1"/>
  <c r="Y22" i="2" s="1"/>
  <c r="V19" i="2"/>
  <c r="X5" i="2"/>
  <c r="I84" i="8" l="1"/>
  <c r="I101" i="8" s="1"/>
  <c r="I38" i="8" s="1"/>
  <c r="T43" i="2"/>
  <c r="T51" i="2" s="1"/>
  <c r="T44" i="2"/>
  <c r="T52" i="2" s="1"/>
  <c r="T45" i="2"/>
  <c r="T53" i="2" s="1"/>
  <c r="T42" i="2"/>
  <c r="T50" i="2" s="1"/>
  <c r="T41" i="2"/>
  <c r="T49" i="2" s="1"/>
  <c r="W26" i="13"/>
  <c r="W17" i="13" s="1"/>
  <c r="K44" i="13" s="1"/>
  <c r="X26" i="13"/>
  <c r="Y26" i="13" s="1"/>
  <c r="W45" i="13"/>
  <c r="W53" i="13" s="1"/>
  <c r="W44" i="13"/>
  <c r="W52" i="13" s="1"/>
  <c r="W41" i="13"/>
  <c r="W49" i="13" s="1"/>
  <c r="W43" i="13"/>
  <c r="W51" i="13" s="1"/>
  <c r="W42" i="13"/>
  <c r="W50" i="13" s="1"/>
  <c r="W57" i="13"/>
  <c r="W65" i="13" s="1"/>
  <c r="W60" i="13"/>
  <c r="W68" i="13" s="1"/>
  <c r="W58" i="13"/>
  <c r="W66" i="13" s="1"/>
  <c r="W61" i="13"/>
  <c r="W69" i="13" s="1"/>
  <c r="W59" i="13"/>
  <c r="W67" i="13" s="1"/>
  <c r="O50" i="4"/>
  <c r="I42" i="2"/>
  <c r="K50" i="4"/>
  <c r="J68" i="13"/>
  <c r="L52" i="13"/>
  <c r="L54" i="13" s="1"/>
  <c r="L39" i="13"/>
  <c r="L41" i="13"/>
  <c r="L42" i="13" s="1"/>
  <c r="Y3" i="13"/>
  <c r="M26" i="13" s="1"/>
  <c r="L45" i="13"/>
  <c r="L64" i="13"/>
  <c r="M64" i="13" s="1"/>
  <c r="K64" i="13"/>
  <c r="K69" i="13" s="1"/>
  <c r="M52" i="13"/>
  <c r="M54" i="13" s="1"/>
  <c r="M41" i="13"/>
  <c r="M39" i="13"/>
  <c r="Y28" i="13"/>
  <c r="M45" i="13"/>
  <c r="L57" i="13"/>
  <c r="H45" i="2"/>
  <c r="G68" i="2"/>
  <c r="H61" i="2"/>
  <c r="I61" i="2"/>
  <c r="J61" i="2" s="1"/>
  <c r="K61" i="2" s="1"/>
  <c r="L61" i="2" s="1"/>
  <c r="M61" i="2" s="1"/>
  <c r="H57" i="2"/>
  <c r="G69" i="2"/>
  <c r="T60" i="2"/>
  <c r="T68" i="2" s="1"/>
  <c r="T61" i="2"/>
  <c r="T69" i="2" s="1"/>
  <c r="T57" i="2"/>
  <c r="T65" i="2" s="1"/>
  <c r="T59" i="2"/>
  <c r="T67" i="2" s="1"/>
  <c r="T58" i="2"/>
  <c r="T66" i="2" s="1"/>
  <c r="U20" i="2"/>
  <c r="V20" i="2" s="1"/>
  <c r="W20" i="2" s="1"/>
  <c r="X20" i="2" s="1"/>
  <c r="Y20" i="2" s="1"/>
  <c r="I52" i="2"/>
  <c r="I54" i="2" s="1"/>
  <c r="G94" i="8"/>
  <c r="G102" i="8" s="1"/>
  <c r="J16" i="2"/>
  <c r="J36" i="2" s="1"/>
  <c r="V11" i="2"/>
  <c r="V3" i="2" s="1"/>
  <c r="J26" i="2" s="1"/>
  <c r="W11" i="2"/>
  <c r="X11" i="2" s="1"/>
  <c r="Y11" i="2" s="1"/>
  <c r="J27" i="2"/>
  <c r="G74" i="8"/>
  <c r="G26" i="8"/>
  <c r="G66" i="8"/>
  <c r="T23" i="2"/>
  <c r="T17" i="2" s="1"/>
  <c r="H44" i="2" s="1"/>
  <c r="U23" i="2"/>
  <c r="V23" i="2" s="1"/>
  <c r="W23" i="2" s="1"/>
  <c r="X23" i="2" s="1"/>
  <c r="Y23" i="2" s="1"/>
  <c r="K27" i="2"/>
  <c r="L13" i="2"/>
  <c r="L14" i="2" s="1"/>
  <c r="L41" i="2" s="1"/>
  <c r="K81" i="8"/>
  <c r="K63" i="8" s="1"/>
  <c r="K73" i="8" s="1"/>
  <c r="K19" i="8"/>
  <c r="J43" i="8"/>
  <c r="J79" i="8"/>
  <c r="J37" i="8"/>
  <c r="J124" i="8"/>
  <c r="J139" i="8"/>
  <c r="J89" i="8"/>
  <c r="J109" i="8"/>
  <c r="I49" i="8"/>
  <c r="I44" i="8"/>
  <c r="I80" i="8" s="1"/>
  <c r="I39" i="2"/>
  <c r="L45" i="8"/>
  <c r="G114" i="8"/>
  <c r="G91" i="8"/>
  <c r="Y5" i="2"/>
  <c r="W19" i="2"/>
  <c r="J84" i="8" l="1"/>
  <c r="J101" i="8" s="1"/>
  <c r="J38" i="8" s="1"/>
  <c r="U41" i="2"/>
  <c r="U49" i="2" s="1"/>
  <c r="U43" i="2"/>
  <c r="U51" i="2" s="1"/>
  <c r="U45" i="2"/>
  <c r="U53" i="2" s="1"/>
  <c r="U44" i="2"/>
  <c r="U52" i="2" s="1"/>
  <c r="U42" i="2"/>
  <c r="U50" i="2" s="1"/>
  <c r="M66" i="13"/>
  <c r="Y60" i="13"/>
  <c r="Y68" i="13" s="1"/>
  <c r="Y58" i="13"/>
  <c r="Y66" i="13" s="1"/>
  <c r="Y57" i="13"/>
  <c r="Y65" i="13" s="1"/>
  <c r="Y59" i="13"/>
  <c r="Y67" i="13" s="1"/>
  <c r="Y61" i="13"/>
  <c r="Y69" i="13" s="1"/>
  <c r="Y41" i="13"/>
  <c r="Y49" i="13" s="1"/>
  <c r="Y42" i="13"/>
  <c r="Y50" i="13" s="1"/>
  <c r="Y45" i="13"/>
  <c r="Y53" i="13" s="1"/>
  <c r="Y44" i="13"/>
  <c r="Y52" i="13" s="1"/>
  <c r="Y43" i="13"/>
  <c r="Y51" i="13" s="1"/>
  <c r="X27" i="13"/>
  <c r="X17" i="13" s="1"/>
  <c r="L44" i="13" s="1"/>
  <c r="Y27" i="13"/>
  <c r="Y17" i="13" s="1"/>
  <c r="M44" i="13" s="1"/>
  <c r="X41" i="13"/>
  <c r="X49" i="13" s="1"/>
  <c r="X45" i="13"/>
  <c r="X53" i="13" s="1"/>
  <c r="X42" i="13"/>
  <c r="X50" i="13" s="1"/>
  <c r="X43" i="13"/>
  <c r="X51" i="13" s="1"/>
  <c r="X44" i="13"/>
  <c r="X52" i="13" s="1"/>
  <c r="X61" i="13"/>
  <c r="X69" i="13" s="1"/>
  <c r="X57" i="13"/>
  <c r="X65" i="13" s="1"/>
  <c r="X60" i="13"/>
  <c r="X68" i="13" s="1"/>
  <c r="X59" i="13"/>
  <c r="X67" i="13" s="1"/>
  <c r="X58" i="13"/>
  <c r="X66" i="13" s="1"/>
  <c r="J42" i="2"/>
  <c r="I45" i="2"/>
  <c r="M42" i="13"/>
  <c r="K68" i="13"/>
  <c r="M57" i="13"/>
  <c r="M65" i="13"/>
  <c r="L65" i="13"/>
  <c r="L69" i="13" s="1"/>
  <c r="S44" i="4"/>
  <c r="S47" i="4" s="1"/>
  <c r="T47" i="4" s="1"/>
  <c r="I62" i="2"/>
  <c r="J62" i="2"/>
  <c r="K62" i="2" s="1"/>
  <c r="L62" i="2" s="1"/>
  <c r="M62" i="2" s="1"/>
  <c r="I57" i="2"/>
  <c r="H69" i="2"/>
  <c r="S50" i="4" s="1"/>
  <c r="H68" i="2"/>
  <c r="S49" i="4" s="1"/>
  <c r="U61" i="2"/>
  <c r="U69" i="2" s="1"/>
  <c r="U59" i="2"/>
  <c r="U67" i="2" s="1"/>
  <c r="U57" i="2"/>
  <c r="U65" i="2" s="1"/>
  <c r="U60" i="2"/>
  <c r="U68" i="2" s="1"/>
  <c r="U58" i="2"/>
  <c r="U66" i="2" s="1"/>
  <c r="O49" i="4"/>
  <c r="J50" i="4"/>
  <c r="O48" i="4"/>
  <c r="I50" i="4"/>
  <c r="O44" i="4"/>
  <c r="G106" i="8"/>
  <c r="G107" i="8" s="1"/>
  <c r="G115" i="8" s="1"/>
  <c r="G126" i="8"/>
  <c r="G133" i="8" s="1"/>
  <c r="J52" i="2"/>
  <c r="J54" i="2" s="1"/>
  <c r="G103" i="8"/>
  <c r="H99" i="8" s="1"/>
  <c r="G104" i="8"/>
  <c r="G95" i="8"/>
  <c r="H90" i="8" s="1"/>
  <c r="H93" i="8" s="1"/>
  <c r="H66" i="8" s="1"/>
  <c r="G96" i="8"/>
  <c r="J34" i="4"/>
  <c r="L19" i="8"/>
  <c r="L81" i="8"/>
  <c r="L63" i="8" s="1"/>
  <c r="L73" i="8" s="1"/>
  <c r="U24" i="2"/>
  <c r="U17" i="2" s="1"/>
  <c r="I44" i="2" s="1"/>
  <c r="V24" i="2"/>
  <c r="W24" i="2" s="1"/>
  <c r="X24" i="2" s="1"/>
  <c r="Y24" i="2" s="1"/>
  <c r="K37" i="8"/>
  <c r="K89" i="8"/>
  <c r="K43" i="8"/>
  <c r="K79" i="8"/>
  <c r="K124" i="8"/>
  <c r="K109" i="8"/>
  <c r="K139" i="8"/>
  <c r="J49" i="8"/>
  <c r="J44" i="8"/>
  <c r="J80" i="8" s="1"/>
  <c r="M13" i="2"/>
  <c r="M14" i="2" s="1"/>
  <c r="M45" i="8"/>
  <c r="J39" i="2"/>
  <c r="W12" i="2"/>
  <c r="W3" i="2" s="1"/>
  <c r="K26" i="2" s="1"/>
  <c r="X12" i="2"/>
  <c r="Y12" i="2" s="1"/>
  <c r="K16" i="2"/>
  <c r="K36" i="2" s="1"/>
  <c r="X19" i="2"/>
  <c r="M41" i="2" l="1"/>
  <c r="M36" i="2"/>
  <c r="Y28" i="2" s="1"/>
  <c r="K84" i="8"/>
  <c r="K101" i="8" s="1"/>
  <c r="K38" i="8" s="1"/>
  <c r="V43" i="2"/>
  <c r="V51" i="2" s="1"/>
  <c r="V44" i="2"/>
  <c r="V52" i="2" s="1"/>
  <c r="V45" i="2"/>
  <c r="V53" i="2" s="1"/>
  <c r="V42" i="2"/>
  <c r="V50" i="2" s="1"/>
  <c r="V41" i="2"/>
  <c r="V49" i="2" s="1"/>
  <c r="J45" i="2"/>
  <c r="K42" i="2"/>
  <c r="L68" i="13"/>
  <c r="M69" i="13"/>
  <c r="M68" i="13"/>
  <c r="T44" i="4"/>
  <c r="J57" i="2"/>
  <c r="I69" i="2"/>
  <c r="J63" i="2"/>
  <c r="L63" i="2"/>
  <c r="M63" i="2" s="1"/>
  <c r="K63" i="2"/>
  <c r="I68" i="2"/>
  <c r="V59" i="2"/>
  <c r="V67" i="2" s="1"/>
  <c r="V61" i="2"/>
  <c r="V69" i="2" s="1"/>
  <c r="V57" i="2"/>
  <c r="V65" i="2" s="1"/>
  <c r="V60" i="2"/>
  <c r="V68" i="2" s="1"/>
  <c r="V58" i="2"/>
  <c r="V66" i="2" s="1"/>
  <c r="G128" i="8"/>
  <c r="G127" i="8"/>
  <c r="K34" i="4"/>
  <c r="P44" i="4"/>
  <c r="O46" i="4"/>
  <c r="P46" i="4" s="1"/>
  <c r="K52" i="2"/>
  <c r="K54" i="2" s="1"/>
  <c r="H92" i="8"/>
  <c r="H94" i="8" s="1"/>
  <c r="H74" i="8"/>
  <c r="H26" i="8"/>
  <c r="L139" i="8"/>
  <c r="L124" i="8"/>
  <c r="L109" i="8"/>
  <c r="L89" i="8"/>
  <c r="L43" i="8"/>
  <c r="L79" i="8"/>
  <c r="L37" i="8"/>
  <c r="K39" i="2"/>
  <c r="N45" i="8"/>
  <c r="V25" i="2"/>
  <c r="V17" i="2" s="1"/>
  <c r="J44" i="2" s="1"/>
  <c r="W25" i="2"/>
  <c r="X25" i="2" s="1"/>
  <c r="Y25" i="2" s="1"/>
  <c r="M19" i="8"/>
  <c r="M81" i="8"/>
  <c r="M63" i="8" s="1"/>
  <c r="M73" i="8" s="1"/>
  <c r="K49" i="8"/>
  <c r="K44" i="8"/>
  <c r="K80" i="8" s="1"/>
  <c r="L27" i="2"/>
  <c r="X13" i="2"/>
  <c r="X3" i="2" s="1"/>
  <c r="L26" i="2" s="1"/>
  <c r="Y13" i="2"/>
  <c r="L16" i="2"/>
  <c r="L36" i="2" s="1"/>
  <c r="Y19" i="2"/>
  <c r="G119" i="8"/>
  <c r="G116" i="8"/>
  <c r="H111" i="8" s="1"/>
  <c r="G117" i="8"/>
  <c r="W41" i="2" l="1"/>
  <c r="W49" i="2" s="1"/>
  <c r="W43" i="2"/>
  <c r="W51" i="2" s="1"/>
  <c r="W44" i="2"/>
  <c r="W52" i="2" s="1"/>
  <c r="W45" i="2"/>
  <c r="W53" i="2" s="1"/>
  <c r="W42" i="2"/>
  <c r="W50" i="2" s="1"/>
  <c r="L84" i="8"/>
  <c r="L101" i="8" s="1"/>
  <c r="L38" i="8" s="1"/>
  <c r="H96" i="8"/>
  <c r="H102" i="8"/>
  <c r="H103" i="8" s="1"/>
  <c r="I99" i="8" s="1"/>
  <c r="L42" i="2"/>
  <c r="K45" i="2"/>
  <c r="I34" i="4"/>
  <c r="J68" i="2"/>
  <c r="K64" i="2"/>
  <c r="L64" i="2"/>
  <c r="M64" i="2" s="1"/>
  <c r="K57" i="2"/>
  <c r="J69" i="2"/>
  <c r="W61" i="2"/>
  <c r="W69" i="2" s="1"/>
  <c r="W60" i="2"/>
  <c r="W68" i="2" s="1"/>
  <c r="W57" i="2"/>
  <c r="W65" i="2" s="1"/>
  <c r="W59" i="2"/>
  <c r="W67" i="2" s="1"/>
  <c r="W58" i="2"/>
  <c r="W66" i="2" s="1"/>
  <c r="H95" i="8"/>
  <c r="I90" i="8" s="1"/>
  <c r="I92" i="8" s="1"/>
  <c r="I94" i="8" s="1"/>
  <c r="L52" i="2"/>
  <c r="L54" i="2" s="1"/>
  <c r="M52" i="2"/>
  <c r="H97" i="8"/>
  <c r="N81" i="8"/>
  <c r="N63" i="8" s="1"/>
  <c r="N73" i="8" s="1"/>
  <c r="N19" i="8"/>
  <c r="W26" i="2"/>
  <c r="W17" i="2" s="1"/>
  <c r="K44" i="2" s="1"/>
  <c r="X26" i="2"/>
  <c r="Y26" i="2" s="1"/>
  <c r="L49" i="8"/>
  <c r="L44" i="8"/>
  <c r="L80" i="8" s="1"/>
  <c r="M109" i="8"/>
  <c r="M89" i="8"/>
  <c r="M139" i="8"/>
  <c r="M43" i="8"/>
  <c r="M37" i="8"/>
  <c r="M124" i="8"/>
  <c r="M79" i="8"/>
  <c r="M39" i="2"/>
  <c r="P45" i="8"/>
  <c r="P81" i="8" s="1"/>
  <c r="L39" i="2"/>
  <c r="O45" i="8"/>
  <c r="M42" i="2"/>
  <c r="M16" i="2"/>
  <c r="Y14" i="2"/>
  <c r="Y3" i="2" s="1"/>
  <c r="M26" i="2" s="1"/>
  <c r="M27" i="2"/>
  <c r="H113" i="8"/>
  <c r="H118" i="8"/>
  <c r="H112" i="8"/>
  <c r="G120" i="8"/>
  <c r="G121" i="8" s="1"/>
  <c r="G129" i="8"/>
  <c r="M84" i="8" l="1"/>
  <c r="M101" i="8" s="1"/>
  <c r="M38" i="8" s="1"/>
  <c r="X41" i="2"/>
  <c r="X49" i="2" s="1"/>
  <c r="X44" i="2"/>
  <c r="X52" i="2" s="1"/>
  <c r="X45" i="2"/>
  <c r="X53" i="2" s="1"/>
  <c r="X43" i="2"/>
  <c r="X51" i="2" s="1"/>
  <c r="X42" i="2"/>
  <c r="X50" i="2" s="1"/>
  <c r="I97" i="8"/>
  <c r="I114" i="8" s="1"/>
  <c r="I102" i="8"/>
  <c r="I104" i="8" s="1"/>
  <c r="Y43" i="2"/>
  <c r="Y51" i="2" s="1"/>
  <c r="Y42" i="2"/>
  <c r="Y50" i="2" s="1"/>
  <c r="Y44" i="2"/>
  <c r="Y52" i="2" s="1"/>
  <c r="Y41" i="2"/>
  <c r="Y49" i="2" s="1"/>
  <c r="Y45" i="2"/>
  <c r="Y53" i="2" s="1"/>
  <c r="L45" i="2"/>
  <c r="M45" i="2"/>
  <c r="J40" i="4" s="1"/>
  <c r="L57" i="2"/>
  <c r="K69" i="2"/>
  <c r="L65" i="2"/>
  <c r="M65" i="2"/>
  <c r="K68" i="2"/>
  <c r="O40" i="4"/>
  <c r="K40" i="4"/>
  <c r="M54" i="2"/>
  <c r="M66" i="2" s="1"/>
  <c r="X57" i="2"/>
  <c r="X65" i="2" s="1"/>
  <c r="X61" i="2"/>
  <c r="X69" i="2" s="1"/>
  <c r="X59" i="2"/>
  <c r="X67" i="2" s="1"/>
  <c r="X60" i="2"/>
  <c r="X68" i="2" s="1"/>
  <c r="X58" i="2"/>
  <c r="X66" i="2" s="1"/>
  <c r="H104" i="8"/>
  <c r="I93" i="8"/>
  <c r="I26" i="8" s="1"/>
  <c r="H106" i="8"/>
  <c r="H107" i="8" s="1"/>
  <c r="H114" i="8"/>
  <c r="H91" i="8"/>
  <c r="O34" i="4"/>
  <c r="O19" i="8"/>
  <c r="O81" i="8"/>
  <c r="O63" i="8" s="1"/>
  <c r="X27" i="2"/>
  <c r="X17" i="2" s="1"/>
  <c r="L44" i="2" s="1"/>
  <c r="Y27" i="2"/>
  <c r="Y17" i="2" s="1"/>
  <c r="M44" i="2" s="1"/>
  <c r="I40" i="4" s="1"/>
  <c r="M49" i="8"/>
  <c r="M44" i="8"/>
  <c r="M80" i="8" s="1"/>
  <c r="N89" i="8"/>
  <c r="N43" i="8"/>
  <c r="N37" i="8"/>
  <c r="N124" i="8"/>
  <c r="N109" i="8"/>
  <c r="N139" i="8"/>
  <c r="N79" i="8"/>
  <c r="G122" i="8"/>
  <c r="G130" i="8" s="1"/>
  <c r="G134" i="8" s="1"/>
  <c r="I91" i="8" l="1"/>
  <c r="N84" i="8"/>
  <c r="N101" i="8" s="1"/>
  <c r="N38" i="8" s="1"/>
  <c r="L68" i="2"/>
  <c r="M57" i="2"/>
  <c r="M69" i="2" s="1"/>
  <c r="S40" i="4" s="1"/>
  <c r="L69" i="2"/>
  <c r="S34" i="4"/>
  <c r="Y58" i="2"/>
  <c r="Y66" i="2" s="1"/>
  <c r="Y59" i="2"/>
  <c r="Y67" i="2" s="1"/>
  <c r="Y57" i="2"/>
  <c r="Y65" i="2" s="1"/>
  <c r="Y61" i="2"/>
  <c r="Y69" i="2" s="1"/>
  <c r="Y60" i="2"/>
  <c r="Y68" i="2" s="1"/>
  <c r="I106" i="8"/>
  <c r="I107" i="8" s="1"/>
  <c r="I103" i="8"/>
  <c r="J99" i="8" s="1"/>
  <c r="I96" i="8"/>
  <c r="I95" i="8"/>
  <c r="J90" i="8" s="1"/>
  <c r="I66" i="8"/>
  <c r="I74" i="8"/>
  <c r="O39" i="4"/>
  <c r="H115" i="8"/>
  <c r="H116" i="8" s="1"/>
  <c r="I111" i="8" s="1"/>
  <c r="P63" i="8"/>
  <c r="P73" i="8" s="1"/>
  <c r="O73" i="8"/>
  <c r="O38" i="4"/>
  <c r="O37" i="8"/>
  <c r="O89" i="8"/>
  <c r="O79" i="8"/>
  <c r="O139" i="8"/>
  <c r="O124" i="8"/>
  <c r="O43" i="8"/>
  <c r="P19" i="8"/>
  <c r="O109" i="8"/>
  <c r="P34" i="4"/>
  <c r="O36" i="4"/>
  <c r="P36" i="4" s="1"/>
  <c r="N44" i="8"/>
  <c r="N80" i="8" s="1"/>
  <c r="N49" i="8"/>
  <c r="G131" i="8"/>
  <c r="H126" i="8" s="1"/>
  <c r="H128" i="8" s="1"/>
  <c r="G135" i="8"/>
  <c r="G136" i="8" s="1"/>
  <c r="G137" i="8" s="1"/>
  <c r="G141" i="8" s="1"/>
  <c r="G65" i="8" s="1"/>
  <c r="G132" i="8"/>
  <c r="O84" i="8" l="1"/>
  <c r="O101" i="8" s="1"/>
  <c r="O38" i="8" s="1"/>
  <c r="M68" i="2"/>
  <c r="S39" i="4" s="1"/>
  <c r="J92" i="8"/>
  <c r="J94" i="8" s="1"/>
  <c r="J102" i="8" s="1"/>
  <c r="J93" i="8"/>
  <c r="H119" i="8"/>
  <c r="H120" i="8" s="1"/>
  <c r="H117" i="8"/>
  <c r="I113" i="8"/>
  <c r="I118" i="8"/>
  <c r="I112" i="8"/>
  <c r="I115" i="8" s="1"/>
  <c r="I119" i="8" s="1"/>
  <c r="D73" i="8"/>
  <c r="O44" i="8"/>
  <c r="O80" i="8" s="1"/>
  <c r="O49" i="8"/>
  <c r="T34" i="4"/>
  <c r="S37" i="4"/>
  <c r="T37" i="4" s="1"/>
  <c r="P37" i="8"/>
  <c r="D37" i="8" s="1"/>
  <c r="P109" i="8"/>
  <c r="P89" i="8"/>
  <c r="P139" i="8"/>
  <c r="P124" i="8"/>
  <c r="P79" i="8"/>
  <c r="P43" i="8"/>
  <c r="H127" i="8"/>
  <c r="H133" i="8"/>
  <c r="G25" i="8"/>
  <c r="G68" i="8"/>
  <c r="G142" i="8"/>
  <c r="G72" i="8" s="1"/>
  <c r="P84" i="8" l="1"/>
  <c r="P101" i="8" s="1"/>
  <c r="P38" i="8" s="1"/>
  <c r="D38" i="8" s="1"/>
  <c r="H121" i="8"/>
  <c r="H122" i="8" s="1"/>
  <c r="H129" i="8"/>
  <c r="J95" i="8"/>
  <c r="K90" i="8" s="1"/>
  <c r="K93" i="8" s="1"/>
  <c r="J96" i="8"/>
  <c r="J97" i="8"/>
  <c r="J106" i="8" s="1"/>
  <c r="I116" i="8"/>
  <c r="J111" i="8" s="1"/>
  <c r="J112" i="8" s="1"/>
  <c r="I117" i="8"/>
  <c r="J26" i="8"/>
  <c r="J74" i="8"/>
  <c r="J66" i="8"/>
  <c r="P44" i="8"/>
  <c r="P80" i="8" s="1"/>
  <c r="P49" i="8"/>
  <c r="G143" i="8"/>
  <c r="G144" i="8" s="1"/>
  <c r="J104" i="8"/>
  <c r="J103" i="8"/>
  <c r="K99" i="8" s="1"/>
  <c r="I120" i="8"/>
  <c r="I121" i="8" s="1"/>
  <c r="I122" i="8" s="1"/>
  <c r="G36" i="8"/>
  <c r="G76" i="8"/>
  <c r="G28" i="8"/>
  <c r="F85" i="8" l="1"/>
  <c r="F86" i="8"/>
  <c r="H130" i="8"/>
  <c r="H134" i="8" s="1"/>
  <c r="J91" i="8"/>
  <c r="J114" i="8"/>
  <c r="J113" i="8"/>
  <c r="J118" i="8"/>
  <c r="K92" i="8"/>
  <c r="K94" i="8" s="1"/>
  <c r="K102" i="8" s="1"/>
  <c r="F50" i="8"/>
  <c r="F51" i="8"/>
  <c r="D10" i="8"/>
  <c r="K66" i="8"/>
  <c r="K26" i="8"/>
  <c r="K74" i="8"/>
  <c r="J107" i="8"/>
  <c r="G40" i="8"/>
  <c r="H132" i="8" l="1"/>
  <c r="H131" i="8"/>
  <c r="I126" i="8" s="1"/>
  <c r="I128" i="8" s="1"/>
  <c r="J115" i="8"/>
  <c r="J119" i="8" s="1"/>
  <c r="J120" i="8" s="1"/>
  <c r="K96" i="8"/>
  <c r="K97" i="8"/>
  <c r="K114" i="8" s="1"/>
  <c r="K95" i="8"/>
  <c r="L90" i="8" s="1"/>
  <c r="L93" i="8" s="1"/>
  <c r="D9" i="8"/>
  <c r="D8" i="8"/>
  <c r="K104" i="8"/>
  <c r="H135" i="8"/>
  <c r="H136" i="8" s="1"/>
  <c r="H137" i="8" s="1"/>
  <c r="H141" i="8" s="1"/>
  <c r="K103" i="8"/>
  <c r="L99" i="8" s="1"/>
  <c r="J116" i="8" l="1"/>
  <c r="K111" i="8" s="1"/>
  <c r="K113" i="8" s="1"/>
  <c r="J117" i="8"/>
  <c r="L94" i="8"/>
  <c r="I129" i="8"/>
  <c r="I127" i="8"/>
  <c r="I133" i="8"/>
  <c r="K106" i="8"/>
  <c r="K107" i="8" s="1"/>
  <c r="K91" i="8"/>
  <c r="H142" i="8"/>
  <c r="H143" i="8" s="1"/>
  <c r="H144" i="8" s="1"/>
  <c r="L66" i="8"/>
  <c r="L26" i="8"/>
  <c r="L74" i="8"/>
  <c r="H65" i="8"/>
  <c r="J121" i="8"/>
  <c r="J122" i="8" s="1"/>
  <c r="L102" i="8" l="1"/>
  <c r="L103" i="8" s="1"/>
  <c r="M99" i="8" s="1"/>
  <c r="K112" i="8"/>
  <c r="K115" i="8" s="1"/>
  <c r="K116" i="8" s="1"/>
  <c r="L111" i="8" s="1"/>
  <c r="L118" i="8" s="1"/>
  <c r="K118" i="8"/>
  <c r="I130" i="8"/>
  <c r="I131" i="8" s="1"/>
  <c r="J126" i="8" s="1"/>
  <c r="J129" i="8" s="1"/>
  <c r="L97" i="8"/>
  <c r="L114" i="8" s="1"/>
  <c r="L96" i="8"/>
  <c r="L95" i="8"/>
  <c r="M90" i="8" s="1"/>
  <c r="M94" i="8" s="1"/>
  <c r="M102" i="8" s="1"/>
  <c r="H72" i="8"/>
  <c r="H36" i="8" s="1"/>
  <c r="H25" i="8"/>
  <c r="H68" i="8"/>
  <c r="L104" i="8" l="1"/>
  <c r="I134" i="8"/>
  <c r="I65" i="8" s="1"/>
  <c r="I132" i="8"/>
  <c r="J127" i="8"/>
  <c r="J130" i="8" s="1"/>
  <c r="J134" i="8" s="1"/>
  <c r="J135" i="8" s="1"/>
  <c r="M93" i="8"/>
  <c r="M66" i="8" s="1"/>
  <c r="J128" i="8"/>
  <c r="J133" i="8"/>
  <c r="L91" i="8"/>
  <c r="L106" i="8"/>
  <c r="L107" i="8" s="1"/>
  <c r="L115" i="8" s="1"/>
  <c r="K119" i="8"/>
  <c r="K120" i="8" s="1"/>
  <c r="K121" i="8" s="1"/>
  <c r="K122" i="8" s="1"/>
  <c r="K117" i="8"/>
  <c r="H76" i="8"/>
  <c r="L113" i="8"/>
  <c r="H28" i="8"/>
  <c r="M97" i="8"/>
  <c r="H40" i="8"/>
  <c r="M96" i="8" l="1"/>
  <c r="I135" i="8"/>
  <c r="I72" i="8" s="1"/>
  <c r="I76" i="8" s="1"/>
  <c r="M95" i="8"/>
  <c r="N90" i="8" s="1"/>
  <c r="N94" i="8" s="1"/>
  <c r="N102" i="8" s="1"/>
  <c r="M74" i="8"/>
  <c r="M26" i="8"/>
  <c r="J131" i="8"/>
  <c r="K126" i="8" s="1"/>
  <c r="K129" i="8" s="1"/>
  <c r="J132" i="8"/>
  <c r="L119" i="8"/>
  <c r="L116" i="8"/>
  <c r="M111" i="8" s="1"/>
  <c r="L117" i="8"/>
  <c r="I25" i="8"/>
  <c r="I68" i="8"/>
  <c r="J136" i="8"/>
  <c r="J137" i="8" s="1"/>
  <c r="J141" i="8" s="1"/>
  <c r="M104" i="8"/>
  <c r="M106" i="8"/>
  <c r="M107" i="8" s="1"/>
  <c r="M103" i="8"/>
  <c r="N99" i="8" s="1"/>
  <c r="M114" i="8"/>
  <c r="M91" i="8"/>
  <c r="N93" i="8" l="1"/>
  <c r="N96" i="8" s="1"/>
  <c r="I136" i="8"/>
  <c r="I137" i="8" s="1"/>
  <c r="I141" i="8" s="1"/>
  <c r="I142" i="8" s="1"/>
  <c r="I143" i="8" s="1"/>
  <c r="I144" i="8" s="1"/>
  <c r="I36" i="8"/>
  <c r="I40" i="8" s="1"/>
  <c r="K127" i="8"/>
  <c r="K130" i="8" s="1"/>
  <c r="K134" i="8" s="1"/>
  <c r="K133" i="8"/>
  <c r="K128" i="8"/>
  <c r="N97" i="8"/>
  <c r="I28" i="8"/>
  <c r="J142" i="8"/>
  <c r="J72" i="8" s="1"/>
  <c r="J65" i="8"/>
  <c r="M118" i="8"/>
  <c r="M115" i="8"/>
  <c r="M119" i="8" s="1"/>
  <c r="M120" i="8" s="1"/>
  <c r="M113" i="8"/>
  <c r="L120" i="8"/>
  <c r="L121" i="8" s="1"/>
  <c r="L122" i="8" s="1"/>
  <c r="N26" i="8" l="1"/>
  <c r="N74" i="8"/>
  <c r="N66" i="8"/>
  <c r="N95" i="8"/>
  <c r="O90" i="8" s="1"/>
  <c r="O94" i="8" s="1"/>
  <c r="O102" i="8" s="1"/>
  <c r="K132" i="8"/>
  <c r="K131" i="8"/>
  <c r="L126" i="8" s="1"/>
  <c r="L129" i="8" s="1"/>
  <c r="L130" i="8" s="1"/>
  <c r="L134" i="8" s="1"/>
  <c r="M116" i="8"/>
  <c r="N111" i="8" s="1"/>
  <c r="N118" i="8" s="1"/>
  <c r="M117" i="8"/>
  <c r="N104" i="8"/>
  <c r="N106" i="8"/>
  <c r="N107" i="8" s="1"/>
  <c r="N114" i="8"/>
  <c r="N91" i="8"/>
  <c r="J25" i="8"/>
  <c r="J68" i="8"/>
  <c r="J143" i="8"/>
  <c r="J144" i="8" s="1"/>
  <c r="M121" i="8"/>
  <c r="M122" i="8" s="1"/>
  <c r="J36" i="8"/>
  <c r="J76" i="8"/>
  <c r="N103" i="8"/>
  <c r="O99" i="8" s="1"/>
  <c r="K135" i="8"/>
  <c r="K136" i="8" s="1"/>
  <c r="K137" i="8" s="1"/>
  <c r="K141" i="8" s="1"/>
  <c r="O93" i="8" l="1"/>
  <c r="O66" i="8" s="1"/>
  <c r="L133" i="8"/>
  <c r="L128" i="8"/>
  <c r="L132" i="8" s="1"/>
  <c r="N113" i="8"/>
  <c r="N115" i="8"/>
  <c r="N119" i="8" s="1"/>
  <c r="N120" i="8" s="1"/>
  <c r="N121" i="8" s="1"/>
  <c r="N122" i="8" s="1"/>
  <c r="L135" i="8"/>
  <c r="O97" i="8"/>
  <c r="J28" i="8"/>
  <c r="K142" i="8"/>
  <c r="K143" i="8" s="1"/>
  <c r="K144" i="8" s="1"/>
  <c r="J40" i="8"/>
  <c r="K65" i="8"/>
  <c r="O96" i="8" l="1"/>
  <c r="O74" i="8"/>
  <c r="O95" i="8"/>
  <c r="P90" i="8" s="1"/>
  <c r="P92" i="8" s="1"/>
  <c r="O26" i="8"/>
  <c r="L131" i="8"/>
  <c r="M126" i="8" s="1"/>
  <c r="M129" i="8" s="1"/>
  <c r="M130" i="8" s="1"/>
  <c r="N116" i="8"/>
  <c r="O111" i="8" s="1"/>
  <c r="O113" i="8" s="1"/>
  <c r="N117" i="8"/>
  <c r="O104" i="8"/>
  <c r="O106" i="8"/>
  <c r="O107" i="8" s="1"/>
  <c r="K72" i="8"/>
  <c r="O103" i="8"/>
  <c r="P99" i="8" s="1"/>
  <c r="O114" i="8"/>
  <c r="O91" i="8"/>
  <c r="L136" i="8"/>
  <c r="L137" i="8" s="1"/>
  <c r="L141" i="8" s="1"/>
  <c r="K25" i="8"/>
  <c r="K68" i="8"/>
  <c r="P93" i="8" l="1"/>
  <c r="P26" i="8" s="1"/>
  <c r="M133" i="8"/>
  <c r="M128" i="8"/>
  <c r="M131" i="8" s="1"/>
  <c r="N126" i="8" s="1"/>
  <c r="O118" i="8"/>
  <c r="M134" i="8"/>
  <c r="O115" i="8"/>
  <c r="O119" i="8" s="1"/>
  <c r="K28" i="8"/>
  <c r="K36" i="8"/>
  <c r="K76" i="8"/>
  <c r="L142" i="8"/>
  <c r="L72" i="8" s="1"/>
  <c r="L65" i="8"/>
  <c r="P94" i="8"/>
  <c r="P102" i="8" s="1"/>
  <c r="P66" i="8" l="1"/>
  <c r="D66" i="8" s="1"/>
  <c r="P74" i="8"/>
  <c r="D74" i="8" s="1"/>
  <c r="M132" i="8"/>
  <c r="O116" i="8"/>
  <c r="P111" i="8" s="1"/>
  <c r="P113" i="8" s="1"/>
  <c r="P97" i="8"/>
  <c r="P96" i="8"/>
  <c r="E96" i="8" s="1"/>
  <c r="L143" i="8"/>
  <c r="L144" i="8" s="1"/>
  <c r="L25" i="8"/>
  <c r="L68" i="8"/>
  <c r="M135" i="8"/>
  <c r="P95" i="8"/>
  <c r="D26" i="8"/>
  <c r="O117" i="8"/>
  <c r="L36" i="8"/>
  <c r="L76" i="8"/>
  <c r="O120" i="8"/>
  <c r="O121" i="8" s="1"/>
  <c r="O122" i="8" s="1"/>
  <c r="K40" i="8"/>
  <c r="N129" i="8"/>
  <c r="N130" i="8" s="1"/>
  <c r="N128" i="8"/>
  <c r="N133" i="8"/>
  <c r="P118" i="8" l="1"/>
  <c r="P112" i="8"/>
  <c r="N131" i="8"/>
  <c r="O126" i="8" s="1"/>
  <c r="N132" i="8"/>
  <c r="N134" i="8"/>
  <c r="M136" i="8"/>
  <c r="M137" i="8" s="1"/>
  <c r="M141" i="8" s="1"/>
  <c r="P104" i="8"/>
  <c r="E104" i="8" s="1"/>
  <c r="P106" i="8"/>
  <c r="P103" i="8"/>
  <c r="L28" i="8"/>
  <c r="L40" i="8"/>
  <c r="P114" i="8"/>
  <c r="P91" i="8"/>
  <c r="F91" i="8" s="1"/>
  <c r="P107" i="8" l="1"/>
  <c r="P115" i="8" s="1"/>
  <c r="P119" i="8" s="1"/>
  <c r="M142" i="8"/>
  <c r="M72" i="8" s="1"/>
  <c r="M65" i="8"/>
  <c r="N135" i="8"/>
  <c r="N136" i="8" s="1"/>
  <c r="N137" i="8" s="1"/>
  <c r="N141" i="8" s="1"/>
  <c r="O129" i="8"/>
  <c r="O130" i="8" s="1"/>
  <c r="O134" i="8" s="1"/>
  <c r="O128" i="8"/>
  <c r="O133" i="8"/>
  <c r="O132" i="8" l="1"/>
  <c r="O135" i="8"/>
  <c r="N142" i="8"/>
  <c r="N72" i="8" s="1"/>
  <c r="N65" i="8"/>
  <c r="P116" i="8"/>
  <c r="M143" i="8"/>
  <c r="M144" i="8" s="1"/>
  <c r="P120" i="8"/>
  <c r="P121" i="8" s="1"/>
  <c r="P122" i="8" s="1"/>
  <c r="P117" i="8"/>
  <c r="E117" i="8" s="1"/>
  <c r="M36" i="8"/>
  <c r="M76" i="8"/>
  <c r="O131" i="8"/>
  <c r="P126" i="8" s="1"/>
  <c r="M25" i="8"/>
  <c r="M68" i="8"/>
  <c r="N36" i="8" l="1"/>
  <c r="N76" i="8"/>
  <c r="N143" i="8"/>
  <c r="N144" i="8" s="1"/>
  <c r="M28" i="8"/>
  <c r="N25" i="8"/>
  <c r="N68" i="8"/>
  <c r="P129" i="8"/>
  <c r="P128" i="8"/>
  <c r="P127" i="8"/>
  <c r="P133" i="8"/>
  <c r="M40" i="8"/>
  <c r="O136" i="8"/>
  <c r="O137" i="8" s="1"/>
  <c r="O141" i="8" s="1"/>
  <c r="P130" i="8" l="1"/>
  <c r="P134" i="8" s="1"/>
  <c r="P135" i="8" s="1"/>
  <c r="P136" i="8" s="1"/>
  <c r="P137" i="8" s="1"/>
  <c r="P141" i="8" s="1"/>
  <c r="O142" i="8"/>
  <c r="O72" i="8" s="1"/>
  <c r="O65" i="8"/>
  <c r="N28" i="8"/>
  <c r="N40" i="8"/>
  <c r="P132" i="8" l="1"/>
  <c r="E132" i="8" s="1"/>
  <c r="P131" i="8"/>
  <c r="O25" i="8"/>
  <c r="O68" i="8"/>
  <c r="O36" i="8"/>
  <c r="O76" i="8"/>
  <c r="O143" i="8"/>
  <c r="O144" i="8" s="1"/>
  <c r="P142" i="8"/>
  <c r="P72" i="8" s="1"/>
  <c r="P65" i="8"/>
  <c r="P36" i="8" l="1"/>
  <c r="D72" i="8"/>
  <c r="P76" i="8"/>
  <c r="D76" i="8" s="1"/>
  <c r="P143" i="8"/>
  <c r="P144" i="8" s="1"/>
  <c r="O40" i="8"/>
  <c r="P25" i="8"/>
  <c r="D65" i="8"/>
  <c r="P68" i="8"/>
  <c r="D68" i="8" s="1"/>
  <c r="O28" i="8"/>
  <c r="D25" i="8" l="1"/>
  <c r="P28" i="8"/>
  <c r="D28" i="8" s="1"/>
  <c r="D67" i="8"/>
  <c r="D69" i="8"/>
  <c r="D75" i="8"/>
  <c r="D77" i="8"/>
  <c r="P40" i="8"/>
  <c r="D40" i="8" s="1"/>
  <c r="D36" i="8"/>
  <c r="D39" i="8" l="1"/>
  <c r="D41" i="8"/>
  <c r="D33" i="8"/>
  <c r="D32" i="8" s="1"/>
  <c r="D27" i="8"/>
  <c r="D29" i="8"/>
  <c r="D23" i="8"/>
  <c r="F23" i="8" l="1"/>
  <c r="G23" i="8" s="1"/>
  <c r="D22" i="8"/>
  <c r="D24" i="8" s="1"/>
  <c r="F33" i="8"/>
  <c r="D35" i="8" l="1"/>
  <c r="H23" i="8"/>
  <c r="I23" i="8" s="1"/>
  <c r="G33" i="8"/>
  <c r="F32" i="8"/>
  <c r="F22" i="8"/>
  <c r="G22" i="8" l="1"/>
  <c r="J23" i="8"/>
  <c r="F24" i="8"/>
  <c r="G32" i="8"/>
  <c r="D34" i="8"/>
  <c r="H33" i="8"/>
  <c r="K23" i="8" l="1"/>
  <c r="L23" i="8" s="1"/>
  <c r="M23" i="8" s="1"/>
  <c r="G24" i="8"/>
  <c r="G35" i="8" s="1"/>
  <c r="G34" i="8" s="1"/>
  <c r="I33" i="8"/>
  <c r="H32" i="8"/>
  <c r="F35" i="8"/>
  <c r="H22" i="8"/>
  <c r="I22" i="8" s="1"/>
  <c r="J33" i="8" l="1"/>
  <c r="K33" i="8" s="1"/>
  <c r="I24" i="8"/>
  <c r="I35" i="8" s="1"/>
  <c r="J22" i="8"/>
  <c r="J24" i="8" s="1"/>
  <c r="J35" i="8" s="1"/>
  <c r="I32" i="8"/>
  <c r="H24" i="8"/>
  <c r="H35" i="8" s="1"/>
  <c r="H34" i="8" s="1"/>
  <c r="F34" i="8"/>
  <c r="N23" i="8"/>
  <c r="J32" i="8" l="1"/>
  <c r="J34" i="8" s="1"/>
  <c r="K22" i="8"/>
  <c r="K24" i="8" s="1"/>
  <c r="K35" i="8" s="1"/>
  <c r="L33" i="8"/>
  <c r="M33" i="8" s="1"/>
  <c r="N33" i="8" s="1"/>
  <c r="O33" i="8" s="1"/>
  <c r="P33" i="8" s="1"/>
  <c r="C33" i="8" s="1"/>
  <c r="O23" i="8"/>
  <c r="I34" i="8"/>
  <c r="K32" i="8" l="1"/>
  <c r="L32" i="8" s="1"/>
  <c r="L22" i="8"/>
  <c r="L24" i="8" s="1"/>
  <c r="L35" i="8" s="1"/>
  <c r="P23" i="8"/>
  <c r="K34" i="8" l="1"/>
  <c r="M32" i="8"/>
  <c r="N32" i="8" s="1"/>
  <c r="O32" i="8" s="1"/>
  <c r="P32" i="8" s="1"/>
  <c r="C32" i="8" s="1"/>
  <c r="L34" i="8"/>
  <c r="M22" i="8"/>
  <c r="M24" i="8" s="1"/>
  <c r="M35" i="8" s="1"/>
  <c r="C23" i="8"/>
  <c r="M34" i="8" l="1"/>
  <c r="N22" i="8"/>
  <c r="N24" i="8" s="1"/>
  <c r="N35" i="8" s="1"/>
  <c r="N34" i="8" s="1"/>
  <c r="O22" i="8" l="1"/>
  <c r="P22" i="8" s="1"/>
  <c r="P24" i="8" s="1"/>
  <c r="C22" i="8" l="1"/>
  <c r="O24" i="8"/>
  <c r="O35" i="8" s="1"/>
  <c r="O34" i="8" s="1"/>
  <c r="P35" i="8"/>
  <c r="C24" i="8" l="1"/>
  <c r="P34" i="8"/>
  <c r="C34" i="8" s="1"/>
  <c r="C35" i="8"/>
  <c r="CY49" i="13"/>
</calcChain>
</file>

<file path=xl/sharedStrings.xml><?xml version="1.0" encoding="utf-8"?>
<sst xmlns="http://schemas.openxmlformats.org/spreadsheetml/2006/main" count="2469" uniqueCount="406">
  <si>
    <t>Tucker017!</t>
  </si>
  <si>
    <t>Assumptions</t>
  </si>
  <si>
    <t>Purchase Price Summary</t>
  </si>
  <si>
    <t xml:space="preserve">Sale </t>
  </si>
  <si>
    <t>Property Address</t>
  </si>
  <si>
    <t>RSF</t>
  </si>
  <si>
    <t>% of RSF</t>
  </si>
  <si>
    <t>Year 1 NOI</t>
  </si>
  <si>
    <t>% of NOI</t>
  </si>
  <si>
    <t>Purchase Price</t>
  </si>
  <si>
    <t xml:space="preserve">% of Purchase </t>
  </si>
  <si>
    <t>Cap Rate</t>
  </si>
  <si>
    <t>131 Kent Road, New Milford, CT 06776</t>
  </si>
  <si>
    <t>Earnouts</t>
  </si>
  <si>
    <t>164 Mount Pleasant Road, Newtown, CT 06470</t>
  </si>
  <si>
    <t>TI/LC</t>
  </si>
  <si>
    <t>170 Mount Pleasant Road, Newtown, CT 06470</t>
  </si>
  <si>
    <t xml:space="preserve">Closing Costs </t>
  </si>
  <si>
    <t>2 Riverview Drive, Danbury, CT 06810</t>
  </si>
  <si>
    <t>Lease Legal Costs - DaVita</t>
  </si>
  <si>
    <t>226 White Street, Danbury, CT 06810</t>
  </si>
  <si>
    <t xml:space="preserve">Total Development Cost </t>
  </si>
  <si>
    <t>40 Old Ridgebury Road, Danbury, CT 06810</t>
  </si>
  <si>
    <t>Cost of Sale (Transfer Tax, Closing Costs, Broker Fee)</t>
  </si>
  <si>
    <t>Total</t>
  </si>
  <si>
    <t>Asset Management Fee %</t>
  </si>
  <si>
    <t>Capital Reserves (RSF)</t>
  </si>
  <si>
    <t xml:space="preserve">Total Development Cost Summary </t>
  </si>
  <si>
    <t>Portfolio Size (RSF)</t>
  </si>
  <si>
    <t>Pro-Rata Closing Costs</t>
  </si>
  <si>
    <t>Tenant Improvments</t>
  </si>
  <si>
    <t>Leasing Commissions</t>
  </si>
  <si>
    <t xml:space="preserve">Total Cost </t>
  </si>
  <si>
    <t>% of Total Cost</t>
  </si>
  <si>
    <t>Debt</t>
  </si>
  <si>
    <t>LTC</t>
  </si>
  <si>
    <t>Interest Rate</t>
  </si>
  <si>
    <t>Loan Amount</t>
  </si>
  <si>
    <t>Annual Debt Service</t>
  </si>
  <si>
    <t xml:space="preserve">Equity </t>
  </si>
  <si>
    <t>Required Initial Common Capital Contributions</t>
  </si>
  <si>
    <t xml:space="preserve">Common Equity &amp; Preferred Equity Splits </t>
  </si>
  <si>
    <t>Aspect Equity Interest %</t>
  </si>
  <si>
    <t>Aspect Common Interest</t>
  </si>
  <si>
    <t>Welltower Common Interest</t>
  </si>
  <si>
    <t xml:space="preserve">Initial Common Capital </t>
  </si>
  <si>
    <t>Initial Preferred Capital</t>
  </si>
  <si>
    <t>Welltower Total Interest</t>
  </si>
  <si>
    <t>Aspect Total Interest</t>
  </si>
  <si>
    <t>Total Capital</t>
  </si>
  <si>
    <t>Welltower Equity Interest %</t>
  </si>
  <si>
    <t xml:space="preserve">Aspect Equity Interest </t>
  </si>
  <si>
    <t xml:space="preserve">Welltower Equity Interest </t>
  </si>
  <si>
    <t>Total Equity Interest</t>
  </si>
  <si>
    <t>JV Ownership Interest</t>
  </si>
  <si>
    <t>Property Valuation &amp; Leveraged Returns by Property - Year 10</t>
  </si>
  <si>
    <t>Leveraged Returns to Equity - Year 10</t>
  </si>
  <si>
    <t>Leveraged Returns to Equity  - Year 10</t>
  </si>
  <si>
    <t>Year 10 NOI</t>
  </si>
  <si>
    <t>Year 10 Net Sale Price</t>
  </si>
  <si>
    <t>Net Gain on Sale</t>
  </si>
  <si>
    <t>Levered IRR</t>
  </si>
  <si>
    <t xml:space="preserve">Equity Multiple </t>
  </si>
  <si>
    <t>Average Cash on Cash</t>
  </si>
  <si>
    <t>Cap Spread</t>
  </si>
  <si>
    <t xml:space="preserve">Leveraged Project Returns </t>
  </si>
  <si>
    <t>Amount</t>
  </si>
  <si>
    <t xml:space="preserve">$ PSF </t>
  </si>
  <si>
    <t>Aspect Health Inc. Returns</t>
  </si>
  <si>
    <t>Total Proceeds</t>
  </si>
  <si>
    <t>Total GP Distributions</t>
  </si>
  <si>
    <t>Capital Contribution</t>
  </si>
  <si>
    <t xml:space="preserve">Total Asset Management Fee's </t>
  </si>
  <si>
    <t>Additional Development Costs</t>
  </si>
  <si>
    <t>Net Profit</t>
  </si>
  <si>
    <t>Net GP Profit</t>
  </si>
  <si>
    <t>Women's Health</t>
  </si>
  <si>
    <t>IRR</t>
  </si>
  <si>
    <t>AccessPT</t>
  </si>
  <si>
    <t>Equity Multiple</t>
  </si>
  <si>
    <t xml:space="preserve">Avg Cash-on-Cash </t>
  </si>
  <si>
    <t>Property Valuation &amp; Leveraged Returns by Property - Year 5</t>
  </si>
  <si>
    <t>Leveraged Returns to Equity - Year 5</t>
  </si>
  <si>
    <t>PCA</t>
  </si>
  <si>
    <t>Year 5 NOI</t>
  </si>
  <si>
    <t>Year 5 Net Sale Price</t>
  </si>
  <si>
    <t>Phase 1</t>
  </si>
  <si>
    <t>Survey</t>
  </si>
  <si>
    <t>Appraisal</t>
  </si>
  <si>
    <t xml:space="preserve">Contingency </t>
  </si>
  <si>
    <t>Title Costs</t>
  </si>
  <si>
    <t>Legal</t>
  </si>
  <si>
    <t xml:space="preserve">TI's </t>
  </si>
  <si>
    <t>Purchase Price Summary - Adjusted NOI Cap Rate Analysis</t>
  </si>
  <si>
    <t>Year 1 Unadjusted NOI</t>
  </si>
  <si>
    <t>Free Rent</t>
  </si>
  <si>
    <t>OpEx Leakage</t>
  </si>
  <si>
    <t>Year 1 Adjusted NOI</t>
  </si>
  <si>
    <t>NOI Variance</t>
  </si>
  <si>
    <t>Adjusted Cap Rate</t>
  </si>
  <si>
    <t>Women's Health - $120 RSF @ 3,825 RSF</t>
  </si>
  <si>
    <t>DaVita - Initial Premise - $20 @ 9,411 RSF</t>
  </si>
  <si>
    <t>DaVita - Expansion Premise - $100 @ 3,770 RSF</t>
  </si>
  <si>
    <t xml:space="preserve">LC's </t>
  </si>
  <si>
    <t>DaVita - Initial Premise</t>
  </si>
  <si>
    <t>DaVita - Expansion Premise</t>
  </si>
  <si>
    <t>Total Development Cost Summary - Adjusted NOI Cap Rate Analysis</t>
  </si>
  <si>
    <t xml:space="preserve">Legal </t>
  </si>
  <si>
    <t>CASH FLOW</t>
  </si>
  <si>
    <t>Year</t>
  </si>
  <si>
    <t>Property-Level Cash Flow</t>
  </si>
  <si>
    <t>Portfolio-Level Cash Flow Roll-Up</t>
  </si>
  <si>
    <t>Unlevered IRR</t>
  </si>
  <si>
    <t>Year 0</t>
  </si>
  <si>
    <t>Year 1</t>
  </si>
  <si>
    <t>Year 2</t>
  </si>
  <si>
    <t>Year 3</t>
  </si>
  <si>
    <t>Year 4</t>
  </si>
  <si>
    <t>Year 5</t>
  </si>
  <si>
    <t>Year 6</t>
  </si>
  <si>
    <t>Year 7</t>
  </si>
  <si>
    <t>Year 8</t>
  </si>
  <si>
    <t>Year 9</t>
  </si>
  <si>
    <t>Year 10</t>
  </si>
  <si>
    <t>#</t>
  </si>
  <si>
    <t>Year Ending</t>
  </si>
  <si>
    <t>-</t>
  </si>
  <si>
    <t>Portfolio Wrap-up</t>
  </si>
  <si>
    <t>Average Occupancy %</t>
  </si>
  <si>
    <t>EGR</t>
  </si>
  <si>
    <t>NOI</t>
  </si>
  <si>
    <t xml:space="preserve">Effective Gross Rent </t>
  </si>
  <si>
    <t>NCF before DS</t>
  </si>
  <si>
    <t>Net Operating Income</t>
  </si>
  <si>
    <t xml:space="preserve">DS </t>
  </si>
  <si>
    <t>Tenant Improvement</t>
  </si>
  <si>
    <t>NCF after DS</t>
  </si>
  <si>
    <t>Capital Reserves</t>
  </si>
  <si>
    <t>131 Kent</t>
  </si>
  <si>
    <t>Net Cash Flow Before Debt Service</t>
  </si>
  <si>
    <t>Sale (Unlevered)</t>
  </si>
  <si>
    <t>Unlevered Cash Flow</t>
  </si>
  <si>
    <t>DS</t>
  </si>
  <si>
    <t xml:space="preserve">Cap Rate at Sale </t>
  </si>
  <si>
    <t>Implied Exit Cap Rate</t>
  </si>
  <si>
    <t xml:space="preserve">164 Mount Pleasant </t>
  </si>
  <si>
    <t>Accretive (Dilutive) Cap Spread</t>
  </si>
  <si>
    <t>REIT GAAP Accounting Cap Rate Average</t>
  </si>
  <si>
    <t>Net Sale Price</t>
  </si>
  <si>
    <t>Net Sale Price PSF</t>
  </si>
  <si>
    <t xml:space="preserve">170 Mount Pleasant </t>
  </si>
  <si>
    <t>Unlevered Equity Multiple</t>
  </si>
  <si>
    <t>Loan Balance</t>
  </si>
  <si>
    <t>Debt Service</t>
  </si>
  <si>
    <t>Debt Coverage Ratio</t>
  </si>
  <si>
    <t>Portfolio Sale Price by Cap Rate by Exit Year</t>
  </si>
  <si>
    <t xml:space="preserve">2 Riverview </t>
  </si>
  <si>
    <t>Net Cash on Sale</t>
  </si>
  <si>
    <t>Net Gain</t>
  </si>
  <si>
    <t>Net Cash Flow after Debt Service</t>
  </si>
  <si>
    <t xml:space="preserve">Sale (Levered) </t>
  </si>
  <si>
    <t>226 White St</t>
  </si>
  <si>
    <t>Asset Management Fees</t>
  </si>
  <si>
    <t>Levered Cash Flow</t>
  </si>
  <si>
    <t>Portfolio Final Year Cash Flow by Cap Rate by Exit Year</t>
  </si>
  <si>
    <t>Cash on Cash Return</t>
  </si>
  <si>
    <t>40 ORR</t>
  </si>
  <si>
    <t>Levered Equity Multiple</t>
  </si>
  <si>
    <t>Portfolio IRR by Cap Rate by Exit Year</t>
  </si>
  <si>
    <t>Aspect GP Portfolio Returns by Year</t>
  </si>
  <si>
    <t xml:space="preserve">Aspect GP Returns </t>
  </si>
  <si>
    <t>Asset Mangement Fee</t>
  </si>
  <si>
    <t>Total Yearly GP Returns</t>
  </si>
  <si>
    <t>Aspect GP Portfolio Returns - Final Year Cash Flow by Cap Rate by Exit Year</t>
  </si>
  <si>
    <t>Aspect GP Portfolio Returns - IRR by Cap Rate by Exit Year</t>
  </si>
  <si>
    <t>Effective Gross Rent</t>
  </si>
  <si>
    <t>Net Cash Flow before Debt Service</t>
  </si>
  <si>
    <t>Property Final Year Cash Flow by Cap Rate by Exit Year</t>
  </si>
  <si>
    <t>ASPECT PORTFOLIO RETURNS - RECAPITALIZATION</t>
  </si>
  <si>
    <t>Promote Hurdle Method</t>
  </si>
  <si>
    <t>Return of Capital</t>
  </si>
  <si>
    <t>Yes</t>
  </si>
  <si>
    <t>Equity Contributions</t>
  </si>
  <si>
    <t>%</t>
  </si>
  <si>
    <t>General Partner (GP)</t>
  </si>
  <si>
    <t>Limited Partner (LP)</t>
  </si>
  <si>
    <t>Total Equity</t>
  </si>
  <si>
    <t>Hurdle Rate Method Used:</t>
  </si>
  <si>
    <t>Promote Structure Incentive Breakdown</t>
  </si>
  <si>
    <t>Distribution as %</t>
  </si>
  <si>
    <t>GP %</t>
  </si>
  <si>
    <t>LP %</t>
  </si>
  <si>
    <t>Tier 1 (Pref + Return of Capital)</t>
  </si>
  <si>
    <t>GP Promote</t>
  </si>
  <si>
    <t>Tier 2 (Promote)</t>
  </si>
  <si>
    <t>Tier 3 (Promote)</t>
  </si>
  <si>
    <t>Tier 4 (Promote)</t>
  </si>
  <si>
    <t>Summary of Partnership-Level Returns</t>
  </si>
  <si>
    <t>Limited Partner (LP) Returns</t>
  </si>
  <si>
    <t>Check</t>
  </si>
  <si>
    <t>Preferred Return</t>
  </si>
  <si>
    <t>Excess Cash Flow</t>
  </si>
  <si>
    <t>Total LP Distributions</t>
  </si>
  <si>
    <t>Total LP Contributions</t>
  </si>
  <si>
    <t>Total LP Profit</t>
  </si>
  <si>
    <t>LP IRR</t>
  </si>
  <si>
    <t>LP Equity Multiple</t>
  </si>
  <si>
    <t>GP Returns</t>
  </si>
  <si>
    <t>Promote</t>
  </si>
  <si>
    <t>Total GP Fees</t>
  </si>
  <si>
    <t>Total GP Contributions</t>
  </si>
  <si>
    <t>Total GP Profit (Including Fees)</t>
  </si>
  <si>
    <t>GP IRR</t>
  </si>
  <si>
    <t>GP Equity Multiple</t>
  </si>
  <si>
    <t>Property-Level Cash and GP Fees</t>
  </si>
  <si>
    <t>Net Property-Level Cash Flow</t>
  </si>
  <si>
    <t>Acquisition/Disposition Fees</t>
  </si>
  <si>
    <t>Adjusted Net Property-Level Cash Flow</t>
  </si>
  <si>
    <t>PARTNERSHIP LEVEL RETURNS - IRR EQUITY WATERFALL</t>
  </si>
  <si>
    <t>Notes</t>
  </si>
  <si>
    <t>Total GP Profit</t>
  </si>
  <si>
    <t>Tier 1 - Preferred Return + Return of Capital</t>
  </si>
  <si>
    <t>Return Threshold - Up to:</t>
  </si>
  <si>
    <t>Beginning Balance (LP Capital Account)</t>
  </si>
  <si>
    <t>LP Return of Capital</t>
  </si>
  <si>
    <t>Req'd Return by LP to hit Hurdle 1</t>
  </si>
  <si>
    <t>Contributions from LP</t>
  </si>
  <si>
    <t>Distributions to LP (Hurdle 1)</t>
  </si>
  <si>
    <t>Ending Balance (LP Capital Account)</t>
  </si>
  <si>
    <t>Distribution to LP</t>
  </si>
  <si>
    <t>Beginning Balance (GP Capital Account)</t>
  </si>
  <si>
    <t>Req'd Return by GP (Pref)</t>
  </si>
  <si>
    <t>Contributions from GP</t>
  </si>
  <si>
    <t>Distribution to GP</t>
  </si>
  <si>
    <t>Ending Balance (GP Capital Account)</t>
  </si>
  <si>
    <t>Cash Flow Remaining</t>
  </si>
  <si>
    <t>Tier 2</t>
  </si>
  <si>
    <t>Req'd Return by LP to hit Hurdle 2</t>
  </si>
  <si>
    <t>Prior Distributions</t>
  </si>
  <si>
    <t>.</t>
  </si>
  <si>
    <t>Tier 3</t>
  </si>
  <si>
    <t>Req'd Return by LP to hit Hurdle 3</t>
  </si>
  <si>
    <t>Tier 4</t>
  </si>
  <si>
    <t>Return Threshold - Greater than:</t>
  </si>
  <si>
    <t>RENT ROLL</t>
  </si>
  <si>
    <t xml:space="preserve">Tenant </t>
  </si>
  <si>
    <t>Commence</t>
  </si>
  <si>
    <t>Expire</t>
  </si>
  <si>
    <t>Current Rent</t>
  </si>
  <si>
    <t>Rent Escalator</t>
  </si>
  <si>
    <t>Danbury Hospital</t>
  </si>
  <si>
    <t>Pain Management Partners, LLC</t>
  </si>
  <si>
    <t>Advanced Specialty Care</t>
  </si>
  <si>
    <t>SelectPT</t>
  </si>
  <si>
    <t>OrthoConnecticut</t>
  </si>
  <si>
    <t xml:space="preserve">Vacant </t>
  </si>
  <si>
    <t xml:space="preserve">Total </t>
  </si>
  <si>
    <t xml:space="preserve">UPFRONT LEASING COMMISSIONS - DaVita </t>
  </si>
  <si>
    <t>Year 11</t>
  </si>
  <si>
    <t>6/31/2022</t>
  </si>
  <si>
    <t>6/31/2023</t>
  </si>
  <si>
    <t>6/31/2024</t>
  </si>
  <si>
    <t>6/31/2025</t>
  </si>
  <si>
    <t>6/31/2026</t>
  </si>
  <si>
    <t>6/31/2027</t>
  </si>
  <si>
    <t>6/31/2028</t>
  </si>
  <si>
    <t>6/31/2029</t>
  </si>
  <si>
    <t>6/31/2030</t>
  </si>
  <si>
    <t>6/31/2031</t>
  </si>
  <si>
    <t>DaVita</t>
  </si>
  <si>
    <t>Base Rent - Initial Premise</t>
  </si>
  <si>
    <t>Eye Care of Danbury</t>
  </si>
  <si>
    <t>Base Rent - Expansion Premise</t>
  </si>
  <si>
    <t>ProHealth Physicians, Inc.</t>
  </si>
  <si>
    <t>LC % Base Rent</t>
  </si>
  <si>
    <t>Pain Management</t>
  </si>
  <si>
    <t>LC's - Initial Premise</t>
  </si>
  <si>
    <t>LC's - Expansion Premise</t>
  </si>
  <si>
    <t>LC's Total</t>
  </si>
  <si>
    <t>Western Connecticut Medical Group</t>
  </si>
  <si>
    <t>Dermatology Associates of Western Connecticut</t>
  </si>
  <si>
    <t>MotionPT</t>
  </si>
  <si>
    <t>Danbury Radiological Associates</t>
  </si>
  <si>
    <t>OrthoConnecticut, PC (Pain)</t>
  </si>
  <si>
    <t>MotionPT (Occupational Therapy)</t>
  </si>
  <si>
    <t>OrthoConnecticut (Ortho)</t>
  </si>
  <si>
    <t>Western Connecticut Orthopedic Surgical Center</t>
  </si>
  <si>
    <t>Somers Orthopedic Surgery &amp; Sports Medicine Group</t>
  </si>
  <si>
    <t>Orthopedic Specialty Surgery Center</t>
  </si>
  <si>
    <t>Alliance Healthcare Services, Inc</t>
  </si>
  <si>
    <t>Cash Flow</t>
  </si>
  <si>
    <t>131 Kent Road (2) (Amounts in USD)</t>
  </si>
  <si>
    <t>164 Mt Pleasant (2) (Amounts in USD)</t>
  </si>
  <si>
    <t>170 Mt Pleasant (2) (Amounts in USD)</t>
  </si>
  <si>
    <t>2 Riverview (2) (Amounts in USD)</t>
  </si>
  <si>
    <t>226 White Street (2) (Amounts in USD)</t>
  </si>
  <si>
    <t>40 Old Ridgebury (2) (Amounts in USD)</t>
  </si>
  <si>
    <t>Jul, 2021 through Jun, 2032</t>
  </si>
  <si>
    <t>11/3/2021 2:36:44 PM</t>
  </si>
  <si>
    <t>11/3/2021 2:51:15 PM</t>
  </si>
  <si>
    <t>11/3/2021 2:53:20 PM</t>
  </si>
  <si>
    <t>11/3/2021 2:56:45 PM</t>
  </si>
  <si>
    <t>11/3/2021 2:59:59 PM</t>
  </si>
  <si>
    <t>11/3/2021 3:01:05 PM</t>
  </si>
  <si>
    <t>Forecast</t>
  </si>
  <si>
    <t>For the Years Ending</t>
  </si>
  <si>
    <t>Jun-2022</t>
  </si>
  <si>
    <t>Jun-2023</t>
  </si>
  <si>
    <t>Jun-2024</t>
  </si>
  <si>
    <t>Jun-2025</t>
  </si>
  <si>
    <t>Jun-2026</t>
  </si>
  <si>
    <t>Jun-2027</t>
  </si>
  <si>
    <t>Jun-2028</t>
  </si>
  <si>
    <t>Jun-2029</t>
  </si>
  <si>
    <t>Jun-2030</t>
  </si>
  <si>
    <t>Jun-2031</t>
  </si>
  <si>
    <t>Jun-2032</t>
  </si>
  <si>
    <t>Rental Revenue</t>
  </si>
  <si>
    <t>`</t>
  </si>
  <si>
    <t xml:space="preserve">  Potential Base Rent</t>
  </si>
  <si>
    <t xml:space="preserve">  Absorption &amp; Turnover Vacancy</t>
  </si>
  <si>
    <t xml:space="preserve">  Scheduled Base Rent</t>
  </si>
  <si>
    <t xml:space="preserve">  Free Rent</t>
  </si>
  <si>
    <t>Total Rental Revenue</t>
  </si>
  <si>
    <t>Other Tenant Revenue</t>
  </si>
  <si>
    <t xml:space="preserve">  Total Expense Recoveries</t>
  </si>
  <si>
    <t>Total Other Tenant Revenue</t>
  </si>
  <si>
    <t>Total Tenant Revenue</t>
  </si>
  <si>
    <t>Potential Gross Revenue</t>
  </si>
  <si>
    <t>Effective Gross Revenue</t>
  </si>
  <si>
    <t>Vacancy &amp; Credit Loss</t>
  </si>
  <si>
    <t xml:space="preserve">  Credit Loss</t>
  </si>
  <si>
    <t>Operating Expenses</t>
  </si>
  <si>
    <t>Total Vacancy &amp; Credit Loss</t>
  </si>
  <si>
    <t xml:space="preserve">  Vacancy Allowance</t>
  </si>
  <si>
    <t xml:space="preserve">  Administrative Expenses</t>
  </si>
  <si>
    <t xml:space="preserve">  Insurance</t>
  </si>
  <si>
    <t xml:space="preserve">  Life Safety</t>
  </si>
  <si>
    <t xml:space="preserve">  Management Fees</t>
  </si>
  <si>
    <t xml:space="preserve">  Taxes</t>
  </si>
  <si>
    <t xml:space="preserve">  Repairs and Maintenance</t>
  </si>
  <si>
    <t xml:space="preserve">  Common Park Charges</t>
  </si>
  <si>
    <t xml:space="preserve">  Utilities</t>
  </si>
  <si>
    <t xml:space="preserve">  Management Fee Sales Tax</t>
  </si>
  <si>
    <t>Total Operating Expenses</t>
  </si>
  <si>
    <t xml:space="preserve">  Security</t>
  </si>
  <si>
    <t>Leasing Costs</t>
  </si>
  <si>
    <t xml:space="preserve">  Tenant Improvements</t>
  </si>
  <si>
    <t xml:space="preserve">  Engineer Salary</t>
  </si>
  <si>
    <t xml:space="preserve">  Leasing Commissions</t>
  </si>
  <si>
    <t xml:space="preserve">  Landscaping</t>
  </si>
  <si>
    <t xml:space="preserve">  Total Leasing Costs</t>
  </si>
  <si>
    <t>Capital Expenditures</t>
  </si>
  <si>
    <t xml:space="preserve">  Capital Reserve</t>
  </si>
  <si>
    <t xml:space="preserve">  Total Capital Expenditures</t>
  </si>
  <si>
    <t>Total Leasing &amp; Capital Costs</t>
  </si>
  <si>
    <t>Cash Flow Before Debt Service</t>
  </si>
  <si>
    <t>Cash Flow Available for Distribution</t>
  </si>
  <si>
    <t>Building Area Occupancy Report</t>
  </si>
  <si>
    <t>Total Portfolio Roll-Up</t>
  </si>
  <si>
    <t xml:space="preserve"> </t>
  </si>
  <si>
    <t>FY 2022</t>
  </si>
  <si>
    <t>FY 2023</t>
  </si>
  <si>
    <t>FY 2024</t>
  </si>
  <si>
    <t>FY 2025</t>
  </si>
  <si>
    <t>FY 2026</t>
  </si>
  <si>
    <t>FY 2027</t>
  </si>
  <si>
    <t>FY 2028</t>
  </si>
  <si>
    <t>FY 2029</t>
  </si>
  <si>
    <t>FY 2030</t>
  </si>
  <si>
    <t>FY 2031</t>
  </si>
  <si>
    <t>Month</t>
  </si>
  <si>
    <t>Occupied</t>
  </si>
  <si>
    <t>Area</t>
  </si>
  <si>
    <t>July</t>
  </si>
  <si>
    <t>August</t>
  </si>
  <si>
    <t>September</t>
  </si>
  <si>
    <t>October</t>
  </si>
  <si>
    <t>November</t>
  </si>
  <si>
    <t>December</t>
  </si>
  <si>
    <t>January</t>
  </si>
  <si>
    <t>February</t>
  </si>
  <si>
    <t>March</t>
  </si>
  <si>
    <t>April</t>
  </si>
  <si>
    <t>May</t>
  </si>
  <si>
    <t>June</t>
  </si>
  <si>
    <t>Average Occupancy</t>
  </si>
  <si>
    <t>Total Net Rentable Area</t>
  </si>
  <si>
    <t>131 Kent Road (2) (Measures in SF)</t>
  </si>
  <si>
    <t>6/7/2021 1:36:47 PM</t>
  </si>
  <si>
    <t>164 Mt Pleasant (2) (Measures in SF)</t>
  </si>
  <si>
    <t>6/7/2021 3:28:10 PM</t>
  </si>
  <si>
    <t>170 Mt Pleasant (2) (Measures in SF)</t>
  </si>
  <si>
    <t>6/7/2021 3:30:56 PM</t>
  </si>
  <si>
    <t>2 Riverview (2) (Measures in SF)</t>
  </si>
  <si>
    <t>6/7/2021 3:34:16 PM</t>
  </si>
  <si>
    <t>226 White Street (2) (Measures in SF)</t>
  </si>
  <si>
    <t>6/7/2021 3:33:06 PM</t>
  </si>
  <si>
    <t>40 Old Ridgebury (2) (Measures in SF)</t>
  </si>
  <si>
    <t>6/7/2021 3:35:34 PM</t>
  </si>
  <si>
    <t>Sports &amp; Entertainment Physcians</t>
  </si>
  <si>
    <t>12.50% Every 5 Years</t>
  </si>
  <si>
    <t>Note</t>
  </si>
  <si>
    <t>$0.50 Increases</t>
  </si>
  <si>
    <t>10.00% Every 5 Years</t>
  </si>
  <si>
    <t>AccessPT - $75 RSF @ 2,297 RSF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</si>
</sst>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 numFmtId="167" formatCode="0.00&quot;x&quot;"/>
    <numFmt numFmtId="168" formatCode="0.000&quot;MM&quot;"/>
    <numFmt numFmtId="169" formatCode="&quot; Up to &quot;0.0%\ \I\R\R&quot; to LP&quot;"/>
    <numFmt numFmtId="170" formatCode="&quot;&gt;&quot;\ 0.00&quot;X EM to LP&quot;"/>
    <numFmt numFmtId="171" formatCode="&quot;&gt;&quot;\ 0.0%\ \I\R\R&quot; to LP&quot;"/>
    <numFmt numFmtId="172" formatCode="&quot; up to &quot;0.0%\ \I\R\R&quot; to LP&quot;"/>
    <numFmt numFmtId="173" formatCode="&quot;Year&quot;\ 0"/>
    <numFmt numFmtId="174" formatCode="[$-409]d\-mmm\-yy;@"/>
    <numFmt numFmtId="175" formatCode="0.00&quot;X&quot;"/>
    <numFmt numFmtId="176" formatCode="&quot;IRR Error Check -&quot;\ 0.0%"/>
    <numFmt numFmtId="177" formatCode="#,##0\ &quot;RSF&quot;"/>
    <numFmt numFmtId="178" formatCode="[$-10409]#,##0;\-#,##0"/>
    <numFmt numFmtId="179" formatCode="[$-10409]#,##0.00;\-#,##0.00"/>
    <numFmt numFmtId="180" formatCode="_(* #,##0.00000_);_(* \(#,##0.00000\);_(* &quot;-&quot;??_);_(@_)"/>
    <numFmt numFmtId="181" formatCode="_(* #,##0.0000000_);_(* \(#,##0.0000000\);_(* &quot;-&quot;??_);_(@_)"/>
    <numFmt numFmtId="182" formatCode="0.0000000"/>
    <numFmt numFmtId="183" formatCode="0.0000"/>
    <numFmt numFmtId="184" formatCode="_(* #,##0_);_(* \(#,###\);_(* &quot;-&quot;??_);_(@_)"/>
  </numFmts>
  <fonts count="4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theme="4" tint="-0.249977111117893"/>
      <name val="Calibri"/>
      <family val="2"/>
      <scheme val="minor"/>
    </font>
    <font>
      <sz val="10"/>
      <name val="Calibri"/>
      <family val="2"/>
      <scheme val="minor"/>
    </font>
    <font>
      <sz val="9"/>
      <color theme="1"/>
      <name val="Calibri"/>
      <family val="2"/>
      <scheme val="minor"/>
    </font>
    <font>
      <b/>
      <sz val="10"/>
      <name val="Calibri"/>
      <family val="2"/>
      <scheme val="minor"/>
    </font>
    <font>
      <i/>
      <sz val="10"/>
      <color theme="1"/>
      <name val="Calibri"/>
      <family val="2"/>
      <scheme val="minor"/>
    </font>
    <font>
      <b/>
      <sz val="14"/>
      <color theme="0"/>
      <name val="Calibri"/>
      <family val="2"/>
      <scheme val="minor"/>
    </font>
    <font>
      <b/>
      <sz val="12"/>
      <name val="Calibri"/>
      <family val="2"/>
      <scheme val="minor"/>
    </font>
    <font>
      <sz val="11"/>
      <color indexed="12"/>
      <name val="Calibri"/>
      <family val="2"/>
      <scheme val="minor"/>
    </font>
    <font>
      <sz val="11"/>
      <name val="Calibri"/>
      <family val="2"/>
      <scheme val="minor"/>
    </font>
    <font>
      <b/>
      <sz val="12"/>
      <color theme="1"/>
      <name val="Calibri"/>
      <family val="2"/>
      <scheme val="minor"/>
    </font>
    <font>
      <b/>
      <sz val="9"/>
      <color rgb="FFFF0000"/>
      <name val="Calibri"/>
      <family val="2"/>
      <scheme val="minor"/>
    </font>
    <font>
      <u/>
      <sz val="11"/>
      <name val="Calibri"/>
      <family val="2"/>
      <scheme val="minor"/>
    </font>
    <font>
      <i/>
      <sz val="11"/>
      <color theme="1"/>
      <name val="Calibri"/>
      <family val="2"/>
      <scheme val="minor"/>
    </font>
    <font>
      <b/>
      <u/>
      <sz val="11"/>
      <color theme="1"/>
      <name val="Calibri"/>
      <family val="2"/>
      <scheme val="minor"/>
    </font>
    <font>
      <u/>
      <sz val="11"/>
      <color theme="1"/>
      <name val="Calibri"/>
      <family val="2"/>
      <scheme val="minor"/>
    </font>
    <font>
      <b/>
      <i/>
      <sz val="11"/>
      <color theme="1"/>
      <name val="Calibri"/>
      <family val="2"/>
      <scheme val="minor"/>
    </font>
    <font>
      <i/>
      <u/>
      <sz val="10"/>
      <color theme="1"/>
      <name val="Calibri"/>
      <family val="2"/>
      <scheme val="minor"/>
    </font>
    <font>
      <u val="singleAccounting"/>
      <sz val="11"/>
      <name val="Calibri"/>
      <family val="2"/>
      <scheme val="minor"/>
    </font>
    <font>
      <sz val="11"/>
      <color rgb="FF000000"/>
      <name val="Calibri"/>
      <family val="2"/>
      <scheme val="minor"/>
    </font>
    <font>
      <b/>
      <sz val="11"/>
      <name val="Calibri"/>
      <family val="2"/>
      <scheme val="minor"/>
    </font>
    <font>
      <sz val="10"/>
      <color rgb="FF000000"/>
      <name val="Calibri"/>
      <family val="2"/>
      <scheme val="minor"/>
    </font>
    <font>
      <sz val="10"/>
      <color theme="0"/>
      <name val="Calibri"/>
      <family val="2"/>
      <scheme val="minor"/>
    </font>
    <font>
      <sz val="10"/>
      <color theme="0" tint="-4.9989318521683403E-2"/>
      <name val="Calibri"/>
      <family val="2"/>
      <scheme val="minor"/>
    </font>
    <font>
      <sz val="10"/>
      <color indexed="12"/>
      <name val="Calibri"/>
      <family val="2"/>
      <scheme val="minor"/>
    </font>
    <font>
      <sz val="8"/>
      <name val="Calibri"/>
      <family val="2"/>
      <scheme val="minor"/>
    </font>
    <font>
      <b/>
      <sz val="10"/>
      <color theme="4" tint="-0.249977111117893"/>
      <name val="Calibri"/>
      <family val="2"/>
      <scheme val="minor"/>
    </font>
    <font>
      <b/>
      <sz val="11"/>
      <color rgb="FF000000"/>
      <name val="Calibri"/>
      <family val="2"/>
      <scheme val="minor"/>
    </font>
    <font>
      <sz val="8"/>
      <color rgb="FF000000"/>
      <name val="Calibri"/>
      <family val="2"/>
      <scheme val="minor"/>
    </font>
    <font>
      <u/>
      <sz val="8"/>
      <color rgb="FF000000"/>
      <name val="Calibri"/>
      <family val="2"/>
      <scheme val="minor"/>
    </font>
    <font>
      <b/>
      <sz val="8"/>
      <color rgb="FF000000"/>
      <name val="Calibri"/>
      <family val="2"/>
      <scheme val="minor"/>
    </font>
    <font>
      <sz val="8"/>
      <color rgb="FF808080"/>
      <name val="Calibri"/>
      <family val="2"/>
      <scheme val="minor"/>
    </font>
    <font>
      <b/>
      <sz val="8"/>
      <name val="Calibri"/>
      <family val="2"/>
      <scheme val="minor"/>
    </font>
    <font>
      <b/>
      <sz val="8"/>
      <color theme="4" tint="-0.249977111117893"/>
      <name val="Calibri"/>
      <family val="2"/>
      <scheme val="minor"/>
    </font>
    <font>
      <sz val="8"/>
      <color theme="4" tint="-0.249977111117893"/>
      <name val="Calibri"/>
      <family val="2"/>
      <scheme val="minor"/>
    </font>
    <font>
      <sz val="10"/>
      <color rgb="FF0000FF"/>
      <name val="Calibri"/>
      <family val="2"/>
      <scheme val="minor"/>
    </font>
    <font>
      <b/>
      <sz val="10"/>
      <color rgb="FF0000FF"/>
      <name val="Calibri"/>
      <family val="2"/>
      <scheme val="minor"/>
    </font>
  </fonts>
  <fills count="10">
    <fill>
      <patternFill patternType="none"/>
    </fill>
    <fill>
      <patternFill patternType="gray125"/>
    </fill>
    <fill>
      <patternFill patternType="solid">
        <fgColor rgb="FF57B7C3"/>
        <bgColor indexed="64"/>
      </patternFill>
    </fill>
    <fill>
      <patternFill patternType="solid">
        <fgColor rgb="FFC7C6C7"/>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FFFFFF"/>
        <bgColor rgb="FFFFFFFF"/>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6593CF"/>
      </bottom>
      <diagonal/>
    </border>
    <border>
      <left/>
      <right/>
      <top/>
      <bottom style="thin">
        <color rgb="FF6593CF"/>
      </bottom>
      <diagonal/>
    </border>
    <border>
      <left/>
      <right/>
      <top style="thin">
        <color rgb="FF6593CF"/>
      </top>
      <bottom style="thin">
        <color rgb="FF6593CF"/>
      </bottom>
      <diagonal/>
    </border>
    <border>
      <left/>
      <right/>
      <top style="thin">
        <color rgb="FF6593CF"/>
      </top>
      <bottom/>
      <diagonal/>
    </border>
    <border>
      <left style="thin">
        <color rgb="FF6593CF"/>
      </left>
      <right style="thin">
        <color rgb="FF6593CF"/>
      </right>
      <top style="thin">
        <color rgb="FF6593CF"/>
      </top>
      <bottom/>
      <diagonal/>
    </border>
    <border>
      <left style="thin">
        <color rgb="FF6593CF"/>
      </left>
      <right/>
      <top style="thin">
        <color rgb="FF6593CF"/>
      </top>
      <bottom style="thin">
        <color rgb="FF6593CF"/>
      </bottom>
      <diagonal/>
    </border>
    <border>
      <left style="thin">
        <color rgb="FF6593CF"/>
      </left>
      <right style="thin">
        <color rgb="FF6593CF"/>
      </right>
      <top/>
      <bottom/>
      <diagonal/>
    </border>
    <border>
      <left style="thin">
        <color rgb="FF6593CF"/>
      </left>
      <right style="thin">
        <color rgb="FF6593CF"/>
      </right>
      <top/>
      <bottom style="thin">
        <color rgb="FF6593CF"/>
      </bottom>
      <diagonal/>
    </border>
    <border>
      <left style="thin">
        <color rgb="FF6593CF"/>
      </left>
      <right/>
      <top style="thin">
        <color rgb="FF6593CF"/>
      </top>
      <bottom/>
      <diagonal/>
    </border>
    <border>
      <left style="thin">
        <color rgb="FF6593CF"/>
      </left>
      <right/>
      <top/>
      <bottom/>
      <diagonal/>
    </border>
    <border>
      <left style="thin">
        <color rgb="FF6593CF"/>
      </left>
      <right/>
      <top/>
      <bottom style="thin">
        <color rgb="FF6593CF"/>
      </bottom>
      <diagonal/>
    </border>
    <border>
      <left/>
      <right style="thin">
        <color rgb="FF6593CF"/>
      </right>
      <top style="thin">
        <color rgb="FF6593CF"/>
      </top>
      <bottom style="thin">
        <color rgb="FF6593CF"/>
      </bottom>
      <diagonal/>
    </border>
    <border>
      <left/>
      <right style="thin">
        <color rgb="FF6593CF"/>
      </right>
      <top style="thin">
        <color rgb="FF6593CF"/>
      </top>
      <bottom/>
      <diagonal/>
    </border>
    <border>
      <left/>
      <right style="thin">
        <color rgb="FF6593CF"/>
      </right>
      <top/>
      <bottom/>
      <diagonal/>
    </border>
    <border>
      <left/>
      <right style="thin">
        <color rgb="FF6593CF"/>
      </right>
      <top/>
      <bottom style="thin">
        <color rgb="FF6593CF"/>
      </bottom>
      <diagonal/>
    </border>
    <border>
      <left style="medium">
        <color indexed="64"/>
      </left>
      <right/>
      <top/>
      <bottom style="thin">
        <color auto="1"/>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5" fillId="0" borderId="0"/>
  </cellStyleXfs>
  <cellXfs count="527">
    <xf numFmtId="0" fontId="0" fillId="0" borderId="0" xfId="0"/>
    <xf numFmtId="0" fontId="6" fillId="3" borderId="1" xfId="0" applyFont="1" applyFill="1" applyBorder="1"/>
    <xf numFmtId="0" fontId="6" fillId="2" borderId="1" xfId="0" applyFont="1" applyFill="1" applyBorder="1"/>
    <xf numFmtId="0" fontId="6" fillId="3" borderId="1" xfId="0" applyFont="1" applyFill="1" applyBorder="1" applyAlignment="1">
      <alignment horizontal="center"/>
    </xf>
    <xf numFmtId="0" fontId="0" fillId="5" borderId="0" xfId="0" applyFill="1"/>
    <xf numFmtId="0" fontId="0" fillId="5" borderId="0" xfId="0" applyFill="1" applyAlignment="1">
      <alignment horizontal="center"/>
    </xf>
    <xf numFmtId="0" fontId="13" fillId="4" borderId="0" xfId="0" applyFont="1" applyFill="1"/>
    <xf numFmtId="0" fontId="4" fillId="4" borderId="0" xfId="0" applyFont="1" applyFill="1"/>
    <xf numFmtId="0" fontId="4" fillId="4" borderId="0" xfId="0" applyFont="1" applyFill="1" applyAlignment="1">
      <alignment horizontal="center"/>
    </xf>
    <xf numFmtId="0" fontId="4" fillId="0" borderId="0" xfId="0" applyFont="1" applyAlignment="1">
      <alignment horizontal="center"/>
    </xf>
    <xf numFmtId="0" fontId="15" fillId="0" borderId="0" xfId="0" applyFont="1" applyAlignment="1">
      <alignment horizontal="right"/>
    </xf>
    <xf numFmtId="0" fontId="14" fillId="0" borderId="0" xfId="0" applyFont="1" applyAlignment="1">
      <alignment horizontal="center"/>
    </xf>
    <xf numFmtId="0" fontId="0" fillId="4" borderId="0" xfId="0" applyFill="1"/>
    <xf numFmtId="0" fontId="0" fillId="0" borderId="0" xfId="0" applyAlignment="1">
      <alignment horizontal="right"/>
    </xf>
    <xf numFmtId="0" fontId="0" fillId="0" borderId="0" xfId="0" applyAlignment="1">
      <alignment horizontal="center"/>
    </xf>
    <xf numFmtId="0" fontId="0" fillId="4" borderId="0" xfId="0" applyFill="1" applyAlignment="1">
      <alignment horizontal="center"/>
    </xf>
    <xf numFmtId="0" fontId="16" fillId="0" borderId="0" xfId="0" applyFont="1" applyAlignment="1">
      <alignment horizontal="left"/>
    </xf>
    <xf numFmtId="164" fontId="14" fillId="0" borderId="0" xfId="0" applyNumberFormat="1" applyFont="1" applyAlignment="1" applyProtection="1">
      <alignment horizontal="right"/>
      <protection locked="0"/>
    </xf>
    <xf numFmtId="41" fontId="15" fillId="4" borderId="0" xfId="0" applyNumberFormat="1" applyFont="1" applyFill="1" applyAlignment="1">
      <alignment horizontal="right"/>
    </xf>
    <xf numFmtId="0" fontId="0" fillId="4" borderId="0" xfId="0" applyFill="1" applyAlignment="1">
      <alignment horizontal="left"/>
    </xf>
    <xf numFmtId="9" fontId="14" fillId="4" borderId="0" xfId="0" applyNumberFormat="1" applyFont="1" applyFill="1" applyAlignment="1">
      <alignment horizontal="center"/>
    </xf>
    <xf numFmtId="164" fontId="0" fillId="4" borderId="0" xfId="0" applyNumberFormat="1" applyFill="1" applyAlignment="1">
      <alignment horizontal="right"/>
    </xf>
    <xf numFmtId="41" fontId="18" fillId="4" borderId="0" xfId="0" applyNumberFormat="1" applyFont="1" applyFill="1" applyAlignment="1">
      <alignment horizontal="right"/>
    </xf>
    <xf numFmtId="164" fontId="0" fillId="4" borderId="0" xfId="0" applyNumberFormat="1" applyFill="1" applyAlignment="1">
      <alignment horizontal="center"/>
    </xf>
    <xf numFmtId="6" fontId="15" fillId="4" borderId="0" xfId="0" applyNumberFormat="1" applyFont="1" applyFill="1" applyAlignment="1">
      <alignment horizontal="right"/>
    </xf>
    <xf numFmtId="0" fontId="20" fillId="4" borderId="0" xfId="0" applyFont="1" applyFill="1" applyAlignment="1">
      <alignment horizontal="center"/>
    </xf>
    <xf numFmtId="0" fontId="20" fillId="4" borderId="0" xfId="0" applyFont="1" applyFill="1" applyAlignment="1">
      <alignment horizontal="right"/>
    </xf>
    <xf numFmtId="169" fontId="15" fillId="4" borderId="0" xfId="0" applyNumberFormat="1" applyFont="1" applyFill="1" applyAlignment="1">
      <alignment horizontal="left"/>
    </xf>
    <xf numFmtId="164" fontId="21" fillId="4" borderId="0" xfId="0" applyNumberFormat="1" applyFont="1" applyFill="1" applyAlignment="1">
      <alignment horizontal="left"/>
    </xf>
    <xf numFmtId="164" fontId="21" fillId="4" borderId="0" xfId="0" applyNumberFormat="1" applyFont="1" applyFill="1" applyAlignment="1">
      <alignment horizontal="center"/>
    </xf>
    <xf numFmtId="164" fontId="14" fillId="0" borderId="0" xfId="0" applyNumberFormat="1" applyFont="1" applyAlignment="1">
      <alignment horizontal="center"/>
    </xf>
    <xf numFmtId="170" fontId="14" fillId="0" borderId="0" xfId="0" applyNumberFormat="1" applyFont="1" applyAlignment="1">
      <alignment horizontal="right"/>
    </xf>
    <xf numFmtId="171" fontId="14" fillId="0" borderId="0" xfId="0" applyNumberFormat="1" applyFont="1" applyAlignment="1" applyProtection="1">
      <alignment horizontal="right"/>
      <protection locked="0"/>
    </xf>
    <xf numFmtId="172" fontId="15" fillId="4" borderId="0" xfId="0" applyNumberFormat="1" applyFont="1" applyFill="1" applyAlignment="1">
      <alignment horizontal="left"/>
    </xf>
    <xf numFmtId="164" fontId="15" fillId="0" borderId="0" xfId="0" applyNumberFormat="1" applyFont="1" applyAlignment="1">
      <alignment horizontal="center"/>
    </xf>
    <xf numFmtId="171" fontId="14" fillId="4" borderId="0" xfId="0" applyNumberFormat="1" applyFont="1" applyFill="1"/>
    <xf numFmtId="9" fontId="15" fillId="4" borderId="0" xfId="0" applyNumberFormat="1" applyFont="1" applyFill="1" applyAlignment="1">
      <alignment horizontal="center"/>
    </xf>
    <xf numFmtId="10" fontId="0" fillId="4" borderId="0" xfId="0" applyNumberFormat="1" applyFill="1" applyAlignment="1">
      <alignment horizontal="center"/>
    </xf>
    <xf numFmtId="0" fontId="22" fillId="4" borderId="0" xfId="0" applyFont="1" applyFill="1" applyAlignment="1">
      <alignment horizontal="left"/>
    </xf>
    <xf numFmtId="9" fontId="14" fillId="4" borderId="0" xfId="0" applyNumberFormat="1" applyFont="1" applyFill="1" applyAlignment="1">
      <alignment horizontal="right"/>
    </xf>
    <xf numFmtId="9" fontId="15" fillId="4" borderId="0" xfId="0" applyNumberFormat="1" applyFont="1" applyFill="1" applyAlignment="1">
      <alignment horizontal="right"/>
    </xf>
    <xf numFmtId="10" fontId="0" fillId="4" borderId="0" xfId="0" applyNumberFormat="1" applyFill="1" applyAlignment="1">
      <alignment horizontal="right"/>
    </xf>
    <xf numFmtId="0" fontId="0" fillId="4" borderId="0" xfId="0" applyFill="1" applyAlignment="1">
      <alignment horizontal="right"/>
    </xf>
    <xf numFmtId="0" fontId="0" fillId="4" borderId="0" xfId="0" applyFill="1" applyAlignment="1">
      <alignment horizontal="left" indent="1"/>
    </xf>
    <xf numFmtId="0" fontId="23" fillId="4" borderId="0" xfId="0" applyFont="1" applyFill="1" applyAlignment="1">
      <alignment horizontal="right"/>
    </xf>
    <xf numFmtId="41" fontId="15" fillId="4" borderId="0" xfId="0" applyNumberFormat="1" applyFont="1" applyFill="1"/>
    <xf numFmtId="0" fontId="11" fillId="4" borderId="0" xfId="0" applyFont="1" applyFill="1" applyAlignment="1">
      <alignment horizontal="right"/>
    </xf>
    <xf numFmtId="41" fontId="24" fillId="4" borderId="0" xfId="0" applyNumberFormat="1" applyFont="1" applyFill="1"/>
    <xf numFmtId="41" fontId="24" fillId="4" borderId="0" xfId="0" applyNumberFormat="1" applyFont="1" applyFill="1" applyAlignment="1">
      <alignment horizontal="right"/>
    </xf>
    <xf numFmtId="0" fontId="11" fillId="4" borderId="0" xfId="0" applyFont="1" applyFill="1"/>
    <xf numFmtId="41" fontId="14" fillId="4" borderId="0" xfId="0" applyNumberFormat="1" applyFont="1" applyFill="1" applyAlignment="1">
      <alignment horizontal="right"/>
    </xf>
    <xf numFmtId="41" fontId="0" fillId="4" borderId="0" xfId="0" applyNumberFormat="1" applyFill="1" applyAlignment="1">
      <alignment horizontal="right"/>
    </xf>
    <xf numFmtId="10" fontId="15" fillId="4" borderId="0" xfId="0" applyNumberFormat="1" applyFont="1" applyFill="1"/>
    <xf numFmtId="167" fontId="15" fillId="4" borderId="0" xfId="0" applyNumberFormat="1" applyFont="1" applyFill="1"/>
    <xf numFmtId="10" fontId="15" fillId="4" borderId="0" xfId="0" applyNumberFormat="1" applyFont="1" applyFill="1" applyAlignment="1">
      <alignment horizontal="right"/>
    </xf>
    <xf numFmtId="167" fontId="15" fillId="4" borderId="0" xfId="0" applyNumberFormat="1" applyFont="1" applyFill="1" applyAlignment="1">
      <alignment horizontal="right"/>
    </xf>
    <xf numFmtId="0" fontId="2" fillId="4" borderId="0" xfId="0" applyFont="1" applyFill="1" applyAlignment="1">
      <alignment horizontal="left" indent="1"/>
    </xf>
    <xf numFmtId="0" fontId="2" fillId="4" borderId="0" xfId="0" applyFont="1" applyFill="1"/>
    <xf numFmtId="6" fontId="2" fillId="4" borderId="0" xfId="0" applyNumberFormat="1" applyFont="1" applyFill="1"/>
    <xf numFmtId="0" fontId="15" fillId="5" borderId="0" xfId="0" applyFont="1" applyFill="1"/>
    <xf numFmtId="174" fontId="14" fillId="0" borderId="0" xfId="0" applyNumberFormat="1" applyFont="1" applyAlignment="1" applyProtection="1">
      <alignment horizontal="right"/>
      <protection locked="0"/>
    </xf>
    <xf numFmtId="174" fontId="0" fillId="4" borderId="0" xfId="0" applyNumberFormat="1" applyFill="1" applyAlignment="1">
      <alignment horizontal="right"/>
    </xf>
    <xf numFmtId="0" fontId="15" fillId="4" borderId="0" xfId="0" applyFont="1" applyFill="1"/>
    <xf numFmtId="3" fontId="0" fillId="4" borderId="0" xfId="0" applyNumberFormat="1" applyFill="1"/>
    <xf numFmtId="41" fontId="14" fillId="0" borderId="0" xfId="0" applyNumberFormat="1" applyFont="1" applyAlignment="1" applyProtection="1">
      <alignment horizontal="right"/>
      <protection locked="0"/>
    </xf>
    <xf numFmtId="0" fontId="14" fillId="0" borderId="0" xfId="0" applyFont="1" applyAlignment="1">
      <alignment horizontal="left" indent="1"/>
    </xf>
    <xf numFmtId="41" fontId="15" fillId="0" borderId="0" xfId="0" applyNumberFormat="1" applyFont="1" applyAlignment="1" applyProtection="1">
      <alignment horizontal="right"/>
      <protection locked="0"/>
    </xf>
    <xf numFmtId="175" fontId="0" fillId="4" borderId="0" xfId="0" applyNumberFormat="1" applyFill="1" applyAlignment="1">
      <alignment horizontal="right"/>
    </xf>
    <xf numFmtId="3" fontId="2" fillId="4" borderId="0" xfId="0" applyNumberFormat="1" applyFont="1" applyFill="1" applyAlignment="1">
      <alignment horizontal="right"/>
    </xf>
    <xf numFmtId="0" fontId="0" fillId="6" borderId="0" xfId="0" applyFill="1"/>
    <xf numFmtId="0" fontId="0" fillId="6" borderId="0" xfId="0" applyFill="1" applyAlignment="1">
      <alignment horizontal="right"/>
    </xf>
    <xf numFmtId="0" fontId="16" fillId="6" borderId="0" xfId="0" applyFont="1" applyFill="1"/>
    <xf numFmtId="164" fontId="25" fillId="0" borderId="0" xfId="0" applyNumberFormat="1" applyFont="1" applyAlignment="1">
      <alignment horizontal="center"/>
    </xf>
    <xf numFmtId="171" fontId="25" fillId="0" borderId="0" xfId="0" applyNumberFormat="1" applyFont="1" applyAlignment="1" applyProtection="1">
      <alignment horizontal="right"/>
      <protection locked="0"/>
    </xf>
    <xf numFmtId="173" fontId="0" fillId="6" borderId="0" xfId="0" applyNumberFormat="1" applyFill="1" applyAlignment="1">
      <alignment horizontal="right"/>
    </xf>
    <xf numFmtId="174" fontId="25" fillId="0" borderId="0" xfId="0" applyNumberFormat="1" applyFont="1" applyAlignment="1" applyProtection="1">
      <alignment horizontal="right"/>
      <protection locked="0"/>
    </xf>
    <xf numFmtId="174" fontId="25" fillId="4" borderId="0" xfId="0" applyNumberFormat="1" applyFont="1" applyFill="1" applyAlignment="1">
      <alignment horizontal="right"/>
    </xf>
    <xf numFmtId="41" fontId="25" fillId="0" borderId="0" xfId="0" applyNumberFormat="1" applyFont="1" applyAlignment="1" applyProtection="1">
      <alignment horizontal="right"/>
      <protection locked="0"/>
    </xf>
    <xf numFmtId="0" fontId="25" fillId="0" borderId="0" xfId="0" applyFont="1" applyAlignment="1">
      <alignment horizontal="left" indent="1"/>
    </xf>
    <xf numFmtId="41" fontId="26" fillId="4" borderId="0" xfId="0" applyNumberFormat="1" applyFont="1" applyFill="1" applyAlignment="1">
      <alignment horizontal="right"/>
    </xf>
    <xf numFmtId="4" fontId="0" fillId="4" borderId="0" xfId="0" applyNumberFormat="1" applyFill="1" applyAlignment="1">
      <alignment horizontal="left"/>
    </xf>
    <xf numFmtId="10" fontId="26" fillId="0" borderId="0" xfId="0" applyNumberFormat="1" applyFont="1" applyAlignment="1">
      <alignment horizontal="right"/>
    </xf>
    <xf numFmtId="0" fontId="19" fillId="4" borderId="0" xfId="0" applyFont="1" applyFill="1" applyAlignment="1">
      <alignment horizontal="right"/>
    </xf>
    <xf numFmtId="164" fontId="19" fillId="4" borderId="0" xfId="0" applyNumberFormat="1" applyFont="1" applyFill="1" applyAlignment="1">
      <alignment horizontal="left"/>
    </xf>
    <xf numFmtId="173" fontId="0" fillId="4" borderId="0" xfId="0" applyNumberFormat="1" applyFill="1" applyAlignment="1">
      <alignment horizontal="right"/>
    </xf>
    <xf numFmtId="176" fontId="0" fillId="4" borderId="0" xfId="0" applyNumberFormat="1" applyFill="1" applyAlignment="1">
      <alignment horizontal="left"/>
    </xf>
    <xf numFmtId="41" fontId="4" fillId="4" borderId="0" xfId="0" applyNumberFormat="1" applyFont="1" applyFill="1" applyAlignment="1">
      <alignment horizontal="right"/>
    </xf>
    <xf numFmtId="0" fontId="12" fillId="2" borderId="0" xfId="0" applyFont="1" applyFill="1"/>
    <xf numFmtId="0" fontId="4" fillId="2" borderId="0" xfId="0" applyFont="1" applyFill="1"/>
    <xf numFmtId="0" fontId="4" fillId="2" borderId="0" xfId="0" applyFont="1" applyFill="1" applyAlignment="1">
      <alignment horizontal="center"/>
    </xf>
    <xf numFmtId="0" fontId="16" fillId="3" borderId="0" xfId="0" applyFont="1" applyFill="1"/>
    <xf numFmtId="0" fontId="3" fillId="3" borderId="0" xfId="0" applyFont="1" applyFill="1" applyAlignment="1">
      <alignment horizontal="right"/>
    </xf>
    <xf numFmtId="0" fontId="19" fillId="3" borderId="0" xfId="0" applyFont="1" applyFill="1" applyAlignment="1">
      <alignment horizontal="right"/>
    </xf>
    <xf numFmtId="0" fontId="19" fillId="3" borderId="0" xfId="0" applyFont="1" applyFill="1"/>
    <xf numFmtId="0" fontId="0" fillId="3" borderId="0" xfId="0" applyFill="1" applyAlignment="1">
      <alignment horizontal="right"/>
    </xf>
    <xf numFmtId="0" fontId="0" fillId="3" borderId="0" xfId="0" applyFill="1"/>
    <xf numFmtId="0" fontId="0" fillId="3" borderId="0" xfId="0" applyFill="1" applyAlignment="1">
      <alignment horizontal="center"/>
    </xf>
    <xf numFmtId="0" fontId="3" fillId="3" borderId="0" xfId="0" applyFont="1" applyFill="1" applyAlignment="1">
      <alignment horizontal="left"/>
    </xf>
    <xf numFmtId="171" fontId="14" fillId="3" borderId="0" xfId="0" applyNumberFormat="1" applyFont="1" applyFill="1"/>
    <xf numFmtId="172" fontId="15" fillId="3" borderId="0" xfId="0" applyNumberFormat="1" applyFont="1" applyFill="1" applyAlignment="1">
      <alignment horizontal="left"/>
    </xf>
    <xf numFmtId="173" fontId="0" fillId="3" borderId="0" xfId="0" applyNumberFormat="1" applyFill="1" applyAlignment="1">
      <alignment horizontal="right"/>
    </xf>
    <xf numFmtId="164" fontId="14" fillId="0" borderId="0" xfId="0" applyNumberFormat="1" applyFont="1" applyAlignment="1">
      <alignment horizontal="right"/>
    </xf>
    <xf numFmtId="41" fontId="26" fillId="2" borderId="1" xfId="0" applyNumberFormat="1" applyFont="1" applyFill="1" applyBorder="1" applyAlignment="1">
      <alignment horizontal="right"/>
    </xf>
    <xf numFmtId="41" fontId="26" fillId="2" borderId="2" xfId="0" applyNumberFormat="1" applyFont="1" applyFill="1" applyBorder="1" applyAlignment="1">
      <alignment horizontal="right"/>
    </xf>
    <xf numFmtId="41" fontId="26" fillId="2" borderId="3" xfId="0" applyNumberFormat="1" applyFont="1" applyFill="1" applyBorder="1" applyAlignment="1">
      <alignment horizontal="right"/>
    </xf>
    <xf numFmtId="0" fontId="10" fillId="2" borderId="1" xfId="0" applyFont="1" applyFill="1" applyBorder="1"/>
    <xf numFmtId="0" fontId="28" fillId="2" borderId="2" xfId="0" applyFont="1" applyFill="1" applyBorder="1"/>
    <xf numFmtId="0" fontId="28" fillId="2" borderId="2" xfId="0" applyFont="1" applyFill="1" applyBorder="1" applyAlignment="1">
      <alignment horizontal="right"/>
    </xf>
    <xf numFmtId="0" fontId="28" fillId="2" borderId="3" xfId="0" applyFont="1" applyFill="1" applyBorder="1" applyAlignment="1">
      <alignment horizontal="right"/>
    </xf>
    <xf numFmtId="0" fontId="5" fillId="4" borderId="7" xfId="0" applyFont="1" applyFill="1" applyBorder="1" applyAlignment="1">
      <alignment horizontal="center"/>
    </xf>
    <xf numFmtId="0" fontId="9" fillId="4" borderId="0" xfId="0" applyFont="1" applyFill="1" applyAlignment="1">
      <alignment horizontal="right" vertical="center"/>
    </xf>
    <xf numFmtId="0" fontId="17" fillId="4" borderId="0" xfId="0" applyFont="1" applyFill="1" applyAlignment="1">
      <alignment horizontal="left" vertical="center"/>
    </xf>
    <xf numFmtId="168" fontId="9" fillId="4" borderId="0" xfId="0" applyNumberFormat="1" applyFont="1" applyFill="1" applyAlignment="1">
      <alignment horizontal="left" vertical="center"/>
    </xf>
    <xf numFmtId="41" fontId="7" fillId="7" borderId="0" xfId="0" applyNumberFormat="1" applyFont="1" applyFill="1" applyAlignment="1">
      <alignment horizontal="right"/>
    </xf>
    <xf numFmtId="41" fontId="7" fillId="7" borderId="8" xfId="0" applyNumberFormat="1" applyFont="1" applyFill="1" applyBorder="1" applyAlignment="1">
      <alignment horizontal="right"/>
    </xf>
    <xf numFmtId="0" fontId="5" fillId="4" borderId="0" xfId="0" applyFont="1" applyFill="1"/>
    <xf numFmtId="43" fontId="5" fillId="4" borderId="0" xfId="0" applyNumberFormat="1" applyFont="1" applyFill="1"/>
    <xf numFmtId="165" fontId="5" fillId="4" borderId="0" xfId="0" applyNumberFormat="1" applyFont="1" applyFill="1"/>
    <xf numFmtId="0" fontId="5" fillId="7" borderId="5" xfId="0" applyFont="1" applyFill="1" applyBorder="1" applyAlignment="1">
      <alignment horizontal="right"/>
    </xf>
    <xf numFmtId="0" fontId="5" fillId="7" borderId="6" xfId="0" applyFont="1" applyFill="1" applyBorder="1" applyAlignment="1">
      <alignment horizontal="right"/>
    </xf>
    <xf numFmtId="173" fontId="5" fillId="7" borderId="0" xfId="0" applyNumberFormat="1" applyFont="1" applyFill="1" applyAlignment="1">
      <alignment horizontal="right"/>
    </xf>
    <xf numFmtId="173" fontId="5" fillId="7" borderId="8" xfId="0" applyNumberFormat="1" applyFont="1" applyFill="1" applyBorder="1" applyAlignment="1">
      <alignment horizontal="right"/>
    </xf>
    <xf numFmtId="174" fontId="5" fillId="7" borderId="0" xfId="0" applyNumberFormat="1" applyFont="1" applyFill="1" applyAlignment="1">
      <alignment horizontal="right"/>
    </xf>
    <xf numFmtId="174" fontId="5" fillId="7" borderId="8" xfId="0" applyNumberFormat="1" applyFont="1" applyFill="1" applyBorder="1" applyAlignment="1">
      <alignment horizontal="right"/>
    </xf>
    <xf numFmtId="0" fontId="5" fillId="7" borderId="7" xfId="0" applyFont="1" applyFill="1" applyBorder="1" applyAlignment="1">
      <alignment horizontal="left"/>
    </xf>
    <xf numFmtId="0" fontId="8" fillId="7" borderId="7" xfId="0" applyFont="1" applyFill="1" applyBorder="1" applyAlignment="1">
      <alignment horizontal="left" indent="1"/>
    </xf>
    <xf numFmtId="0" fontId="8" fillId="7" borderId="9" xfId="0" applyFont="1" applyFill="1" applyBorder="1" applyAlignment="1">
      <alignment horizontal="left" indent="1"/>
    </xf>
    <xf numFmtId="10" fontId="8" fillId="7" borderId="0" xfId="0" applyNumberFormat="1" applyFont="1" applyFill="1" applyAlignment="1">
      <alignment horizontal="right"/>
    </xf>
    <xf numFmtId="178" fontId="7" fillId="7" borderId="0" xfId="0" applyNumberFormat="1" applyFont="1" applyFill="1" applyAlignment="1">
      <alignment horizontal="right" vertical="top" readingOrder="1"/>
    </xf>
    <xf numFmtId="178" fontId="7" fillId="7" borderId="8" xfId="0" applyNumberFormat="1" applyFont="1" applyFill="1" applyBorder="1" applyAlignment="1">
      <alignment horizontal="right" vertical="top" readingOrder="1"/>
    </xf>
    <xf numFmtId="10" fontId="8" fillId="7" borderId="0" xfId="3" applyNumberFormat="1" applyFont="1" applyFill="1" applyBorder="1" applyAlignment="1">
      <alignment horizontal="right" vertical="top" readingOrder="1"/>
    </xf>
    <xf numFmtId="10" fontId="8" fillId="7" borderId="8" xfId="3" applyNumberFormat="1" applyFont="1" applyFill="1" applyBorder="1" applyAlignment="1">
      <alignment horizontal="right" vertical="top" readingOrder="1"/>
    </xf>
    <xf numFmtId="178" fontId="8" fillId="7" borderId="0" xfId="0" applyNumberFormat="1" applyFont="1" applyFill="1" applyAlignment="1">
      <alignment horizontal="right" vertical="top" readingOrder="1"/>
    </xf>
    <xf numFmtId="178" fontId="8" fillId="7" borderId="8" xfId="0" applyNumberFormat="1" applyFont="1" applyFill="1" applyBorder="1" applyAlignment="1">
      <alignment horizontal="right" vertical="top" readingOrder="1"/>
    </xf>
    <xf numFmtId="179" fontId="8" fillId="7" borderId="0" xfId="0" applyNumberFormat="1" applyFont="1" applyFill="1" applyAlignment="1">
      <alignment horizontal="right" vertical="top" readingOrder="1"/>
    </xf>
    <xf numFmtId="179" fontId="8" fillId="7" borderId="8" xfId="0" applyNumberFormat="1" applyFont="1" applyFill="1" applyBorder="1" applyAlignment="1">
      <alignment horizontal="right" vertical="top" readingOrder="1"/>
    </xf>
    <xf numFmtId="167" fontId="8" fillId="7" borderId="0" xfId="3" applyNumberFormat="1" applyFont="1" applyFill="1" applyBorder="1" applyAlignment="1">
      <alignment horizontal="right" vertical="top" readingOrder="1"/>
    </xf>
    <xf numFmtId="167" fontId="8" fillId="7" borderId="8" xfId="3" applyNumberFormat="1" applyFont="1" applyFill="1" applyBorder="1" applyAlignment="1">
      <alignment horizontal="right" vertical="top" readingOrder="1"/>
    </xf>
    <xf numFmtId="10" fontId="8" fillId="7" borderId="8" xfId="0" applyNumberFormat="1" applyFont="1" applyFill="1" applyBorder="1" applyAlignment="1">
      <alignment horizontal="right"/>
    </xf>
    <xf numFmtId="41" fontId="8" fillId="7" borderId="0" xfId="0" applyNumberFormat="1" applyFont="1" applyFill="1" applyAlignment="1">
      <alignment horizontal="right"/>
    </xf>
    <xf numFmtId="41" fontId="8" fillId="7" borderId="8" xfId="0" applyNumberFormat="1" applyFont="1" applyFill="1" applyBorder="1" applyAlignment="1">
      <alignment horizontal="right"/>
    </xf>
    <xf numFmtId="41" fontId="8" fillId="7" borderId="10" xfId="0" applyNumberFormat="1" applyFont="1" applyFill="1" applyBorder="1" applyAlignment="1">
      <alignment horizontal="right"/>
    </xf>
    <xf numFmtId="41" fontId="8" fillId="7" borderId="11" xfId="0" applyNumberFormat="1" applyFont="1" applyFill="1" applyBorder="1" applyAlignment="1">
      <alignment horizontal="right"/>
    </xf>
    <xf numFmtId="10" fontId="8" fillId="7" borderId="0" xfId="3" applyNumberFormat="1" applyFont="1" applyFill="1" applyBorder="1" applyAlignment="1">
      <alignment horizontal="right"/>
    </xf>
    <xf numFmtId="10" fontId="8" fillId="7" borderId="8" xfId="3" applyNumberFormat="1" applyFont="1" applyFill="1" applyBorder="1" applyAlignment="1">
      <alignment horizontal="right"/>
    </xf>
    <xf numFmtId="0" fontId="5" fillId="7" borderId="7" xfId="0" applyFont="1" applyFill="1" applyBorder="1"/>
    <xf numFmtId="0" fontId="5" fillId="7" borderId="0" xfId="0" applyFont="1" applyFill="1" applyAlignment="1">
      <alignment horizontal="right"/>
    </xf>
    <xf numFmtId="0" fontId="5" fillId="7" borderId="8" xfId="0" applyFont="1" applyFill="1" applyBorder="1" applyAlignment="1">
      <alignment horizontal="right"/>
    </xf>
    <xf numFmtId="0" fontId="5" fillId="7" borderId="9" xfId="0" applyFont="1" applyFill="1" applyBorder="1"/>
    <xf numFmtId="167" fontId="5" fillId="7" borderId="0" xfId="0" applyNumberFormat="1" applyFont="1" applyFill="1" applyAlignment="1">
      <alignment horizontal="right"/>
    </xf>
    <xf numFmtId="167" fontId="5" fillId="7" borderId="8" xfId="0" applyNumberFormat="1" applyFont="1" applyFill="1" applyBorder="1" applyAlignment="1">
      <alignment horizontal="right"/>
    </xf>
    <xf numFmtId="167" fontId="8" fillId="7" borderId="10" xfId="0" applyNumberFormat="1" applyFont="1" applyFill="1" applyBorder="1" applyAlignment="1">
      <alignment horizontal="right" vertical="top" readingOrder="1"/>
    </xf>
    <xf numFmtId="167" fontId="8" fillId="7" borderId="11" xfId="0" applyNumberFormat="1" applyFont="1" applyFill="1" applyBorder="1" applyAlignment="1">
      <alignment horizontal="right" vertical="top" readingOrder="1"/>
    </xf>
    <xf numFmtId="0" fontId="5" fillId="7" borderId="4" xfId="0" applyFont="1" applyFill="1" applyBorder="1"/>
    <xf numFmtId="0" fontId="8" fillId="7" borderId="7" xfId="0" applyFont="1" applyFill="1" applyBorder="1" applyAlignment="1">
      <alignment horizontal="left" indent="2"/>
    </xf>
    <xf numFmtId="0" fontId="5" fillId="7" borderId="0" xfId="0" applyFont="1" applyFill="1"/>
    <xf numFmtId="0" fontId="10" fillId="7" borderId="7" xfId="0" applyFont="1" applyFill="1" applyBorder="1" applyAlignment="1">
      <alignment horizontal="left" indent="1"/>
    </xf>
    <xf numFmtId="0" fontId="8" fillId="7" borderId="7" xfId="0" applyFont="1" applyFill="1" applyBorder="1" applyAlignment="1">
      <alignment horizontal="right"/>
    </xf>
    <xf numFmtId="0" fontId="5" fillId="7" borderId="8" xfId="0" applyFont="1" applyFill="1" applyBorder="1"/>
    <xf numFmtId="0" fontId="6" fillId="4" borderId="0" xfId="0" applyFont="1" applyFill="1"/>
    <xf numFmtId="0" fontId="5" fillId="3" borderId="2" xfId="0" applyFont="1" applyFill="1" applyBorder="1" applyAlignment="1">
      <alignment horizontal="right"/>
    </xf>
    <xf numFmtId="0" fontId="5" fillId="3" borderId="3" xfId="0" applyFont="1" applyFill="1" applyBorder="1" applyAlignment="1">
      <alignment horizontal="right"/>
    </xf>
    <xf numFmtId="0" fontId="10" fillId="3" borderId="1" xfId="0" applyFont="1" applyFill="1" applyBorder="1"/>
    <xf numFmtId="178" fontId="8" fillId="7" borderId="10" xfId="0" applyNumberFormat="1" applyFont="1" applyFill="1" applyBorder="1" applyAlignment="1">
      <alignment horizontal="right" vertical="top" readingOrder="1"/>
    </xf>
    <xf numFmtId="178" fontId="8" fillId="7" borderId="11" xfId="0" applyNumberFormat="1" applyFont="1" applyFill="1" applyBorder="1" applyAlignment="1">
      <alignment horizontal="right" vertical="top" readingOrder="1"/>
    </xf>
    <xf numFmtId="0" fontId="5" fillId="7" borderId="4" xfId="0" applyFont="1" applyFill="1" applyBorder="1" applyAlignment="1">
      <alignment horizontal="center"/>
    </xf>
    <xf numFmtId="0" fontId="5" fillId="7" borderId="5" xfId="0" applyFont="1" applyFill="1" applyBorder="1" applyAlignment="1">
      <alignment horizontal="center"/>
    </xf>
    <xf numFmtId="0" fontId="5" fillId="7" borderId="6" xfId="0" applyFont="1" applyFill="1" applyBorder="1" applyAlignment="1">
      <alignment horizontal="center"/>
    </xf>
    <xf numFmtId="0" fontId="10" fillId="2" borderId="1" xfId="0" applyFont="1" applyFill="1" applyBorder="1" applyAlignment="1">
      <alignment horizontal="left" indent="1"/>
    </xf>
    <xf numFmtId="41" fontId="10" fillId="2" borderId="2" xfId="0" applyNumberFormat="1" applyFont="1" applyFill="1" applyBorder="1" applyAlignment="1">
      <alignment horizontal="right"/>
    </xf>
    <xf numFmtId="41" fontId="10" fillId="2" borderId="3" xfId="0" applyNumberFormat="1" applyFont="1" applyFill="1" applyBorder="1" applyAlignment="1">
      <alignment horizontal="right"/>
    </xf>
    <xf numFmtId="0" fontId="10" fillId="3" borderId="1" xfId="0" applyFont="1" applyFill="1" applyBorder="1" applyAlignment="1">
      <alignment horizontal="left" indent="1"/>
    </xf>
    <xf numFmtId="10" fontId="8" fillId="3" borderId="2" xfId="0" applyNumberFormat="1" applyFont="1" applyFill="1" applyBorder="1" applyAlignment="1">
      <alignment horizontal="right"/>
    </xf>
    <xf numFmtId="10" fontId="8" fillId="3" borderId="3" xfId="0" applyNumberFormat="1" applyFont="1" applyFill="1" applyBorder="1" applyAlignment="1">
      <alignment horizontal="right"/>
    </xf>
    <xf numFmtId="0" fontId="6" fillId="3" borderId="4" xfId="0" applyFont="1" applyFill="1" applyBorder="1"/>
    <xf numFmtId="0" fontId="6" fillId="3" borderId="3" xfId="0" applyFont="1" applyFill="1" applyBorder="1" applyAlignment="1">
      <alignment horizontal="center"/>
    </xf>
    <xf numFmtId="178" fontId="5" fillId="7" borderId="0" xfId="0" applyNumberFormat="1" applyFont="1" applyFill="1" applyAlignment="1">
      <alignment horizontal="right" vertical="top" readingOrder="1"/>
    </xf>
    <xf numFmtId="178" fontId="5" fillId="7" borderId="8" xfId="0" applyNumberFormat="1" applyFont="1" applyFill="1" applyBorder="1" applyAlignment="1">
      <alignment horizontal="right" vertical="top" readingOrder="1"/>
    </xf>
    <xf numFmtId="178" fontId="5" fillId="7" borderId="0" xfId="0" applyNumberFormat="1" applyFont="1" applyFill="1" applyAlignment="1">
      <alignment horizontal="right"/>
    </xf>
    <xf numFmtId="164" fontId="19" fillId="3" borderId="0" xfId="0" applyNumberFormat="1" applyFont="1" applyFill="1" applyAlignment="1">
      <alignment horizontal="left"/>
    </xf>
    <xf numFmtId="0" fontId="6" fillId="3" borderId="1" xfId="0" applyFont="1" applyFill="1" applyBorder="1" applyAlignment="1">
      <alignment horizontal="left"/>
    </xf>
    <xf numFmtId="0" fontId="6" fillId="3" borderId="2" xfId="0" applyFont="1" applyFill="1" applyBorder="1" applyAlignment="1">
      <alignment horizontal="left"/>
    </xf>
    <xf numFmtId="0" fontId="6" fillId="3" borderId="3" xfId="0" applyFont="1" applyFill="1" applyBorder="1" applyAlignment="1">
      <alignment horizontal="left"/>
    </xf>
    <xf numFmtId="0" fontId="6" fillId="7" borderId="4" xfId="0" applyFont="1" applyFill="1" applyBorder="1" applyAlignment="1">
      <alignment horizontal="left"/>
    </xf>
    <xf numFmtId="0" fontId="6" fillId="7" borderId="5" xfId="0" applyFont="1" applyFill="1" applyBorder="1" applyAlignment="1">
      <alignment horizontal="left"/>
    </xf>
    <xf numFmtId="0" fontId="6" fillId="7" borderId="6" xfId="0" applyFont="1" applyFill="1" applyBorder="1" applyAlignment="1">
      <alignment horizontal="left"/>
    </xf>
    <xf numFmtId="0" fontId="5" fillId="7" borderId="7" xfId="0" applyFont="1" applyFill="1" applyBorder="1" applyAlignment="1">
      <alignment horizontal="center"/>
    </xf>
    <xf numFmtId="166" fontId="5" fillId="7" borderId="0" xfId="2" applyNumberFormat="1" applyFont="1" applyFill="1" applyBorder="1" applyAlignment="1">
      <alignment horizontal="right"/>
    </xf>
    <xf numFmtId="165" fontId="10" fillId="7" borderId="0" xfId="1" applyNumberFormat="1" applyFont="1" applyFill="1" applyBorder="1" applyAlignment="1">
      <alignment horizontal="right"/>
    </xf>
    <xf numFmtId="165" fontId="10" fillId="7" borderId="8" xfId="1" applyNumberFormat="1" applyFont="1" applyFill="1" applyBorder="1" applyAlignment="1">
      <alignment horizontal="right"/>
    </xf>
    <xf numFmtId="0" fontId="5" fillId="7" borderId="7" xfId="0" applyFont="1" applyFill="1" applyBorder="1" applyAlignment="1">
      <alignment horizontal="left" indent="1"/>
    </xf>
    <xf numFmtId="165" fontId="8" fillId="7" borderId="0" xfId="1" applyNumberFormat="1" applyFont="1" applyFill="1" applyBorder="1" applyAlignment="1">
      <alignment horizontal="right"/>
    </xf>
    <xf numFmtId="165" fontId="8" fillId="7" borderId="8" xfId="1" applyNumberFormat="1" applyFont="1" applyFill="1" applyBorder="1" applyAlignment="1">
      <alignment horizontal="right"/>
    </xf>
    <xf numFmtId="166" fontId="5" fillId="7" borderId="0" xfId="2" applyNumberFormat="1" applyFont="1" applyFill="1" applyBorder="1"/>
    <xf numFmtId="165" fontId="5" fillId="7" borderId="0" xfId="1" applyNumberFormat="1" applyFont="1" applyFill="1" applyBorder="1"/>
    <xf numFmtId="165" fontId="5" fillId="7" borderId="8" xfId="1" applyNumberFormat="1" applyFont="1" applyFill="1" applyBorder="1"/>
    <xf numFmtId="165" fontId="6" fillId="7" borderId="0" xfId="1" applyNumberFormat="1" applyFont="1" applyFill="1" applyBorder="1"/>
    <xf numFmtId="165" fontId="6" fillId="7" borderId="8" xfId="1" applyNumberFormat="1" applyFont="1" applyFill="1" applyBorder="1"/>
    <xf numFmtId="165" fontId="8" fillId="7" borderId="0" xfId="1" applyNumberFormat="1" applyFont="1" applyFill="1" applyBorder="1"/>
    <xf numFmtId="165" fontId="10" fillId="7" borderId="0" xfId="1" applyNumberFormat="1" applyFont="1" applyFill="1" applyBorder="1"/>
    <xf numFmtId="167" fontId="5" fillId="7" borderId="10" xfId="0" applyNumberFormat="1" applyFont="1" applyFill="1" applyBorder="1"/>
    <xf numFmtId="167" fontId="5" fillId="7" borderId="11" xfId="0" applyNumberFormat="1" applyFont="1" applyFill="1" applyBorder="1"/>
    <xf numFmtId="14" fontId="5" fillId="7" borderId="0" xfId="0" applyNumberFormat="1" applyFont="1" applyFill="1" applyAlignment="1">
      <alignment horizontal="right"/>
    </xf>
    <xf numFmtId="0" fontId="6" fillId="7" borderId="0" xfId="0" applyFont="1" applyFill="1" applyAlignment="1">
      <alignment horizontal="left"/>
    </xf>
    <xf numFmtId="167" fontId="5" fillId="7" borderId="0" xfId="0" applyNumberFormat="1" applyFont="1" applyFill="1"/>
    <xf numFmtId="0" fontId="6" fillId="7" borderId="7" xfId="0" applyFont="1" applyFill="1" applyBorder="1" applyAlignment="1">
      <alignment horizontal="left"/>
    </xf>
    <xf numFmtId="0" fontId="6" fillId="7" borderId="7" xfId="0" applyFont="1" applyFill="1" applyBorder="1" applyAlignment="1">
      <alignment horizontal="left" indent="1"/>
    </xf>
    <xf numFmtId="0" fontId="5" fillId="7" borderId="7" xfId="0" applyFont="1" applyFill="1" applyBorder="1" applyAlignment="1">
      <alignment horizontal="left" indent="2"/>
    </xf>
    <xf numFmtId="167" fontId="8" fillId="7" borderId="0" xfId="1" applyNumberFormat="1" applyFont="1" applyFill="1" applyBorder="1" applyAlignment="1">
      <alignment horizontal="right"/>
    </xf>
    <xf numFmtId="167" fontId="8" fillId="7" borderId="8" xfId="1" applyNumberFormat="1" applyFont="1" applyFill="1" applyBorder="1" applyAlignment="1">
      <alignment horizontal="right"/>
    </xf>
    <xf numFmtId="165" fontId="6" fillId="7" borderId="0" xfId="0" applyNumberFormat="1" applyFont="1" applyFill="1"/>
    <xf numFmtId="165" fontId="6" fillId="7" borderId="8" xfId="0" applyNumberFormat="1" applyFont="1" applyFill="1" applyBorder="1"/>
    <xf numFmtId="166" fontId="5" fillId="7" borderId="10" xfId="2" applyNumberFormat="1" applyFont="1" applyFill="1" applyBorder="1"/>
    <xf numFmtId="167" fontId="8" fillId="7" borderId="10" xfId="1" applyNumberFormat="1" applyFont="1" applyFill="1" applyBorder="1" applyAlignment="1">
      <alignment horizontal="right"/>
    </xf>
    <xf numFmtId="167" fontId="8" fillId="7" borderId="11" xfId="1" applyNumberFormat="1" applyFont="1" applyFill="1" applyBorder="1" applyAlignment="1">
      <alignment horizontal="right"/>
    </xf>
    <xf numFmtId="0" fontId="6" fillId="7" borderId="8" xfId="0" applyFont="1" applyFill="1" applyBorder="1" applyAlignment="1">
      <alignment horizontal="left"/>
    </xf>
    <xf numFmtId="165" fontId="5" fillId="7" borderId="10" xfId="1" applyNumberFormat="1" applyFont="1" applyFill="1" applyBorder="1"/>
    <xf numFmtId="0" fontId="6" fillId="7" borderId="1" xfId="0" applyFont="1" applyFill="1" applyBorder="1"/>
    <xf numFmtId="165" fontId="6" fillId="7" borderId="2" xfId="1" applyNumberFormat="1" applyFont="1" applyFill="1" applyBorder="1"/>
    <xf numFmtId="0" fontId="5" fillId="7" borderId="11" xfId="0" applyFont="1" applyFill="1" applyBorder="1"/>
    <xf numFmtId="165" fontId="5" fillId="7" borderId="5" xfId="0" applyNumberFormat="1" applyFont="1" applyFill="1" applyBorder="1"/>
    <xf numFmtId="165" fontId="5" fillId="7" borderId="0" xfId="0" applyNumberFormat="1" applyFont="1" applyFill="1"/>
    <xf numFmtId="10" fontId="5" fillId="7" borderId="0" xfId="3" applyNumberFormat="1" applyFont="1" applyFill="1" applyBorder="1"/>
    <xf numFmtId="165" fontId="8" fillId="7" borderId="6" xfId="1" applyNumberFormat="1" applyFont="1" applyFill="1" applyBorder="1"/>
    <xf numFmtId="177" fontId="8" fillId="7" borderId="8" xfId="1" applyNumberFormat="1" applyFont="1" applyFill="1" applyBorder="1"/>
    <xf numFmtId="10" fontId="5" fillId="7" borderId="0" xfId="0" applyNumberFormat="1" applyFont="1" applyFill="1"/>
    <xf numFmtId="0" fontId="6" fillId="3" borderId="2" xfId="0" applyFont="1" applyFill="1" applyBorder="1" applyAlignment="1">
      <alignment horizontal="center"/>
    </xf>
    <xf numFmtId="165" fontId="5" fillId="7" borderId="5" xfId="1" applyNumberFormat="1" applyFont="1" applyFill="1" applyBorder="1"/>
    <xf numFmtId="43" fontId="5" fillId="7" borderId="6" xfId="0" applyNumberFormat="1" applyFont="1" applyFill="1" applyBorder="1"/>
    <xf numFmtId="43" fontId="5" fillId="7" borderId="8" xfId="0" applyNumberFormat="1" applyFont="1" applyFill="1" applyBorder="1"/>
    <xf numFmtId="10" fontId="5" fillId="7" borderId="10" xfId="0" applyNumberFormat="1" applyFont="1" applyFill="1" applyBorder="1"/>
    <xf numFmtId="0" fontId="5" fillId="7" borderId="10" xfId="0" applyFont="1" applyFill="1" applyBorder="1"/>
    <xf numFmtId="10" fontId="8" fillId="7" borderId="0" xfId="3" applyNumberFormat="1" applyFont="1" applyFill="1" applyBorder="1"/>
    <xf numFmtId="10" fontId="8" fillId="7" borderId="5" xfId="3" applyNumberFormat="1" applyFont="1" applyFill="1" applyBorder="1"/>
    <xf numFmtId="10" fontId="5" fillId="7" borderId="5" xfId="3" applyNumberFormat="1" applyFont="1" applyFill="1" applyBorder="1"/>
    <xf numFmtId="10" fontId="5" fillId="7" borderId="6" xfId="3" applyNumberFormat="1" applyFont="1" applyFill="1" applyBorder="1"/>
    <xf numFmtId="10" fontId="5" fillId="7" borderId="8" xfId="3" applyNumberFormat="1" applyFont="1" applyFill="1" applyBorder="1"/>
    <xf numFmtId="165" fontId="10" fillId="7" borderId="2" xfId="1" applyNumberFormat="1" applyFont="1" applyFill="1" applyBorder="1"/>
    <xf numFmtId="164" fontId="10" fillId="7" borderId="2" xfId="3" applyNumberFormat="1" applyFont="1" applyFill="1" applyBorder="1"/>
    <xf numFmtId="10" fontId="6" fillId="7" borderId="2" xfId="3" applyNumberFormat="1" applyFont="1" applyFill="1" applyBorder="1"/>
    <xf numFmtId="10" fontId="6" fillId="7" borderId="3" xfId="3" applyNumberFormat="1" applyFont="1" applyFill="1" applyBorder="1"/>
    <xf numFmtId="165" fontId="5" fillId="7" borderId="6" xfId="1" applyNumberFormat="1" applyFont="1" applyFill="1" applyBorder="1"/>
    <xf numFmtId="0" fontId="6" fillId="2" borderId="3" xfId="0" applyFont="1" applyFill="1" applyBorder="1"/>
    <xf numFmtId="0" fontId="5" fillId="3" borderId="3" xfId="0" applyFont="1" applyFill="1" applyBorder="1"/>
    <xf numFmtId="164" fontId="7" fillId="7" borderId="8" xfId="3" applyNumberFormat="1" applyFont="1" applyFill="1" applyBorder="1"/>
    <xf numFmtId="165" fontId="8" fillId="7" borderId="8" xfId="1" applyNumberFormat="1" applyFont="1" applyFill="1" applyBorder="1"/>
    <xf numFmtId="165" fontId="8" fillId="7" borderId="5" xfId="1" applyNumberFormat="1" applyFont="1" applyFill="1" applyBorder="1"/>
    <xf numFmtId="165" fontId="5" fillId="7" borderId="8" xfId="0" applyNumberFormat="1" applyFont="1" applyFill="1" applyBorder="1"/>
    <xf numFmtId="10" fontId="5" fillId="7" borderId="5" xfId="0" applyNumberFormat="1" applyFont="1" applyFill="1" applyBorder="1"/>
    <xf numFmtId="165" fontId="6" fillId="7" borderId="3" xfId="0" applyNumberFormat="1" applyFont="1" applyFill="1" applyBorder="1"/>
    <xf numFmtId="165" fontId="5" fillId="7" borderId="10" xfId="0" applyNumberFormat="1" applyFont="1" applyFill="1" applyBorder="1"/>
    <xf numFmtId="165" fontId="6" fillId="7" borderId="2" xfId="0" applyNumberFormat="1" applyFont="1" applyFill="1" applyBorder="1"/>
    <xf numFmtId="0" fontId="5" fillId="7" borderId="9" xfId="0" applyFont="1" applyFill="1" applyBorder="1" applyAlignment="1">
      <alignment horizontal="left" indent="1"/>
    </xf>
    <xf numFmtId="0" fontId="6" fillId="3" borderId="6" xfId="0" applyFont="1" applyFill="1" applyBorder="1"/>
    <xf numFmtId="0" fontId="5" fillId="4" borderId="0" xfId="0" applyFont="1" applyFill="1" applyAlignment="1">
      <alignment vertical="center"/>
    </xf>
    <xf numFmtId="0" fontId="27" fillId="4" borderId="0" xfId="0" applyFont="1" applyFill="1" applyAlignment="1">
      <alignment vertical="center"/>
    </xf>
    <xf numFmtId="0" fontId="27" fillId="4" borderId="0" xfId="0" applyFont="1" applyFill="1" applyAlignment="1">
      <alignment horizontal="left" vertical="center" indent="2"/>
    </xf>
    <xf numFmtId="0" fontId="27" fillId="4" borderId="0" xfId="0" applyFont="1" applyFill="1"/>
    <xf numFmtId="0" fontId="8" fillId="4" borderId="7" xfId="0" applyFont="1" applyFill="1" applyBorder="1" applyAlignment="1">
      <alignment horizontal="left" indent="1"/>
    </xf>
    <xf numFmtId="0" fontId="8" fillId="7" borderId="0" xfId="0" applyFont="1" applyFill="1" applyAlignment="1">
      <alignment horizontal="left" indent="1"/>
    </xf>
    <xf numFmtId="0" fontId="10" fillId="2" borderId="2" xfId="0" applyFont="1" applyFill="1" applyBorder="1"/>
    <xf numFmtId="0" fontId="10" fillId="3" borderId="2" xfId="0" applyFont="1" applyFill="1" applyBorder="1"/>
    <xf numFmtId="0" fontId="8" fillId="7" borderId="0" xfId="0" applyFont="1" applyFill="1" applyAlignment="1">
      <alignment horizontal="left" indent="2"/>
    </xf>
    <xf numFmtId="0" fontId="5" fillId="7" borderId="0" xfId="0" applyFont="1" applyFill="1" applyAlignment="1">
      <alignment horizontal="left" indent="2"/>
    </xf>
    <xf numFmtId="0" fontId="8" fillId="7" borderId="10" xfId="0" applyFont="1" applyFill="1" applyBorder="1" applyAlignment="1">
      <alignment horizontal="left" indent="1"/>
    </xf>
    <xf numFmtId="165" fontId="8" fillId="7" borderId="0" xfId="1" applyNumberFormat="1" applyFont="1" applyFill="1" applyBorder="1" applyAlignment="1">
      <alignment horizontal="right" vertical="top" readingOrder="1"/>
    </xf>
    <xf numFmtId="0" fontId="10" fillId="3" borderId="4" xfId="0" applyFont="1" applyFill="1" applyBorder="1"/>
    <xf numFmtId="0" fontId="10" fillId="3" borderId="5" xfId="0" applyFont="1" applyFill="1" applyBorder="1"/>
    <xf numFmtId="0" fontId="5" fillId="3" borderId="5" xfId="0" applyFont="1" applyFill="1" applyBorder="1" applyAlignment="1">
      <alignment horizontal="right"/>
    </xf>
    <xf numFmtId="0" fontId="5" fillId="3" borderId="6" xfId="0" applyFont="1" applyFill="1" applyBorder="1" applyAlignment="1">
      <alignment horizontal="right"/>
    </xf>
    <xf numFmtId="0" fontId="5" fillId="2" borderId="3" xfId="0" applyFont="1" applyFill="1" applyBorder="1"/>
    <xf numFmtId="0" fontId="7" fillId="3" borderId="3" xfId="0" applyFont="1" applyFill="1" applyBorder="1"/>
    <xf numFmtId="0" fontId="6" fillId="3" borderId="3" xfId="0" applyFont="1" applyFill="1" applyBorder="1"/>
    <xf numFmtId="165" fontId="5" fillId="4" borderId="8" xfId="1" applyNumberFormat="1" applyFont="1" applyFill="1" applyBorder="1"/>
    <xf numFmtId="0" fontId="6" fillId="7" borderId="7" xfId="0" applyFont="1" applyFill="1" applyBorder="1"/>
    <xf numFmtId="3" fontId="6" fillId="7" borderId="8" xfId="0" applyNumberFormat="1" applyFont="1" applyFill="1" applyBorder="1"/>
    <xf numFmtId="165" fontId="10" fillId="7" borderId="8" xfId="0" applyNumberFormat="1" applyFont="1" applyFill="1" applyBorder="1"/>
    <xf numFmtId="165" fontId="5" fillId="4" borderId="0" xfId="1" applyNumberFormat="1" applyFont="1" applyFill="1" applyBorder="1"/>
    <xf numFmtId="165" fontId="5" fillId="4" borderId="10" xfId="1" applyNumberFormat="1" applyFont="1" applyFill="1" applyBorder="1"/>
    <xf numFmtId="165" fontId="5" fillId="4" borderId="11" xfId="1" applyNumberFormat="1" applyFont="1" applyFill="1" applyBorder="1"/>
    <xf numFmtId="0" fontId="6" fillId="2" borderId="2" xfId="0" applyFont="1" applyFill="1" applyBorder="1"/>
    <xf numFmtId="10" fontId="8" fillId="7" borderId="0" xfId="1" applyNumberFormat="1" applyFont="1" applyFill="1" applyBorder="1" applyAlignment="1">
      <alignment horizontal="right"/>
    </xf>
    <xf numFmtId="10" fontId="5" fillId="4" borderId="0" xfId="0" applyNumberFormat="1" applyFont="1" applyFill="1"/>
    <xf numFmtId="0" fontId="5" fillId="7" borderId="5" xfId="0" applyFont="1" applyFill="1" applyBorder="1"/>
    <xf numFmtId="0" fontId="5" fillId="7" borderId="6" xfId="0" applyFont="1" applyFill="1" applyBorder="1"/>
    <xf numFmtId="173" fontId="5" fillId="7" borderId="5" xfId="0" applyNumberFormat="1" applyFont="1" applyFill="1" applyBorder="1" applyAlignment="1">
      <alignment horizontal="right"/>
    </xf>
    <xf numFmtId="173" fontId="5" fillId="7" borderId="6" xfId="0" applyNumberFormat="1" applyFont="1" applyFill="1" applyBorder="1" applyAlignment="1">
      <alignment horizontal="right"/>
    </xf>
    <xf numFmtId="173" fontId="6" fillId="3" borderId="2" xfId="0" applyNumberFormat="1" applyFont="1" applyFill="1" applyBorder="1" applyAlignment="1">
      <alignment horizontal="center"/>
    </xf>
    <xf numFmtId="173" fontId="6" fillId="3" borderId="3" xfId="0" applyNumberFormat="1" applyFont="1" applyFill="1" applyBorder="1" applyAlignment="1">
      <alignment horizontal="center"/>
    </xf>
    <xf numFmtId="10" fontId="5" fillId="7" borderId="7" xfId="3" applyNumberFormat="1" applyFont="1" applyFill="1" applyBorder="1"/>
    <xf numFmtId="10" fontId="5" fillId="7" borderId="9" xfId="3" applyNumberFormat="1" applyFont="1" applyFill="1" applyBorder="1"/>
    <xf numFmtId="10" fontId="5" fillId="7" borderId="4" xfId="3" applyNumberFormat="1" applyFont="1" applyFill="1" applyBorder="1"/>
    <xf numFmtId="10" fontId="5" fillId="4" borderId="5" xfId="0" applyNumberFormat="1" applyFont="1" applyFill="1" applyBorder="1"/>
    <xf numFmtId="10" fontId="5" fillId="4" borderId="6" xfId="0" applyNumberFormat="1" applyFont="1" applyFill="1" applyBorder="1"/>
    <xf numFmtId="10" fontId="5" fillId="4" borderId="8" xfId="0" applyNumberFormat="1" applyFont="1" applyFill="1" applyBorder="1"/>
    <xf numFmtId="10" fontId="5" fillId="4" borderId="10" xfId="0" applyNumberFormat="1" applyFont="1" applyFill="1" applyBorder="1"/>
    <xf numFmtId="10" fontId="5" fillId="4" borderId="11" xfId="0" applyNumberFormat="1" applyFont="1" applyFill="1" applyBorder="1"/>
    <xf numFmtId="165" fontId="8" fillId="7" borderId="8" xfId="1" applyNumberFormat="1" applyFont="1" applyFill="1" applyBorder="1" applyAlignment="1">
      <alignment horizontal="right" vertical="top" readingOrder="1"/>
    </xf>
    <xf numFmtId="167" fontId="5" fillId="7" borderId="5" xfId="0" applyNumberFormat="1" applyFont="1" applyFill="1" applyBorder="1"/>
    <xf numFmtId="167" fontId="6" fillId="7" borderId="2" xfId="1" applyNumberFormat="1" applyFont="1" applyFill="1" applyBorder="1"/>
    <xf numFmtId="10" fontId="5" fillId="7" borderId="6" xfId="0" applyNumberFormat="1" applyFont="1" applyFill="1" applyBorder="1"/>
    <xf numFmtId="10" fontId="6" fillId="7" borderId="3" xfId="0" applyNumberFormat="1" applyFont="1" applyFill="1" applyBorder="1"/>
    <xf numFmtId="0" fontId="6" fillId="3" borderId="2" xfId="0" applyFont="1" applyFill="1" applyBorder="1"/>
    <xf numFmtId="165" fontId="10" fillId="7" borderId="0" xfId="1" applyNumberFormat="1" applyFont="1" applyFill="1" applyBorder="1" applyAlignment="1">
      <alignment horizontal="left" indent="1"/>
    </xf>
    <xf numFmtId="178" fontId="10" fillId="7" borderId="0" xfId="0" applyNumberFormat="1" applyFont="1" applyFill="1" applyAlignment="1">
      <alignment horizontal="right" vertical="top" readingOrder="1"/>
    </xf>
    <xf numFmtId="165" fontId="5" fillId="7" borderId="8" xfId="0" applyNumberFormat="1" applyFont="1" applyFill="1" applyBorder="1" applyAlignment="1">
      <alignment horizontal="right"/>
    </xf>
    <xf numFmtId="10" fontId="5" fillId="4" borderId="0" xfId="3" applyNumberFormat="1" applyFont="1" applyFill="1"/>
    <xf numFmtId="0" fontId="5" fillId="4" borderId="10" xfId="0" applyFont="1" applyFill="1" applyBorder="1"/>
    <xf numFmtId="165" fontId="5" fillId="7" borderId="0" xfId="0" applyNumberFormat="1" applyFont="1" applyFill="1" applyAlignment="1">
      <alignment horizontal="right"/>
    </xf>
    <xf numFmtId="165" fontId="5" fillId="7" borderId="0" xfId="1" applyNumberFormat="1" applyFont="1" applyFill="1" applyBorder="1" applyAlignment="1">
      <alignment horizontal="right"/>
    </xf>
    <xf numFmtId="165" fontId="5" fillId="7" borderId="8" xfId="1" applyNumberFormat="1" applyFont="1" applyFill="1" applyBorder="1" applyAlignment="1">
      <alignment horizontal="right"/>
    </xf>
    <xf numFmtId="165" fontId="6" fillId="7" borderId="0" xfId="1" applyNumberFormat="1" applyFont="1" applyFill="1" applyBorder="1" applyAlignment="1">
      <alignment horizontal="right"/>
    </xf>
    <xf numFmtId="178" fontId="10" fillId="7" borderId="8" xfId="0" applyNumberFormat="1" applyFont="1" applyFill="1" applyBorder="1" applyAlignment="1">
      <alignment horizontal="right" vertical="top" readingOrder="1"/>
    </xf>
    <xf numFmtId="165" fontId="6" fillId="7" borderId="8" xfId="1" applyNumberFormat="1" applyFont="1" applyFill="1" applyBorder="1" applyAlignment="1">
      <alignment horizontal="right"/>
    </xf>
    <xf numFmtId="178" fontId="5" fillId="7" borderId="8" xfId="0" applyNumberFormat="1" applyFont="1" applyFill="1" applyBorder="1" applyAlignment="1">
      <alignment horizontal="right"/>
    </xf>
    <xf numFmtId="178" fontId="6" fillId="7" borderId="0" xfId="0" applyNumberFormat="1" applyFont="1" applyFill="1" applyAlignment="1">
      <alignment horizontal="right"/>
    </xf>
    <xf numFmtId="178" fontId="6" fillId="7" borderId="8" xfId="0" applyNumberFormat="1" applyFont="1" applyFill="1" applyBorder="1" applyAlignment="1">
      <alignment horizontal="right"/>
    </xf>
    <xf numFmtId="10" fontId="5" fillId="7" borderId="0" xfId="3" applyNumberFormat="1" applyFont="1" applyFill="1" applyBorder="1" applyAlignment="1">
      <alignment horizontal="right"/>
    </xf>
    <xf numFmtId="10" fontId="5" fillId="7" borderId="8" xfId="3" applyNumberFormat="1" applyFont="1" applyFill="1" applyBorder="1" applyAlignment="1">
      <alignment horizontal="right"/>
    </xf>
    <xf numFmtId="10" fontId="5" fillId="7" borderId="0" xfId="0" applyNumberFormat="1" applyFont="1" applyFill="1" applyAlignment="1">
      <alignment horizontal="right"/>
    </xf>
    <xf numFmtId="10" fontId="5" fillId="7" borderId="8" xfId="0" applyNumberFormat="1" applyFont="1" applyFill="1" applyBorder="1" applyAlignment="1">
      <alignment horizontal="right"/>
    </xf>
    <xf numFmtId="10" fontId="5" fillId="7" borderId="8" xfId="0" applyNumberFormat="1" applyFont="1" applyFill="1" applyBorder="1"/>
    <xf numFmtId="0" fontId="8" fillId="8" borderId="7" xfId="0" applyFont="1" applyFill="1" applyBorder="1" applyAlignment="1">
      <alignment horizontal="left" indent="1"/>
    </xf>
    <xf numFmtId="180" fontId="5" fillId="4" borderId="0" xfId="0" applyNumberFormat="1" applyFont="1" applyFill="1"/>
    <xf numFmtId="183" fontId="5" fillId="4" borderId="0" xfId="0" applyNumberFormat="1" applyFont="1" applyFill="1"/>
    <xf numFmtId="182" fontId="5" fillId="4" borderId="0" xfId="0" applyNumberFormat="1" applyFont="1" applyFill="1"/>
    <xf numFmtId="181" fontId="5" fillId="4" borderId="0" xfId="0" applyNumberFormat="1" applyFont="1" applyFill="1"/>
    <xf numFmtId="184" fontId="8" fillId="7" borderId="0" xfId="1" applyNumberFormat="1" applyFont="1" applyFill="1" applyBorder="1" applyAlignment="1">
      <alignment horizontal="left" vertical="top" indent="1" readingOrder="1"/>
    </xf>
    <xf numFmtId="165" fontId="5" fillId="4" borderId="5" xfId="1" applyNumberFormat="1" applyFont="1" applyFill="1" applyBorder="1"/>
    <xf numFmtId="165" fontId="5" fillId="4" borderId="6" xfId="1" applyNumberFormat="1" applyFont="1" applyFill="1" applyBorder="1"/>
    <xf numFmtId="173" fontId="6" fillId="3" borderId="5" xfId="0" applyNumberFormat="1" applyFont="1" applyFill="1" applyBorder="1" applyAlignment="1">
      <alignment horizontal="center"/>
    </xf>
    <xf numFmtId="173" fontId="6" fillId="3" borderId="6" xfId="0" applyNumberFormat="1" applyFont="1" applyFill="1" applyBorder="1" applyAlignment="1">
      <alignment horizontal="center"/>
    </xf>
    <xf numFmtId="0" fontId="6" fillId="3" borderId="4" xfId="0" applyFont="1" applyFill="1" applyBorder="1" applyAlignment="1">
      <alignment horizontal="center"/>
    </xf>
    <xf numFmtId="10" fontId="5" fillId="4" borderId="5" xfId="3" applyNumberFormat="1" applyFont="1" applyFill="1" applyBorder="1"/>
    <xf numFmtId="10" fontId="5" fillId="4" borderId="6" xfId="3" applyNumberFormat="1" applyFont="1" applyFill="1" applyBorder="1"/>
    <xf numFmtId="10" fontId="5" fillId="4" borderId="0" xfId="3" applyNumberFormat="1" applyFont="1" applyFill="1" applyBorder="1"/>
    <xf numFmtId="10" fontId="5" fillId="4" borderId="8" xfId="3" applyNumberFormat="1" applyFont="1" applyFill="1" applyBorder="1"/>
    <xf numFmtId="10" fontId="5" fillId="4" borderId="10" xfId="3" applyNumberFormat="1" applyFont="1" applyFill="1" applyBorder="1"/>
    <xf numFmtId="10" fontId="5" fillId="4" borderId="11" xfId="3" applyNumberFormat="1" applyFont="1" applyFill="1" applyBorder="1"/>
    <xf numFmtId="165" fontId="5" fillId="4" borderId="8" xfId="0" applyNumberFormat="1" applyFont="1" applyFill="1" applyBorder="1"/>
    <xf numFmtId="165" fontId="5" fillId="4" borderId="10" xfId="0" applyNumberFormat="1" applyFont="1" applyFill="1" applyBorder="1"/>
    <xf numFmtId="165" fontId="5" fillId="4" borderId="11" xfId="0" applyNumberFormat="1" applyFont="1" applyFill="1" applyBorder="1"/>
    <xf numFmtId="165" fontId="5" fillId="4" borderId="5" xfId="0" applyNumberFormat="1" applyFont="1" applyFill="1" applyBorder="1"/>
    <xf numFmtId="165" fontId="5" fillId="4" borderId="6" xfId="0" applyNumberFormat="1" applyFont="1" applyFill="1" applyBorder="1"/>
    <xf numFmtId="0" fontId="6" fillId="4" borderId="0" xfId="0" applyFont="1" applyFill="1" applyAlignment="1">
      <alignment vertical="center"/>
    </xf>
    <xf numFmtId="3" fontId="5" fillId="4" borderId="0" xfId="0" applyNumberFormat="1" applyFont="1" applyFill="1"/>
    <xf numFmtId="165" fontId="5" fillId="7" borderId="6" xfId="0" applyNumberFormat="1" applyFont="1" applyFill="1" applyBorder="1"/>
    <xf numFmtId="3" fontId="8" fillId="7" borderId="0" xfId="1" applyNumberFormat="1" applyFont="1" applyFill="1" applyBorder="1" applyAlignment="1">
      <alignment horizontal="right" vertical="top" readingOrder="1"/>
    </xf>
    <xf numFmtId="3" fontId="8" fillId="7" borderId="8" xfId="1" applyNumberFormat="1" applyFont="1" applyFill="1" applyBorder="1" applyAlignment="1">
      <alignment horizontal="right" vertical="top" readingOrder="1"/>
    </xf>
    <xf numFmtId="0" fontId="34" fillId="0" borderId="0" xfId="0" applyFont="1" applyAlignment="1">
      <alignment horizontal="right" vertical="center" wrapText="1" shrinkToFit="1" readingOrder="1"/>
    </xf>
    <xf numFmtId="0" fontId="35" fillId="0" borderId="0" xfId="0" applyFont="1" applyAlignment="1">
      <alignment horizontal="right" vertical="center" wrapText="1" shrinkToFit="1" readingOrder="1"/>
    </xf>
    <xf numFmtId="0" fontId="36" fillId="0" borderId="0" xfId="0" applyFont="1" applyAlignment="1">
      <alignment horizontal="left" vertical="center" wrapText="1" shrinkToFit="1" readingOrder="1"/>
    </xf>
    <xf numFmtId="0" fontId="37" fillId="0" borderId="0" xfId="0" applyFont="1" applyAlignment="1">
      <alignment horizontal="left" vertical="center" wrapText="1" shrinkToFit="1" readingOrder="1"/>
    </xf>
    <xf numFmtId="3" fontId="34" fillId="0" borderId="0" xfId="0" applyNumberFormat="1" applyFont="1" applyAlignment="1">
      <alignment horizontal="right" vertical="center" wrapText="1" shrinkToFit="1" readingOrder="1"/>
    </xf>
    <xf numFmtId="3" fontId="34" fillId="0" borderId="15" xfId="0" applyNumberFormat="1" applyFont="1" applyBorder="1" applyAlignment="1">
      <alignment horizontal="right" vertical="center" wrapText="1" shrinkToFit="1" readingOrder="1"/>
    </xf>
    <xf numFmtId="3" fontId="34" fillId="0" borderId="14" xfId="0" applyNumberFormat="1" applyFont="1" applyBorder="1" applyAlignment="1">
      <alignment horizontal="right" vertical="center" wrapText="1" shrinkToFit="1" readingOrder="1"/>
    </xf>
    <xf numFmtId="3" fontId="34" fillId="0" borderId="13" xfId="0" applyNumberFormat="1" applyFont="1" applyBorder="1" applyAlignment="1">
      <alignment horizontal="right" vertical="center" wrapText="1" shrinkToFit="1" readingOrder="1"/>
    </xf>
    <xf numFmtId="0" fontId="34" fillId="4" borderId="0" xfId="0" applyFont="1" applyFill="1" applyAlignment="1">
      <alignment horizontal="right" vertical="center" wrapText="1" shrinkToFit="1" readingOrder="1"/>
    </xf>
    <xf numFmtId="0" fontId="34" fillId="2" borderId="0" xfId="0" applyFont="1" applyFill="1" applyAlignment="1">
      <alignment horizontal="right" vertical="center" wrapText="1" shrinkToFit="1" readingOrder="1"/>
    </xf>
    <xf numFmtId="0" fontId="31" fillId="2" borderId="16" xfId="0" applyFont="1" applyFill="1" applyBorder="1" applyAlignment="1">
      <alignment horizontal="center" vertical="center" wrapText="1" shrinkToFit="1" readingOrder="1"/>
    </xf>
    <xf numFmtId="0" fontId="31" fillId="2" borderId="17" xfId="0" applyFont="1" applyFill="1" applyBorder="1" applyAlignment="1">
      <alignment horizontal="left" vertical="center" wrapText="1" shrinkToFit="1" readingOrder="1"/>
    </xf>
    <xf numFmtId="0" fontId="38" fillId="0" borderId="17" xfId="0" applyFont="1" applyBorder="1" applyAlignment="1">
      <alignment horizontal="center" vertical="center" wrapText="1" shrinkToFit="1" readingOrder="1"/>
    </xf>
    <xf numFmtId="0" fontId="38" fillId="0" borderId="14" xfId="0" applyFont="1" applyBorder="1" applyAlignment="1">
      <alignment horizontal="center" vertical="center" wrapText="1" shrinkToFit="1" readingOrder="1"/>
    </xf>
    <xf numFmtId="0" fontId="38" fillId="0" borderId="23" xfId="0" applyFont="1" applyBorder="1" applyAlignment="1">
      <alignment horizontal="center" vertical="center" wrapText="1" shrinkToFit="1" readingOrder="1"/>
    </xf>
    <xf numFmtId="0" fontId="31" fillId="0" borderId="19" xfId="0" applyFont="1" applyBorder="1" applyAlignment="1">
      <alignment horizontal="left" vertical="center" wrapText="1" shrinkToFit="1" readingOrder="1"/>
    </xf>
    <xf numFmtId="0" fontId="38" fillId="0" borderId="17" xfId="0" applyFont="1" applyBorder="1" applyAlignment="1">
      <alignment horizontal="right" vertical="center" wrapText="1" shrinkToFit="1" readingOrder="1"/>
    </xf>
    <xf numFmtId="0" fontId="31" fillId="0" borderId="14" xfId="0" applyFont="1" applyBorder="1" applyAlignment="1">
      <alignment horizontal="left" vertical="center" wrapText="1" shrinkToFit="1" readingOrder="1"/>
    </xf>
    <xf numFmtId="0" fontId="38" fillId="0" borderId="14" xfId="0" applyFont="1" applyBorder="1" applyAlignment="1">
      <alignment horizontal="right" vertical="center" wrapText="1" shrinkToFit="1" readingOrder="1"/>
    </xf>
    <xf numFmtId="0" fontId="31" fillId="0" borderId="23" xfId="0" applyFont="1" applyBorder="1" applyAlignment="1">
      <alignment horizontal="left" vertical="center" wrapText="1" shrinkToFit="1" readingOrder="1"/>
    </xf>
    <xf numFmtId="0" fontId="31" fillId="0" borderId="16" xfId="0" applyFont="1" applyBorder="1" applyAlignment="1">
      <alignment horizontal="left" vertical="center" wrapText="1" shrinkToFit="1" readingOrder="1"/>
    </xf>
    <xf numFmtId="0" fontId="31" fillId="0" borderId="20" xfId="0" applyFont="1" applyBorder="1" applyAlignment="1">
      <alignment horizontal="left" vertical="center" wrapText="1" shrinkToFit="1" readingOrder="1"/>
    </xf>
    <xf numFmtId="0" fontId="31" fillId="0" borderId="15" xfId="0" applyFont="1" applyBorder="1" applyAlignment="1">
      <alignment horizontal="left" vertical="center" wrapText="1" shrinkToFit="1" readingOrder="1"/>
    </xf>
    <xf numFmtId="0" fontId="31" fillId="0" borderId="24" xfId="0" applyFont="1" applyBorder="1" applyAlignment="1">
      <alignment horizontal="left" vertical="center" wrapText="1" shrinkToFit="1" readingOrder="1"/>
    </xf>
    <xf numFmtId="0" fontId="31" fillId="0" borderId="18" xfId="0" applyFont="1" applyBorder="1" applyAlignment="1">
      <alignment horizontal="center" vertical="center" wrapText="1" shrinkToFit="1" readingOrder="1"/>
    </xf>
    <xf numFmtId="10" fontId="31" fillId="0" borderId="0" xfId="0" applyNumberFormat="1" applyFont="1" applyAlignment="1">
      <alignment horizontal="right" vertical="center" wrapText="1" shrinkToFit="1" readingOrder="1"/>
    </xf>
    <xf numFmtId="0" fontId="31" fillId="0" borderId="25" xfId="0" applyFont="1" applyBorder="1" applyAlignment="1">
      <alignment horizontal="left" vertical="center" wrapText="1" shrinkToFit="1" readingOrder="1"/>
    </xf>
    <xf numFmtId="0" fontId="31" fillId="0" borderId="18" xfId="0" applyFont="1" applyBorder="1" applyAlignment="1">
      <alignment horizontal="left" vertical="center" wrapText="1" shrinkToFit="1" readingOrder="1"/>
    </xf>
    <xf numFmtId="0" fontId="31" fillId="0" borderId="21" xfId="0" applyFont="1" applyBorder="1" applyAlignment="1">
      <alignment horizontal="left" vertical="center" wrapText="1" shrinkToFit="1" readingOrder="1"/>
    </xf>
    <xf numFmtId="3" fontId="38" fillId="0" borderId="21" xfId="0" applyNumberFormat="1" applyFont="1" applyBorder="1" applyAlignment="1">
      <alignment horizontal="right" vertical="center" wrapText="1" shrinkToFit="1" readingOrder="1"/>
    </xf>
    <xf numFmtId="0" fontId="38" fillId="0" borderId="19" xfId="0" applyFont="1" applyBorder="1" applyAlignment="1">
      <alignment horizontal="center" vertical="center" wrapText="1" shrinkToFit="1" readingOrder="1"/>
    </xf>
    <xf numFmtId="3" fontId="38" fillId="0" borderId="22" xfId="0" applyNumberFormat="1" applyFont="1" applyBorder="1" applyAlignment="1">
      <alignment horizontal="right" vertical="center" wrapText="1" shrinkToFit="1" readingOrder="1"/>
    </xf>
    <xf numFmtId="0" fontId="31" fillId="0" borderId="13" xfId="0" applyFont="1" applyBorder="1" applyAlignment="1">
      <alignment horizontal="left" vertical="center" wrapText="1" shrinkToFit="1" readingOrder="1"/>
    </xf>
    <xf numFmtId="0" fontId="31" fillId="0" borderId="26" xfId="0" applyFont="1" applyBorder="1" applyAlignment="1">
      <alignment horizontal="left" vertical="center" wrapText="1" shrinkToFit="1" readingOrder="1"/>
    </xf>
    <xf numFmtId="0" fontId="38" fillId="2" borderId="18" xfId="0" applyFont="1" applyFill="1" applyBorder="1" applyAlignment="1">
      <alignment horizontal="center" vertical="center" wrapText="1" shrinkToFit="1" readingOrder="1"/>
    </xf>
    <xf numFmtId="0" fontId="38" fillId="2" borderId="14" xfId="0" applyFont="1" applyFill="1" applyBorder="1" applyAlignment="1">
      <alignment horizontal="left" vertical="center" wrapText="1" shrinkToFit="1" readingOrder="1"/>
    </xf>
    <xf numFmtId="0" fontId="38" fillId="2" borderId="23" xfId="0" applyFont="1" applyFill="1" applyBorder="1" applyAlignment="1">
      <alignment horizontal="left" vertical="center" wrapText="1" shrinkToFit="1" readingOrder="1"/>
    </xf>
    <xf numFmtId="0" fontId="38" fillId="2" borderId="17" xfId="0" applyFont="1" applyFill="1" applyBorder="1" applyAlignment="1">
      <alignment horizontal="left" vertical="center" wrapText="1" shrinkToFit="1" readingOrder="1"/>
    </xf>
    <xf numFmtId="0" fontId="31" fillId="0" borderId="0" xfId="0" applyFont="1"/>
    <xf numFmtId="178" fontId="34" fillId="9" borderId="0" xfId="0" applyNumberFormat="1" applyFont="1" applyFill="1" applyAlignment="1">
      <alignment horizontal="right" vertical="top" wrapText="1" readingOrder="1"/>
    </xf>
    <xf numFmtId="10" fontId="38" fillId="0" borderId="0" xfId="3" applyNumberFormat="1" applyFont="1" applyAlignment="1">
      <alignment horizontal="right" vertical="center" wrapText="1" shrinkToFit="1" readingOrder="1"/>
    </xf>
    <xf numFmtId="0" fontId="28" fillId="4" borderId="0" xfId="0" applyFont="1" applyFill="1"/>
    <xf numFmtId="173" fontId="6" fillId="4" borderId="0" xfId="1" applyNumberFormat="1" applyFont="1" applyFill="1" applyBorder="1" applyAlignment="1">
      <alignment horizontal="center"/>
    </xf>
    <xf numFmtId="43" fontId="0" fillId="4" borderId="0" xfId="1" applyFont="1" applyFill="1" applyBorder="1"/>
    <xf numFmtId="43" fontId="5" fillId="4" borderId="0" xfId="1" applyFont="1" applyFill="1" applyBorder="1" applyAlignment="1">
      <alignment horizontal="right" vertical="top" readingOrder="1"/>
    </xf>
    <xf numFmtId="0" fontId="5" fillId="4" borderId="0" xfId="0" applyFont="1" applyFill="1" applyAlignment="1">
      <alignment horizontal="right"/>
    </xf>
    <xf numFmtId="43" fontId="0" fillId="4" borderId="0" xfId="0" applyNumberFormat="1" applyFill="1"/>
    <xf numFmtId="10" fontId="7" fillId="7" borderId="0" xfId="3" applyNumberFormat="1" applyFont="1" applyFill="1" applyBorder="1" applyAlignment="1">
      <alignment horizontal="right" vertical="top" readingOrder="1"/>
    </xf>
    <xf numFmtId="10" fontId="7" fillId="7" borderId="8" xfId="3" applyNumberFormat="1" applyFont="1" applyFill="1" applyBorder="1" applyAlignment="1">
      <alignment horizontal="right" vertical="top" readingOrder="1"/>
    </xf>
    <xf numFmtId="165" fontId="0" fillId="4" borderId="0" xfId="0" applyNumberFormat="1" applyFill="1"/>
    <xf numFmtId="3" fontId="5" fillId="7" borderId="5" xfId="0" applyNumberFormat="1" applyFont="1" applyFill="1" applyBorder="1"/>
    <xf numFmtId="3" fontId="5" fillId="7" borderId="0" xfId="0" applyNumberFormat="1" applyFont="1" applyFill="1"/>
    <xf numFmtId="43" fontId="5" fillId="7" borderId="0" xfId="1" applyFont="1" applyFill="1" applyBorder="1"/>
    <xf numFmtId="43" fontId="5" fillId="7" borderId="5" xfId="1" applyFont="1" applyFill="1" applyBorder="1"/>
    <xf numFmtId="43" fontId="5" fillId="7" borderId="10" xfId="1" applyFont="1" applyFill="1" applyBorder="1"/>
    <xf numFmtId="10" fontId="5" fillId="7" borderId="10" xfId="3" applyNumberFormat="1" applyFont="1" applyFill="1" applyBorder="1"/>
    <xf numFmtId="10" fontId="5" fillId="7" borderId="11" xfId="0" applyNumberFormat="1" applyFont="1" applyFill="1" applyBorder="1"/>
    <xf numFmtId="3" fontId="31" fillId="0" borderId="0" xfId="0" applyNumberFormat="1" applyFont="1"/>
    <xf numFmtId="3" fontId="39" fillId="0" borderId="22" xfId="0" applyNumberFormat="1" applyFont="1" applyBorder="1" applyAlignment="1">
      <alignment horizontal="right" vertical="center" wrapText="1" shrinkToFit="1" readingOrder="1"/>
    </xf>
    <xf numFmtId="3" fontId="40" fillId="0" borderId="21" xfId="0" applyNumberFormat="1" applyFont="1" applyBorder="1" applyAlignment="1">
      <alignment horizontal="right" vertical="center" wrapText="1" shrinkToFit="1" readingOrder="1"/>
    </xf>
    <xf numFmtId="0" fontId="40" fillId="0" borderId="21" xfId="0" applyFont="1" applyBorder="1" applyAlignment="1">
      <alignment horizontal="left" vertical="center" wrapText="1" shrinkToFit="1" readingOrder="1"/>
    </xf>
    <xf numFmtId="0" fontId="40" fillId="0" borderId="13" xfId="0" applyFont="1" applyBorder="1" applyAlignment="1">
      <alignment horizontal="left" vertical="center" wrapText="1" shrinkToFit="1" readingOrder="1"/>
    </xf>
    <xf numFmtId="0" fontId="40" fillId="0" borderId="26" xfId="0" applyFont="1" applyBorder="1" applyAlignment="1">
      <alignment horizontal="left" vertical="center" wrapText="1" shrinkToFit="1" readingOrder="1"/>
    </xf>
    <xf numFmtId="0" fontId="40" fillId="0" borderId="0" xfId="0" applyFont="1"/>
    <xf numFmtId="0" fontId="40" fillId="0" borderId="25" xfId="0" applyFont="1" applyBorder="1" applyAlignment="1">
      <alignment horizontal="left" vertical="center" wrapText="1" shrinkToFit="1" readingOrder="1"/>
    </xf>
    <xf numFmtId="0" fontId="40" fillId="0" borderId="20" xfId="0" applyFont="1" applyBorder="1" applyAlignment="1">
      <alignment horizontal="left" vertical="center" wrapText="1" shrinkToFit="1" readingOrder="1"/>
    </xf>
    <xf numFmtId="0" fontId="40" fillId="0" borderId="15" xfId="0" applyFont="1" applyBorder="1" applyAlignment="1">
      <alignment horizontal="left" vertical="center" wrapText="1" shrinkToFit="1" readingOrder="1"/>
    </xf>
    <xf numFmtId="0" fontId="40" fillId="0" borderId="24" xfId="0" applyFont="1" applyBorder="1" applyAlignment="1">
      <alignment horizontal="left" vertical="center" wrapText="1" shrinkToFit="1" readingOrder="1"/>
    </xf>
    <xf numFmtId="0" fontId="0" fillId="7" borderId="7" xfId="0" applyFill="1" applyBorder="1"/>
    <xf numFmtId="0" fontId="5" fillId="7" borderId="0" xfId="0" applyFont="1" applyFill="1" applyAlignment="1">
      <alignment horizontal="left" indent="1"/>
    </xf>
    <xf numFmtId="41" fontId="5" fillId="7" borderId="0" xfId="0" applyNumberFormat="1" applyFont="1" applyFill="1" applyAlignment="1">
      <alignment horizontal="right"/>
    </xf>
    <xf numFmtId="41" fontId="5" fillId="7" borderId="8" xfId="0" applyNumberFormat="1" applyFont="1" applyFill="1" applyBorder="1" applyAlignment="1">
      <alignment horizontal="right"/>
    </xf>
    <xf numFmtId="0" fontId="5" fillId="7" borderId="0" xfId="0" applyFont="1" applyFill="1" applyAlignment="1">
      <alignment horizontal="center"/>
    </xf>
    <xf numFmtId="0" fontId="5" fillId="7" borderId="0" xfId="0" applyFont="1" applyFill="1" applyAlignment="1">
      <alignment horizontal="left"/>
    </xf>
    <xf numFmtId="0" fontId="5" fillId="7" borderId="7" xfId="0" applyFont="1" applyFill="1" applyBorder="1" applyAlignment="1">
      <alignment horizontal="right" indent="1"/>
    </xf>
    <xf numFmtId="0" fontId="6" fillId="7" borderId="0" xfId="0" applyFont="1" applyFill="1" applyAlignment="1">
      <alignment horizontal="left" indent="1"/>
    </xf>
    <xf numFmtId="38" fontId="5" fillId="7" borderId="0" xfId="0" applyNumberFormat="1" applyFont="1" applyFill="1" applyAlignment="1">
      <alignment horizontal="right" indent="1"/>
    </xf>
    <xf numFmtId="38" fontId="5" fillId="7" borderId="8" xfId="0" applyNumberFormat="1" applyFont="1" applyFill="1" applyBorder="1" applyAlignment="1">
      <alignment horizontal="right" indent="1"/>
    </xf>
    <xf numFmtId="0" fontId="10" fillId="7" borderId="0" xfId="0" applyFont="1" applyFill="1"/>
    <xf numFmtId="0" fontId="29" fillId="7" borderId="7" xfId="0" applyFont="1" applyFill="1" applyBorder="1"/>
    <xf numFmtId="0" fontId="29" fillId="7" borderId="9" xfId="0" applyFont="1" applyFill="1" applyBorder="1"/>
    <xf numFmtId="41" fontId="29" fillId="4" borderId="0" xfId="0" applyNumberFormat="1" applyFont="1" applyFill="1" applyAlignment="1">
      <alignment horizontal="right"/>
    </xf>
    <xf numFmtId="0" fontId="29" fillId="4" borderId="0" xfId="0" applyFont="1" applyFill="1"/>
    <xf numFmtId="0" fontId="8" fillId="4" borderId="0" xfId="0" applyFont="1" applyFill="1" applyAlignment="1">
      <alignment horizontal="left" indent="1"/>
    </xf>
    <xf numFmtId="41" fontId="30" fillId="4" borderId="0" xfId="0" applyNumberFormat="1" applyFont="1" applyFill="1" applyAlignment="1">
      <alignment horizontal="right"/>
    </xf>
    <xf numFmtId="14" fontId="0" fillId="4" borderId="0" xfId="0" applyNumberFormat="1" applyFill="1"/>
    <xf numFmtId="165" fontId="7" fillId="7" borderId="0" xfId="1" applyNumberFormat="1" applyFont="1" applyFill="1" applyBorder="1" applyAlignment="1">
      <alignment horizontal="right" vertical="top" readingOrder="1"/>
    </xf>
    <xf numFmtId="43" fontId="7" fillId="7" borderId="0" xfId="1" applyFont="1" applyFill="1" applyBorder="1" applyAlignment="1">
      <alignment horizontal="right" vertical="top" readingOrder="1"/>
    </xf>
    <xf numFmtId="0" fontId="6" fillId="7" borderId="8" xfId="0" applyFont="1" applyFill="1" applyBorder="1" applyAlignment="1">
      <alignment horizontal="center"/>
    </xf>
    <xf numFmtId="0" fontId="10" fillId="7" borderId="9" xfId="0" applyFont="1" applyFill="1" applyBorder="1" applyAlignment="1">
      <alignment horizontal="left" indent="1"/>
    </xf>
    <xf numFmtId="165" fontId="10" fillId="7" borderId="10" xfId="1" applyNumberFormat="1" applyFont="1" applyFill="1" applyBorder="1" applyAlignment="1">
      <alignment horizontal="right" vertical="top" readingOrder="1"/>
    </xf>
    <xf numFmtId="179" fontId="10" fillId="7" borderId="10" xfId="0" applyNumberFormat="1" applyFont="1" applyFill="1" applyBorder="1" applyAlignment="1">
      <alignment horizontal="right" vertical="top" readingOrder="1"/>
    </xf>
    <xf numFmtId="43" fontId="10" fillId="7" borderId="10" xfId="1" applyFont="1" applyFill="1" applyBorder="1" applyAlignment="1">
      <alignment horizontal="right" vertical="top" readingOrder="1"/>
    </xf>
    <xf numFmtId="10" fontId="10" fillId="7" borderId="11" xfId="3" applyNumberFormat="1" applyFont="1" applyFill="1" applyBorder="1" applyAlignment="1">
      <alignment horizontal="right" vertical="top" readingOrder="1"/>
    </xf>
    <xf numFmtId="165" fontId="7" fillId="7" borderId="0" xfId="1" applyNumberFormat="1" applyFont="1" applyFill="1" applyBorder="1" applyAlignment="1">
      <alignment horizontal="right"/>
    </xf>
    <xf numFmtId="43" fontId="7" fillId="7" borderId="0" xfId="1" applyFont="1" applyFill="1" applyBorder="1" applyAlignment="1">
      <alignment horizontal="right"/>
    </xf>
    <xf numFmtId="14" fontId="7" fillId="7" borderId="0" xfId="3" applyNumberFormat="1" applyFont="1" applyFill="1" applyBorder="1" applyAlignment="1">
      <alignment horizontal="right" vertical="top" readingOrder="1"/>
    </xf>
    <xf numFmtId="164" fontId="7" fillId="7" borderId="8" xfId="3" applyNumberFormat="1" applyFont="1" applyFill="1" applyBorder="1" applyAlignment="1">
      <alignment horizontal="right" vertical="top" readingOrder="1"/>
    </xf>
    <xf numFmtId="14" fontId="7" fillId="7" borderId="0" xfId="1" applyNumberFormat="1" applyFont="1" applyFill="1" applyBorder="1" applyAlignment="1">
      <alignment horizontal="right" vertical="top" readingOrder="1"/>
    </xf>
    <xf numFmtId="14" fontId="7" fillId="7" borderId="0" xfId="1" applyNumberFormat="1" applyFont="1" applyFill="1" applyBorder="1" applyAlignment="1">
      <alignment horizontal="right"/>
    </xf>
    <xf numFmtId="173" fontId="6" fillId="7" borderId="5" xfId="1" applyNumberFormat="1" applyFont="1" applyFill="1" applyBorder="1" applyAlignment="1">
      <alignment horizontal="center"/>
    </xf>
    <xf numFmtId="173" fontId="6" fillId="7" borderId="6" xfId="1" applyNumberFormat="1" applyFont="1" applyFill="1" applyBorder="1" applyAlignment="1">
      <alignment horizontal="center"/>
    </xf>
    <xf numFmtId="0" fontId="0" fillId="7" borderId="0" xfId="0" applyFill="1"/>
    <xf numFmtId="43" fontId="0" fillId="7" borderId="0" xfId="1" applyFont="1" applyFill="1" applyBorder="1"/>
    <xf numFmtId="43" fontId="5" fillId="7" borderId="0" xfId="1" applyFont="1" applyFill="1" applyBorder="1" applyAlignment="1">
      <alignment horizontal="right" vertical="top" readingOrder="1"/>
    </xf>
    <xf numFmtId="43" fontId="5" fillId="7" borderId="8" xfId="1" applyFont="1" applyFill="1" applyBorder="1" applyAlignment="1">
      <alignment horizontal="right" vertical="top" readingOrder="1"/>
    </xf>
    <xf numFmtId="0" fontId="0" fillId="7" borderId="8" xfId="0" applyFill="1" applyBorder="1"/>
    <xf numFmtId="43" fontId="7" fillId="7" borderId="0" xfId="1" applyFont="1" applyFill="1" applyBorder="1"/>
    <xf numFmtId="43" fontId="32" fillId="7" borderId="8" xfId="1" applyFont="1" applyFill="1" applyBorder="1" applyAlignment="1">
      <alignment horizontal="center"/>
    </xf>
    <xf numFmtId="43" fontId="7" fillId="7" borderId="8" xfId="1" applyFont="1" applyFill="1" applyBorder="1"/>
    <xf numFmtId="0" fontId="8" fillId="7" borderId="0" xfId="0" applyFont="1" applyFill="1" applyAlignment="1">
      <alignment horizontal="left"/>
    </xf>
    <xf numFmtId="10" fontId="7" fillId="7" borderId="0" xfId="3" applyNumberFormat="1" applyFont="1" applyFill="1" applyBorder="1" applyAlignment="1">
      <alignment horizontal="right"/>
    </xf>
    <xf numFmtId="10" fontId="7" fillId="7" borderId="8" xfId="3" applyNumberFormat="1" applyFont="1" applyFill="1" applyBorder="1" applyAlignment="1">
      <alignment horizontal="right"/>
    </xf>
    <xf numFmtId="165" fontId="7" fillId="7" borderId="0" xfId="1" applyNumberFormat="1" applyFont="1" applyFill="1" applyBorder="1" applyAlignment="1">
      <alignment horizontal="left" indent="2"/>
    </xf>
    <xf numFmtId="0" fontId="8" fillId="7" borderId="8" xfId="0" applyFont="1" applyFill="1" applyBorder="1" applyAlignment="1">
      <alignment horizontal="left" indent="2"/>
    </xf>
    <xf numFmtId="165" fontId="8" fillId="7" borderId="0" xfId="1" applyNumberFormat="1" applyFont="1" applyFill="1" applyBorder="1" applyAlignment="1">
      <alignment horizontal="left" indent="1"/>
    </xf>
    <xf numFmtId="165" fontId="8" fillId="7" borderId="0" xfId="1" applyNumberFormat="1" applyFont="1" applyFill="1" applyBorder="1" applyAlignment="1">
      <alignment horizontal="left" indent="2"/>
    </xf>
    <xf numFmtId="43" fontId="7" fillId="7" borderId="8" xfId="1" applyFont="1" applyFill="1" applyBorder="1" applyAlignment="1">
      <alignment horizontal="right" vertical="top" readingOrder="1"/>
    </xf>
    <xf numFmtId="0" fontId="10" fillId="7" borderId="10" xfId="0" applyFont="1" applyFill="1" applyBorder="1" applyAlignment="1">
      <alignment horizontal="left"/>
    </xf>
    <xf numFmtId="165" fontId="10" fillId="7" borderId="10" xfId="1" applyNumberFormat="1" applyFont="1" applyFill="1" applyBorder="1" applyAlignment="1">
      <alignment horizontal="left" indent="2"/>
    </xf>
    <xf numFmtId="0" fontId="5" fillId="7" borderId="27" xfId="0" applyFont="1" applyFill="1" applyBorder="1" applyAlignment="1">
      <alignment horizontal="left"/>
    </xf>
    <xf numFmtId="3" fontId="34" fillId="0" borderId="12" xfId="0" applyNumberFormat="1" applyFont="1" applyBorder="1" applyAlignment="1">
      <alignment horizontal="right" vertical="center" wrapText="1" shrinkToFit="1" readingOrder="1"/>
    </xf>
    <xf numFmtId="0" fontId="34" fillId="0" borderId="0" xfId="0" applyFont="1" applyAlignment="1">
      <alignment horizontal="left" vertical="center" wrapText="1" shrinkToFit="1" readingOrder="1"/>
    </xf>
    <xf numFmtId="0" fontId="33" fillId="0" borderId="0" xfId="0" applyFont="1" applyAlignment="1">
      <alignment vertical="center" wrapText="1" shrinkToFit="1" readingOrder="1"/>
    </xf>
    <xf numFmtId="9" fontId="0" fillId="4" borderId="0" xfId="3" applyFont="1" applyFill="1"/>
    <xf numFmtId="10" fontId="0" fillId="4" borderId="0" xfId="3" applyNumberFormat="1" applyFont="1" applyFill="1"/>
    <xf numFmtId="0" fontId="6" fillId="7" borderId="0" xfId="0" applyFont="1" applyFill="1" applyAlignment="1">
      <alignment horizontal="center"/>
    </xf>
    <xf numFmtId="164" fontId="7" fillId="7" borderId="0" xfId="3" applyNumberFormat="1" applyFont="1" applyFill="1" applyBorder="1" applyAlignment="1">
      <alignment horizontal="right" vertical="top" readingOrder="1"/>
    </xf>
    <xf numFmtId="10" fontId="10" fillId="7" borderId="10" xfId="3" applyNumberFormat="1" applyFont="1" applyFill="1" applyBorder="1" applyAlignment="1">
      <alignment horizontal="right" vertical="top" readingOrder="1"/>
    </xf>
    <xf numFmtId="14" fontId="7" fillId="7" borderId="0" xfId="0" applyNumberFormat="1" applyFont="1" applyFill="1" applyAlignment="1">
      <alignment horizontal="right" vertical="top" readingOrder="1"/>
    </xf>
    <xf numFmtId="14" fontId="7" fillId="7" borderId="0" xfId="0" applyNumberFormat="1" applyFont="1" applyFill="1" applyAlignment="1">
      <alignment horizontal="right"/>
    </xf>
    <xf numFmtId="0" fontId="28" fillId="2" borderId="6" xfId="0" applyFont="1" applyFill="1" applyBorder="1" applyAlignment="1">
      <alignment horizontal="right"/>
    </xf>
    <xf numFmtId="0" fontId="10" fillId="2" borderId="4" xfId="0" applyFont="1" applyFill="1" applyBorder="1"/>
    <xf numFmtId="0" fontId="28" fillId="2" borderId="5" xfId="0" applyFont="1" applyFill="1" applyBorder="1" applyAlignment="1">
      <alignment horizontal="right"/>
    </xf>
    <xf numFmtId="0" fontId="5" fillId="7" borderId="8" xfId="0" applyFont="1" applyFill="1" applyBorder="1" applyAlignment="1">
      <alignment horizontal="center"/>
    </xf>
    <xf numFmtId="0" fontId="7" fillId="7" borderId="8" xfId="3" applyNumberFormat="1" applyFont="1" applyFill="1" applyBorder="1" applyAlignment="1">
      <alignment horizontal="right" vertical="top" readingOrder="1"/>
    </xf>
    <xf numFmtId="0" fontId="3" fillId="4" borderId="0" xfId="0" applyFont="1" applyFill="1"/>
    <xf numFmtId="165" fontId="42" fillId="4" borderId="0" xfId="1" applyNumberFormat="1" applyFont="1" applyFill="1" applyBorder="1" applyAlignment="1">
      <alignment horizontal="right"/>
    </xf>
    <xf numFmtId="165" fontId="41" fillId="7" borderId="5" xfId="1" applyNumberFormat="1" applyFont="1" applyFill="1" applyBorder="1"/>
    <xf numFmtId="165" fontId="41" fillId="7" borderId="0" xfId="1" applyNumberFormat="1" applyFont="1" applyFill="1" applyBorder="1"/>
    <xf numFmtId="165" fontId="41" fillId="7" borderId="8" xfId="1" applyNumberFormat="1" applyFont="1" applyFill="1" applyBorder="1"/>
    <xf numFmtId="165" fontId="41" fillId="7" borderId="6" xfId="1" applyNumberFormat="1" applyFont="1" applyFill="1" applyBorder="1"/>
    <xf numFmtId="165" fontId="42" fillId="7" borderId="8" xfId="1" applyNumberFormat="1" applyFont="1" applyFill="1" applyBorder="1"/>
    <xf numFmtId="164" fontId="41" fillId="7" borderId="6" xfId="3" applyNumberFormat="1" applyFont="1" applyFill="1" applyBorder="1"/>
    <xf numFmtId="10" fontId="41" fillId="7" borderId="8" xfId="3" applyNumberFormat="1" applyFont="1" applyFill="1" applyBorder="1"/>
    <xf numFmtId="164" fontId="41" fillId="7" borderId="8" xfId="3" applyNumberFormat="1" applyFont="1" applyFill="1" applyBorder="1"/>
    <xf numFmtId="43" fontId="41" fillId="7" borderId="8" xfId="1" applyFont="1" applyFill="1" applyBorder="1"/>
    <xf numFmtId="174" fontId="41" fillId="7" borderId="0" xfId="0" applyNumberFormat="1" applyFont="1" applyFill="1" applyAlignment="1">
      <alignment horizontal="right"/>
    </xf>
    <xf numFmtId="165" fontId="0" fillId="4" borderId="0" xfId="1" applyNumberFormat="1" applyFont="1" applyFill="1"/>
    <xf numFmtId="10" fontId="7" fillId="4" borderId="0" xfId="3" applyNumberFormat="1" applyFont="1" applyFill="1" applyBorder="1"/>
    <xf numFmtId="10" fontId="0" fillId="4" borderId="0" xfId="3" applyNumberFormat="1" applyFont="1" applyFill="1" applyAlignment="1">
      <alignment horizontal="left"/>
    </xf>
    <xf numFmtId="43" fontId="7" fillId="7" borderId="0" xfId="1" applyFont="1" applyFill="1" applyAlignment="1">
      <alignment horizontal="right" vertical="top" readingOrder="1"/>
    </xf>
    <xf numFmtId="43" fontId="0" fillId="4" borderId="0" xfId="1" applyFont="1" applyFill="1"/>
    <xf numFmtId="43" fontId="5" fillId="4" borderId="0" xfId="0" applyNumberFormat="1" applyFont="1" applyFill="1" applyAlignment="1">
      <alignment horizontal="right"/>
    </xf>
    <xf numFmtId="2" fontId="0" fillId="4" borderId="0" xfId="0" applyNumberFormat="1" applyFill="1"/>
    <xf numFmtId="43" fontId="5" fillId="7" borderId="0" xfId="1" applyFont="1" applyFill="1" applyBorder="1" applyAlignment="1">
      <alignment horizontal="right"/>
    </xf>
    <xf numFmtId="10" fontId="5" fillId="7" borderId="5" xfId="3" applyNumberFormat="1" applyFont="1" applyFill="1" applyBorder="1" applyAlignment="1">
      <alignment horizontal="right"/>
    </xf>
    <xf numFmtId="165" fontId="6" fillId="7" borderId="5" xfId="1" applyNumberFormat="1" applyFont="1" applyFill="1" applyBorder="1" applyAlignment="1">
      <alignment horizontal="left"/>
    </xf>
    <xf numFmtId="10" fontId="6" fillId="7" borderId="5" xfId="3" applyNumberFormat="1" applyFont="1" applyFill="1" applyBorder="1" applyAlignment="1">
      <alignment horizontal="left"/>
    </xf>
    <xf numFmtId="165" fontId="3" fillId="4" borderId="0" xfId="0" applyNumberFormat="1" applyFont="1" applyFill="1"/>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2" borderId="6" xfId="0" applyFont="1" applyFill="1" applyBorder="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left"/>
    </xf>
    <xf numFmtId="0" fontId="6" fillId="2" borderId="2" xfId="0" applyFont="1" applyFill="1" applyBorder="1" applyAlignment="1">
      <alignment horizontal="left"/>
    </xf>
    <xf numFmtId="0" fontId="6" fillId="2" borderId="3" xfId="0" applyFont="1" applyFill="1" applyBorder="1" applyAlignment="1">
      <alignment horizontal="left"/>
    </xf>
    <xf numFmtId="0" fontId="19" fillId="4" borderId="0" xfId="0" applyFont="1" applyFill="1" applyAlignment="1">
      <alignment horizontal="left"/>
    </xf>
    <xf numFmtId="0" fontId="3" fillId="3" borderId="0" xfId="0" applyFont="1" applyFill="1" applyAlignment="1">
      <alignment horizontal="center" wrapText="1"/>
    </xf>
    <xf numFmtId="0" fontId="20" fillId="3" borderId="0" xfId="0" applyFont="1" applyFill="1" applyAlignment="1">
      <alignment horizontal="center"/>
    </xf>
    <xf numFmtId="0" fontId="33" fillId="0" borderId="0" xfId="0" applyFont="1" applyAlignment="1">
      <alignment horizontal="left" vertical="center" wrapText="1" shrinkToFit="1" readingOrder="1"/>
    </xf>
    <xf numFmtId="0" fontId="34" fillId="0" borderId="0" xfId="0" applyFont="1" applyAlignment="1">
      <alignment horizontal="left" vertical="center" wrapText="1" shrinkToFit="1" readingOrder="1"/>
    </xf>
    <xf numFmtId="3" fontId="34" fillId="0" borderId="12" xfId="0" applyNumberFormat="1" applyFont="1" applyBorder="1" applyAlignment="1">
      <alignment horizontal="right" vertical="center" wrapText="1" shrinkToFit="1" readingOrder="1"/>
    </xf>
    <xf numFmtId="0" fontId="38" fillId="0" borderId="0" xfId="0" applyFont="1" applyAlignment="1">
      <alignment horizontal="left" vertical="center" wrapText="1" shrinkToFit="1" readingOrder="1"/>
    </xf>
    <xf numFmtId="0" fontId="31" fillId="0" borderId="0" xfId="0" applyFont="1" applyAlignment="1">
      <alignment horizontal="left" vertical="center" wrapText="1" shrinkToFit="1" readingOrder="1"/>
    </xf>
    <xf numFmtId="22" fontId="31" fillId="0" borderId="0" xfId="0" applyNumberFormat="1" applyFont="1" applyAlignment="1">
      <alignment horizontal="left" vertical="center" wrapText="1" shrinkToFit="1" readingOrder="1"/>
    </xf>
  </cellXfs>
  <cellStyles count="5">
    <cellStyle name="Comma" xfId="1" builtinId="3"/>
    <cellStyle name="Currency" xfId="2" builtinId="4"/>
    <cellStyle name="Normal" xfId="0" builtinId="0"/>
    <cellStyle name="Normal 2" xfId="4" xr:uid="{89F3EC59-F888-42CA-AFF4-4050F95033E9}"/>
    <cellStyle name="Percent" xfId="3" builtinId="5"/>
  </cellStyles>
  <dxfs count="118">
    <dxf>
      <font>
        <color theme="9" tint="-0.24994659260841701"/>
      </font>
    </dxf>
    <dxf>
      <font>
        <color theme="0"/>
      </font>
    </dxf>
    <dxf>
      <numFmt numFmtId="185" formatCode="&quot; up to &quot;0.00&quot;X EM to LP&quot;"/>
    </dxf>
    <dxf>
      <font>
        <color theme="0"/>
      </font>
    </dxf>
    <dxf>
      <font>
        <color theme="0"/>
      </font>
      <numFmt numFmtId="0" formatCode="General"/>
      <fill>
        <patternFill patternType="none">
          <bgColor auto="1"/>
        </patternFill>
      </fill>
    </dxf>
    <dxf>
      <font>
        <color theme="0"/>
      </font>
      <fill>
        <patternFill patternType="none">
          <bgColor auto="1"/>
        </patternFill>
      </fill>
    </dxf>
    <dxf>
      <font>
        <color theme="0"/>
      </font>
    </dxf>
    <dxf>
      <fill>
        <patternFill>
          <bgColor theme="0" tint="-4.9989318521683403E-2"/>
        </patternFill>
      </fill>
    </dxf>
    <dxf>
      <font>
        <color theme="0"/>
      </font>
      <fill>
        <patternFill patternType="none">
          <bgColor auto="1"/>
        </patternFill>
      </fill>
    </dxf>
    <dxf>
      <border>
        <bottom style="thin">
          <color auto="1"/>
        </bottom>
        <vertical/>
        <horizontal/>
      </border>
    </dxf>
    <dxf>
      <border>
        <bottom style="thin">
          <color auto="1"/>
        </bottom>
        <vertical/>
        <horizontal/>
      </border>
    </dxf>
    <dxf>
      <font>
        <color theme="0"/>
      </font>
      <fill>
        <patternFill patternType="none">
          <bgColor auto="1"/>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border>
        <bottom style="thin">
          <color auto="1"/>
        </bottom>
        <vertical/>
        <horizontal/>
      </border>
    </dxf>
    <dxf>
      <fill>
        <patternFill>
          <bgColor theme="0" tint="-4.9989318521683403E-2"/>
        </patternFill>
      </fill>
    </dxf>
    <dxf>
      <font>
        <color theme="0"/>
      </font>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border>
        <bottom style="thin">
          <color auto="1"/>
        </bottom>
        <vertical/>
        <horizontal/>
      </border>
    </dxf>
    <dxf>
      <font>
        <color theme="0"/>
      </font>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font>
        <color theme="0"/>
      </font>
    </dxf>
    <dxf>
      <fill>
        <patternFill>
          <bgColor theme="0" tint="-4.9989318521683403E-2"/>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border>
        <bottom style="thin">
          <color auto="1"/>
        </bottom>
        <vertical/>
        <horizontal/>
      </border>
    </dxf>
    <dxf>
      <border>
        <bottom style="thin">
          <color auto="1"/>
        </bottom>
        <vertical/>
        <horizontal/>
      </border>
    </dxf>
    <dxf>
      <font>
        <color theme="0"/>
      </font>
      <fill>
        <patternFill patternType="none">
          <bgColor auto="1"/>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bottom style="thin">
          <color auto="1"/>
        </bottom>
        <vertical/>
        <horizontal/>
      </border>
    </dxf>
    <dxf>
      <fill>
        <patternFill>
          <bgColor theme="0" tint="-4.9989318521683403E-2"/>
        </patternFill>
      </fill>
    </dxf>
    <dxf>
      <font>
        <color theme="0"/>
      </font>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border>
        <bottom style="thin">
          <color auto="1"/>
        </bottom>
        <vertical/>
        <horizontal/>
      </border>
    </dxf>
    <dxf>
      <border>
        <bottom style="thin">
          <color auto="1"/>
        </bottom>
        <vertical/>
        <horizontal/>
      </border>
    </dxf>
    <dxf>
      <fill>
        <patternFill>
          <bgColor theme="0" tint="-4.9989318521683403E-2"/>
        </patternFill>
      </fill>
    </dxf>
    <dxf>
      <fill>
        <patternFill>
          <bgColor theme="0" tint="-4.9989318521683403E-2"/>
        </patternFill>
      </fill>
    </dxf>
    <dxf>
      <font>
        <color theme="0"/>
      </font>
      <fill>
        <patternFill patternType="none">
          <bgColor auto="1"/>
        </patternFill>
      </fill>
    </dxf>
    <dxf>
      <fill>
        <patternFill>
          <bgColor theme="0" tint="-4.9989318521683403E-2"/>
        </patternFill>
      </fill>
    </dxf>
    <dxf>
      <border>
        <bottom style="thin">
          <color auto="1"/>
        </bottom>
        <vertical/>
        <horizontal/>
      </border>
    </dxf>
    <dxf>
      <fill>
        <patternFill>
          <bgColor theme="0" tint="-4.9989318521683403E-2"/>
        </patternFill>
      </fill>
    </dxf>
    <dxf>
      <font>
        <color theme="0"/>
      </font>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fill>
        <patternFill>
          <bgColor theme="0" tint="-4.9989318521683403E-2"/>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fill>
        <patternFill>
          <bgColor theme="0" tint="-4.9989318521683403E-2"/>
        </patternFill>
      </fill>
    </dxf>
    <dxf>
      <border>
        <bottom style="thin">
          <color auto="1"/>
        </bottom>
        <vertical/>
        <horizontal/>
      </border>
    </dxf>
    <dxf>
      <border>
        <bottom style="thin">
          <color auto="1"/>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font>
        <color theme="0"/>
      </font>
    </dxf>
    <dxf>
      <fill>
        <patternFill>
          <bgColor theme="0" tint="-4.9989318521683403E-2"/>
        </patternFill>
      </fill>
    </dxf>
    <dxf>
      <font>
        <color theme="0"/>
      </font>
      <fill>
        <patternFill patternType="none">
          <bgColor auto="1"/>
        </patternFill>
      </fill>
    </dxf>
    <dxf>
      <fill>
        <patternFill>
          <bgColor theme="0" tint="-4.9989318521683403E-2"/>
        </patternFill>
      </fill>
    </dxf>
    <dxf>
      <font>
        <color theme="0"/>
      </font>
      <fill>
        <patternFill patternType="none">
          <bgColor auto="1"/>
        </patternFill>
      </fill>
    </dxf>
    <dxf>
      <fill>
        <patternFill>
          <bgColor theme="0" tint="-4.9989318521683403E-2"/>
        </patternFill>
      </fill>
    </dxf>
    <dxf>
      <fill>
        <patternFill>
          <bgColor theme="0" tint="-4.9989318521683403E-2"/>
        </patternFill>
      </fill>
    </dxf>
    <dxf>
      <border>
        <bottom style="thin">
          <color auto="1"/>
        </bottom>
        <vertical/>
        <horizontal/>
      </border>
    </dxf>
    <dxf>
      <font>
        <color theme="0"/>
      </font>
      <fill>
        <patternFill patternType="none">
          <bgColor auto="1"/>
        </patternFill>
      </fill>
    </dxf>
    <dxf>
      <fill>
        <patternFill>
          <bgColor theme="0" tint="-4.9989318521683403E-2"/>
        </patternFill>
      </fill>
    </dxf>
    <dxf>
      <fill>
        <patternFill>
          <bgColor theme="0" tint="-4.9989318521683403E-2"/>
        </patternFill>
      </fill>
    </dxf>
    <dxf>
      <border>
        <bottom style="thin">
          <color auto="1"/>
        </bottom>
        <vertical/>
        <horizontal/>
      </border>
    </dxf>
    <dxf>
      <border>
        <bottom style="thin">
          <color auto="1"/>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patternType="none">
          <bgColor auto="1"/>
        </patternFill>
      </fill>
    </dxf>
    <dxf>
      <font>
        <color rgb="FF0000FF"/>
      </font>
    </dxf>
    <dxf>
      <font>
        <color theme="0"/>
      </font>
    </dxf>
    <dxf>
      <font>
        <color theme="0"/>
      </font>
    </dxf>
    <dxf>
      <fill>
        <patternFill>
          <bgColor theme="0" tint="-4.9989318521683403E-2"/>
        </patternFill>
      </fill>
    </dxf>
    <dxf>
      <font>
        <color theme="0"/>
      </font>
      <fill>
        <patternFill patternType="none">
          <bgColor auto="1"/>
        </patternFill>
      </fill>
    </dxf>
    <dxf>
      <border>
        <bottom style="thin">
          <color auto="1"/>
        </bottom>
        <vertical/>
        <horizontal/>
      </border>
    </dxf>
    <dxf>
      <fill>
        <patternFill>
          <bgColor theme="0" tint="-4.9989318521683403E-2"/>
        </patternFill>
      </fill>
    </dxf>
    <dxf>
      <fill>
        <patternFill>
          <bgColor theme="0" tint="-4.9989318521683403E-2"/>
        </patternFill>
      </fill>
    </dxf>
    <dxf>
      <border>
        <bottom style="thin">
          <color auto="1"/>
        </bottom>
        <vertical/>
        <horizontal/>
      </border>
    </dxf>
    <dxf>
      <font>
        <color theme="0"/>
      </font>
      <fill>
        <patternFill patternType="none">
          <bgColor auto="1"/>
        </patternFill>
      </fill>
    </dxf>
    <dxf>
      <border>
        <bottom style="thin">
          <color auto="1"/>
        </bottom>
        <vertical/>
        <horizontal/>
      </border>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0000FF"/>
      <color rgb="FF57B7C3"/>
      <color rgb="FFC7C6C7"/>
      <color rgb="FF142D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180268</xdr:colOff>
      <xdr:row>5</xdr:row>
      <xdr:rowOff>161862</xdr:rowOff>
    </xdr:from>
    <xdr:to>
      <xdr:col>19</xdr:col>
      <xdr:colOff>959768</xdr:colOff>
      <xdr:row>29</xdr:row>
      <xdr:rowOff>42332</xdr:rowOff>
    </xdr:to>
    <xdr:pic>
      <xdr:nvPicPr>
        <xdr:cNvPr id="2" name="Picture 1">
          <a:extLst>
            <a:ext uri="{FF2B5EF4-FFF2-40B4-BE49-F238E27FC236}">
              <a16:creationId xmlns:a16="http://schemas.microsoft.com/office/drawing/2014/main" id="{030F41B8-8B48-4DBD-8FB5-8F2390907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23768" y="1093195"/>
          <a:ext cx="7605750" cy="43148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21167</xdr:colOff>
      <xdr:row>0</xdr:row>
      <xdr:rowOff>162981</xdr:rowOff>
    </xdr:from>
    <xdr:to>
      <xdr:col>7</xdr:col>
      <xdr:colOff>595691</xdr:colOff>
      <xdr:row>25</xdr:row>
      <xdr:rowOff>74083</xdr:rowOff>
    </xdr:to>
    <xdr:sp macro="" textlink="">
      <xdr:nvSpPr>
        <xdr:cNvPr id="9" name="TextBox 8">
          <a:extLst>
            <a:ext uri="{FF2B5EF4-FFF2-40B4-BE49-F238E27FC236}">
              <a16:creationId xmlns:a16="http://schemas.microsoft.com/office/drawing/2014/main" id="{BFE2062B-224D-4F55-89A2-BADA68B7510D}"/>
            </a:ext>
          </a:extLst>
        </xdr:cNvPr>
        <xdr:cNvSpPr txBox="1"/>
      </xdr:nvSpPr>
      <xdr:spPr>
        <a:xfrm>
          <a:off x="635000" y="162981"/>
          <a:ext cx="4257524" cy="4144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Summary:</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TI's &amp; LC's for DaVita's Initial Premise and Expansion Premise in 164 Mount Pleasant have been upfronted in the Total Development Cost. Legal Costs have been added directly to Total Development Costs for 164 Mt Pleasant. LC calculation for DaVita can be found in the Rent Roll tab.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TI's for Women's Health and AccessPT in 170 Mount Pleasant have been upfronted in the Total Development Cost.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Earnout's for Women's Health and AccessPT have been upfronted in the Total Development Cost per the AH-WT Seeded JV and Term Sheet.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Closing Costs represent those listed under Sources &amp; Uses under Schedule 1 of the AH-WT Membership Interest Purchase Agreement.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Welltower contributed 100% of the Preferred Equity to the JV while Common Equity was split 95% Welltower, 5% Aspect Health for a final blended allocation of 98.25% Welltower, 1.75% Aspect Health.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The Preferred Equity balance, which acts as synthetic debt, does not decrease over time and is subject to a 4% "Interest Rate" so debt service is flat at $2,687,487 for all years of the holding period.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Total Cost of Sale of 3.85% - Transfer Tax (State + Local) 2.25%, Legal, Title, and Other 0.75%, Brokerage Fee 0.85%. </a:t>
          </a:r>
          <a:endParaRPr lang="en-US" sz="1100" b="0" i="0" u="none" strike="noStrike" baseline="0">
            <a:solidFill>
              <a:srgbClr val="FF0000"/>
            </a:solidFill>
            <a:effectLst/>
            <a:latin typeface="+mn-lt"/>
            <a:ea typeface="+mn-ea"/>
            <a:cs typeface="+mn-cs"/>
          </a:endParaRPr>
        </a:p>
      </xdr:txBody>
    </xdr:sp>
    <xdr:clientData/>
  </xdr:twoCellAnchor>
  <xdr:twoCellAnchor>
    <xdr:from>
      <xdr:col>1</xdr:col>
      <xdr:colOff>41941</xdr:colOff>
      <xdr:row>26</xdr:row>
      <xdr:rowOff>74082</xdr:rowOff>
    </xdr:from>
    <xdr:to>
      <xdr:col>8</xdr:col>
      <xdr:colOff>2631</xdr:colOff>
      <xdr:row>55</xdr:row>
      <xdr:rowOff>84666</xdr:rowOff>
    </xdr:to>
    <xdr:sp macro="" textlink="">
      <xdr:nvSpPr>
        <xdr:cNvPr id="10" name="TextBox 9">
          <a:extLst>
            <a:ext uri="{FF2B5EF4-FFF2-40B4-BE49-F238E27FC236}">
              <a16:creationId xmlns:a16="http://schemas.microsoft.com/office/drawing/2014/main" id="{4F783EBE-8F34-41B7-BAD9-A48E90B01D1B}"/>
            </a:ext>
          </a:extLst>
        </xdr:cNvPr>
        <xdr:cNvSpPr txBox="1"/>
      </xdr:nvSpPr>
      <xdr:spPr>
        <a:xfrm>
          <a:off x="655774" y="4476749"/>
          <a:ext cx="4257524" cy="492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Portfolio-Level CF: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Portfolio-Level Cash Flow rolls-up from each individual property.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Going-In Cap Rate at Sale in Year 1 of 5.04% represents the Cap Rate taking into account the Total Development Cost of the Portfolio Sale. Note that this is also the case for individual properties. Column L of the Total Development Cost Summary chart on the Summary sheet details the Going-In Cap Rates by property.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Cap Rate for the Portfolio in subsequent years is calculated by first taking NOI for each individual property and dividing it by its respective initial Purchase Price Cap Rate, which is represented in Column L of the Purchase Price Summary chart on the Summary sheet, in order to calculate a Sale Price. A 3.85% Cost of Sale Tax representing Transfer Tax, Closing Costs, and Broker Fees is taken in order to calculate a net sale price. Next the individual property's Net Sale Prices are rolled-up to compute a total Portfolio Sale Price. Portfolio NOI is then divided by Portfolio Net Sale Price to calculate a Portfolio Cap Rate.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Implied Exit Cap Rate allows a visualization of the accretive or dilutive cap spread change by Sale Year. As an example, Year 1 NOI represents a 5.04% Cap Rate based on Sale Price. Taking the Year 10 NOI into Year Sale Price represents a Cap Rate of 6.34% indicating that a Cap Rate spread of 1.07% representing profit or value creation.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Aspect Health is paid a 0.25% Asset Management Fee. </a:t>
          </a: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endParaRPr lang="en-US" sz="1100" b="1" i="0" u="none" strike="noStrike" baseline="0">
            <a:solidFill>
              <a:schemeClr val="dk1"/>
            </a:solidFill>
            <a:effectLst/>
            <a:latin typeface="+mn-lt"/>
            <a:ea typeface="+mn-ea"/>
            <a:cs typeface="+mn-cs"/>
          </a:endParaRPr>
        </a:p>
      </xdr:txBody>
    </xdr:sp>
    <xdr:clientData/>
  </xdr:twoCellAnchor>
  <xdr:twoCellAnchor>
    <xdr:from>
      <xdr:col>8</xdr:col>
      <xdr:colOff>198190</xdr:colOff>
      <xdr:row>0</xdr:row>
      <xdr:rowOff>164460</xdr:rowOff>
    </xdr:from>
    <xdr:to>
      <xdr:col>15</xdr:col>
      <xdr:colOff>571631</xdr:colOff>
      <xdr:row>5</xdr:row>
      <xdr:rowOff>158750</xdr:rowOff>
    </xdr:to>
    <xdr:sp macro="" textlink="">
      <xdr:nvSpPr>
        <xdr:cNvPr id="7" name="TextBox 6">
          <a:extLst>
            <a:ext uri="{FF2B5EF4-FFF2-40B4-BE49-F238E27FC236}">
              <a16:creationId xmlns:a16="http://schemas.microsoft.com/office/drawing/2014/main" id="{346F0E94-F32E-4290-A344-31B6D442D930}"/>
            </a:ext>
          </a:extLst>
        </xdr:cNvPr>
        <xdr:cNvSpPr txBox="1"/>
      </xdr:nvSpPr>
      <xdr:spPr>
        <a:xfrm>
          <a:off x="5108857" y="164460"/>
          <a:ext cx="4257524" cy="840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2 Riverview: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 TI's/LC's as no leases expire during the analysis period. Note that the first leases that expire are MotionPT and DRA in 2032. </a:t>
          </a:r>
        </a:p>
      </xdr:txBody>
    </xdr:sp>
    <xdr:clientData/>
  </xdr:twoCellAnchor>
  <xdr:twoCellAnchor>
    <xdr:from>
      <xdr:col>9</xdr:col>
      <xdr:colOff>0</xdr:colOff>
      <xdr:row>6</xdr:row>
      <xdr:rowOff>148167</xdr:rowOff>
    </xdr:from>
    <xdr:to>
      <xdr:col>15</xdr:col>
      <xdr:colOff>574524</xdr:colOff>
      <xdr:row>11</xdr:row>
      <xdr:rowOff>116417</xdr:rowOff>
    </xdr:to>
    <xdr:sp macro="" textlink="">
      <xdr:nvSpPr>
        <xdr:cNvPr id="12" name="TextBox 11">
          <a:extLst>
            <a:ext uri="{FF2B5EF4-FFF2-40B4-BE49-F238E27FC236}">
              <a16:creationId xmlns:a16="http://schemas.microsoft.com/office/drawing/2014/main" id="{A2091C7C-5A11-4B38-9448-2716F74AEEDC}"/>
            </a:ext>
          </a:extLst>
        </xdr:cNvPr>
        <xdr:cNvSpPr txBox="1"/>
      </xdr:nvSpPr>
      <xdr:spPr>
        <a:xfrm>
          <a:off x="5111750" y="1164167"/>
          <a:ext cx="4257524" cy="814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40 ORR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 TI's/LC's as no leases expire during the analysis period. Note that the first leases to expire are Somers and Alliance Healthcare in 2034.  </a:t>
          </a:r>
        </a:p>
      </xdr:txBody>
    </xdr:sp>
    <xdr:clientData/>
  </xdr:twoCellAnchor>
  <xdr:twoCellAnchor>
    <xdr:from>
      <xdr:col>9</xdr:col>
      <xdr:colOff>10584</xdr:colOff>
      <xdr:row>12</xdr:row>
      <xdr:rowOff>105833</xdr:rowOff>
    </xdr:from>
    <xdr:to>
      <xdr:col>15</xdr:col>
      <xdr:colOff>585108</xdr:colOff>
      <xdr:row>17</xdr:row>
      <xdr:rowOff>105833</xdr:rowOff>
    </xdr:to>
    <xdr:sp macro="" textlink="">
      <xdr:nvSpPr>
        <xdr:cNvPr id="13" name="TextBox 12">
          <a:extLst>
            <a:ext uri="{FF2B5EF4-FFF2-40B4-BE49-F238E27FC236}">
              <a16:creationId xmlns:a16="http://schemas.microsoft.com/office/drawing/2014/main" id="{A4B1C400-A7A9-431E-B942-3F6092726007}"/>
            </a:ext>
          </a:extLst>
        </xdr:cNvPr>
        <xdr:cNvSpPr txBox="1"/>
      </xdr:nvSpPr>
      <xdr:spPr>
        <a:xfrm>
          <a:off x="5122334" y="2137833"/>
          <a:ext cx="4257524" cy="846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226 White St</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 TI's/LC's as no leases expire during the analysis period. Note that WCOSC lease does note expire until 2037. </a:t>
          </a:r>
        </a:p>
      </xdr:txBody>
    </xdr:sp>
    <xdr:clientData/>
  </xdr:twoCellAnchor>
  <xdr:twoCellAnchor>
    <xdr:from>
      <xdr:col>9</xdr:col>
      <xdr:colOff>10583</xdr:colOff>
      <xdr:row>18</xdr:row>
      <xdr:rowOff>105833</xdr:rowOff>
    </xdr:from>
    <xdr:to>
      <xdr:col>15</xdr:col>
      <xdr:colOff>585107</xdr:colOff>
      <xdr:row>31</xdr:row>
      <xdr:rowOff>21167</xdr:rowOff>
    </xdr:to>
    <xdr:sp macro="" textlink="">
      <xdr:nvSpPr>
        <xdr:cNvPr id="14" name="TextBox 13">
          <a:extLst>
            <a:ext uri="{FF2B5EF4-FFF2-40B4-BE49-F238E27FC236}">
              <a16:creationId xmlns:a16="http://schemas.microsoft.com/office/drawing/2014/main" id="{6EB25C40-9AD6-4832-9B0A-6D5C26C3340D}"/>
            </a:ext>
          </a:extLst>
        </xdr:cNvPr>
        <xdr:cNvSpPr txBox="1"/>
      </xdr:nvSpPr>
      <xdr:spPr>
        <a:xfrm>
          <a:off x="5122333" y="3153833"/>
          <a:ext cx="4257524" cy="2116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131 Kent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TI's/LC's of $32K in Year 3 as Ivy Medical lease expires. TI's/LC's of $394K in Year 4 as SelectPT lease expires. TI's/LC's of $460K in Year 6 as Danbury Hospital lease expires. TI's/LC's of $360K and $222K  in Year 9 and Year 10, respectivly  ASC and Pain Management leases expire.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Note that Danbury Hospital has indicated that they will not renew their lease so a new tenant will fill their space upon lease expiration. </a:t>
          </a:r>
          <a:r>
            <a:rPr lang="en-US" sz="1100" b="1" i="0" u="none" strike="noStrike" baseline="0">
              <a:solidFill>
                <a:schemeClr val="dk1"/>
              </a:solidFill>
              <a:effectLst/>
              <a:latin typeface="+mn-lt"/>
              <a:ea typeface="+mn-ea"/>
              <a:cs typeface="+mn-cs"/>
            </a:rPr>
            <a:t>They have a $117K TI Buildout Credit that if it is never used, can be extra funds applied to a new tenant.  </a:t>
          </a:r>
        </a:p>
      </xdr:txBody>
    </xdr:sp>
    <xdr:clientData/>
  </xdr:twoCellAnchor>
  <xdr:twoCellAnchor>
    <xdr:from>
      <xdr:col>9</xdr:col>
      <xdr:colOff>20662</xdr:colOff>
      <xdr:row>31</xdr:row>
      <xdr:rowOff>149176</xdr:rowOff>
    </xdr:from>
    <xdr:to>
      <xdr:col>15</xdr:col>
      <xdr:colOff>595186</xdr:colOff>
      <xdr:row>47</xdr:row>
      <xdr:rowOff>119944</xdr:rowOff>
    </xdr:to>
    <xdr:sp macro="" textlink="">
      <xdr:nvSpPr>
        <xdr:cNvPr id="15" name="TextBox 14">
          <a:extLst>
            <a:ext uri="{FF2B5EF4-FFF2-40B4-BE49-F238E27FC236}">
              <a16:creationId xmlns:a16="http://schemas.microsoft.com/office/drawing/2014/main" id="{11EB2C11-0118-4917-9408-FABF6AB36981}"/>
            </a:ext>
          </a:extLst>
        </xdr:cNvPr>
        <xdr:cNvSpPr txBox="1"/>
      </xdr:nvSpPr>
      <xdr:spPr>
        <a:xfrm>
          <a:off x="5132412" y="5398509"/>
          <a:ext cx="4257524" cy="26801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164 Mt Pleasant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TI's/LC's of $105K in Year 9 as Eye Care of Danbury Lease Expires. TI's/LC's of $214K in Year 10 as Pain Management lease expires.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Note that DaVita recently executed a new lease amendment which extended the term on their lease of the Initial Premise to 2036. Additionally, they leased a new space, the "Expansion Space" until 2036. TI's/LC's for these new leases have been upfronted in Total Development cost per AH-WT agreement. </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Note that the Cap Rate spread from Year 1 to Year 2 is due to lower NOI in Year 1 due to free rent for Pain Management and DaVita and the inclusion of TI/LC in Total Development Cost in Year 1. </a:t>
          </a:r>
          <a:r>
            <a:rPr lang="en-US" sz="1100" b="1" i="0" u="none" strike="noStrike" baseline="0">
              <a:solidFill>
                <a:sysClr val="windowText" lastClr="000000"/>
              </a:solidFill>
              <a:effectLst/>
              <a:latin typeface="+mn-lt"/>
              <a:ea typeface="+mn-ea"/>
              <a:cs typeface="+mn-cs"/>
            </a:rPr>
            <a:t>Note that a manual 5.30% Exit Cap Rate from Year 2 onward has been used. </a:t>
          </a:r>
        </a:p>
      </xdr:txBody>
    </xdr:sp>
    <xdr:clientData/>
  </xdr:twoCellAnchor>
  <xdr:twoCellAnchor>
    <xdr:from>
      <xdr:col>9</xdr:col>
      <xdr:colOff>21166</xdr:colOff>
      <xdr:row>48</xdr:row>
      <xdr:rowOff>73580</xdr:rowOff>
    </xdr:from>
    <xdr:to>
      <xdr:col>15</xdr:col>
      <xdr:colOff>595690</xdr:colOff>
      <xdr:row>60</xdr:row>
      <xdr:rowOff>38304</xdr:rowOff>
    </xdr:to>
    <xdr:sp macro="" textlink="">
      <xdr:nvSpPr>
        <xdr:cNvPr id="16" name="TextBox 15">
          <a:extLst>
            <a:ext uri="{FF2B5EF4-FFF2-40B4-BE49-F238E27FC236}">
              <a16:creationId xmlns:a16="http://schemas.microsoft.com/office/drawing/2014/main" id="{6051EE5D-CD42-4AAC-A1E7-8027DED82058}"/>
            </a:ext>
          </a:extLst>
        </xdr:cNvPr>
        <xdr:cNvSpPr txBox="1"/>
      </xdr:nvSpPr>
      <xdr:spPr>
        <a:xfrm>
          <a:off x="5132916" y="8201580"/>
          <a:ext cx="4257524" cy="1996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170 Mt Pleasant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 TI's/LC's during the analysis period as AccessPT and Women's Health TI's have been upfronted under Total Development Cost. LC's are also not included as they were paid for by the seller.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Earnout's for Women's Health and AccessPT have been upfronted in the Total Development Cost per the AH-WT Seeded JV and Term Sheet. Note that the Cap Rate spread from Year 1 to Year 2 is due primarily to the inclusion of the $2,284K of Earnouts. </a:t>
          </a:r>
          <a:r>
            <a:rPr lang="en-US" sz="1100" b="1" i="0" baseline="0">
              <a:solidFill>
                <a:schemeClr val="dk1"/>
              </a:solidFill>
              <a:effectLst/>
              <a:latin typeface="+mn-lt"/>
              <a:ea typeface="+mn-ea"/>
              <a:cs typeface="+mn-cs"/>
            </a:rPr>
            <a:t>Note that a manual 5.30% Exit Cap Rate from Year 2 onward has been used. </a:t>
          </a:r>
          <a:endParaRPr lang="en-US" sz="1100" b="1">
            <a:solidFill>
              <a:sysClr val="windowText" lastClr="000000"/>
            </a:solidFill>
            <a:effectLst/>
          </a:endParaRP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xdr:txBody>
    </xdr:sp>
    <xdr:clientData/>
  </xdr:twoCellAnchor>
  <xdr:twoCellAnchor>
    <xdr:from>
      <xdr:col>16</xdr:col>
      <xdr:colOff>148167</xdr:colOff>
      <xdr:row>1</xdr:row>
      <xdr:rowOff>10584</xdr:rowOff>
    </xdr:from>
    <xdr:to>
      <xdr:col>23</xdr:col>
      <xdr:colOff>108857</xdr:colOff>
      <xdr:row>10</xdr:row>
      <xdr:rowOff>74084</xdr:rowOff>
    </xdr:to>
    <xdr:sp macro="" textlink="">
      <xdr:nvSpPr>
        <xdr:cNvPr id="18" name="TextBox 17">
          <a:extLst>
            <a:ext uri="{FF2B5EF4-FFF2-40B4-BE49-F238E27FC236}">
              <a16:creationId xmlns:a16="http://schemas.microsoft.com/office/drawing/2014/main" id="{9B75F764-E506-43F6-B940-C6BAF6A2123A}"/>
            </a:ext>
          </a:extLst>
        </xdr:cNvPr>
        <xdr:cNvSpPr txBox="1"/>
      </xdr:nvSpPr>
      <xdr:spPr>
        <a:xfrm>
          <a:off x="9556750" y="179917"/>
          <a:ext cx="3844774" cy="158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JV Waterfall: </a:t>
          </a:r>
        </a:p>
        <a:p>
          <a:endParaRPr lang="en-US" sz="1100" b="1" i="0" u="none" strike="noStrike" baseline="0">
            <a:solidFill>
              <a:schemeClr val="dk1"/>
            </a:solidFill>
            <a:effectLst/>
            <a:latin typeface="+mn-lt"/>
            <a:ea typeface="+mn-ea"/>
            <a:cs typeface="+mn-cs"/>
          </a:endParaRP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Note that CF's for the Recapitalization Waterfall roll-up from the Portfolio-Level CF which roll-up from Property-Level CF's.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Equity Multiple and IRR returns match those calculated in the Portfolio-Level CF tab and those shown on the Summary tab. </a:t>
          </a:r>
        </a:p>
        <a:p>
          <a:pPr marL="171450" indent="-171450">
            <a:buFont typeface="Arial" panose="020B0604020202020204" pitchFamily="34" charset="0"/>
            <a:buChar char="•"/>
          </a:pPr>
          <a:r>
            <a:rPr lang="en-US" sz="1100" b="0" i="0" u="none" strike="noStrike" baseline="0">
              <a:solidFill>
                <a:schemeClr val="dk1"/>
              </a:solidFill>
              <a:effectLst/>
              <a:latin typeface="+mn-lt"/>
              <a:ea typeface="+mn-ea"/>
              <a:cs typeface="+mn-cs"/>
            </a:rPr>
            <a:t>Returns for the Portfolio Sale are </a:t>
          </a:r>
          <a:r>
            <a:rPr lang="en-US" sz="1100" b="0" i="1" u="none" strike="noStrike" baseline="0">
              <a:solidFill>
                <a:schemeClr val="dk1"/>
              </a:solidFill>
              <a:effectLst/>
              <a:latin typeface="+mn-lt"/>
              <a:ea typeface="+mn-ea"/>
              <a:cs typeface="+mn-cs"/>
            </a:rPr>
            <a:t>parri-passu </a:t>
          </a:r>
          <a:r>
            <a:rPr lang="en-US" sz="1100" b="0" i="0" u="none" strike="noStrike" baseline="0">
              <a:solidFill>
                <a:schemeClr val="dk1"/>
              </a:solidFill>
              <a:effectLst/>
              <a:latin typeface="+mn-lt"/>
              <a:ea typeface="+mn-ea"/>
              <a:cs typeface="+mn-cs"/>
            </a:rPr>
            <a:t>at 95% for Welltower and 5% for Aspect Health. </a:t>
          </a:r>
          <a:endParaRPr lang="en-US" sz="1100" b="0" i="1" u="none" strike="noStrike" baseline="0">
            <a:solidFill>
              <a:schemeClr val="dk1"/>
            </a:solidFill>
            <a:effectLst/>
            <a:latin typeface="+mn-lt"/>
            <a:ea typeface="+mn-ea"/>
            <a:cs typeface="+mn-cs"/>
          </a:endParaRPr>
        </a:p>
      </xdr:txBody>
    </xdr:sp>
    <xdr:clientData/>
  </xdr:twoCellAnchor>
  <xdr:twoCellAnchor>
    <xdr:from>
      <xdr:col>16</xdr:col>
      <xdr:colOff>158750</xdr:colOff>
      <xdr:row>11</xdr:row>
      <xdr:rowOff>21165</xdr:rowOff>
    </xdr:from>
    <xdr:to>
      <xdr:col>23</xdr:col>
      <xdr:colOff>119440</xdr:colOff>
      <xdr:row>60</xdr:row>
      <xdr:rowOff>42333</xdr:rowOff>
    </xdr:to>
    <xdr:sp macro="" textlink="">
      <xdr:nvSpPr>
        <xdr:cNvPr id="19" name="TextBox 18">
          <a:extLst>
            <a:ext uri="{FF2B5EF4-FFF2-40B4-BE49-F238E27FC236}">
              <a16:creationId xmlns:a16="http://schemas.microsoft.com/office/drawing/2014/main" id="{DF1B76BD-2D9D-4BA5-9DA6-16A145730900}"/>
            </a:ext>
          </a:extLst>
        </xdr:cNvPr>
        <xdr:cNvSpPr txBox="1"/>
      </xdr:nvSpPr>
      <xdr:spPr>
        <a:xfrm>
          <a:off x="9567333" y="1883832"/>
          <a:ext cx="3844774" cy="8318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Cash Flow Dump - 131 Kent, 164 + 170 Mount Pleasant </a:t>
          </a:r>
        </a:p>
        <a:p>
          <a:endParaRPr lang="en-US" sz="1100" b="1" i="0" u="none" strike="noStrike" baseline="0">
            <a:solidFill>
              <a:schemeClr val="dk1"/>
            </a:solidFill>
            <a:effectLst/>
            <a:latin typeface="+mn-lt"/>
            <a:ea typeface="+mn-ea"/>
            <a:cs typeface="+mn-cs"/>
          </a:endParaRPr>
        </a:p>
        <a:p>
          <a:r>
            <a:rPr lang="en-US" sz="1100" b="1" i="0" u="none" strike="noStrike" baseline="0">
              <a:solidFill>
                <a:sysClr val="windowText" lastClr="000000"/>
              </a:solidFill>
              <a:effectLst/>
              <a:latin typeface="+mn-lt"/>
              <a:ea typeface="+mn-ea"/>
              <a:cs typeface="+mn-cs"/>
            </a:rPr>
            <a:t>131 Kent ARGUS Assumptions: </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Danbury Hospital Renewal at 0%</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Danbury Space Base Rent reset from $34.64 to $26.58</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Months Vacant at 6 Months.</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New TI's @ $75 RSF, Renewal TI's at $25 RSF </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New and Renewal LC's @ 5% Year 1-5, 2.5% Year 6-10. </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No Free Rent on New Leases</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85% Tenant Renewal Probabilities</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558 SF Vacant Space Lease Begins July 2022 @ Market Rate</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Vacancy Loss Collection @ 5% - 0% for OrthoConnecticut &amp; Danbury Hospital</a:t>
          </a:r>
        </a:p>
        <a:p>
          <a:pPr marL="171450" indent="-171450">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New Rent at $26.58 with 2% Rent Escalators.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5 Year New Leases</a:t>
          </a:r>
          <a:endParaRPr lang="en-US" sz="1100" b="0" i="0" u="none" strike="noStrike" baseline="0">
            <a:solidFill>
              <a:sysClr val="windowText" lastClr="000000"/>
            </a:solidFill>
            <a:effectLst/>
            <a:latin typeface="+mn-lt"/>
            <a:ea typeface="+mn-ea"/>
            <a:cs typeface="+mn-cs"/>
          </a:endParaRPr>
        </a:p>
        <a:p>
          <a:pPr marL="171450" indent="-171450">
            <a:buFont typeface="Arial" panose="020B0604020202020204" pitchFamily="34" charset="0"/>
            <a:buChar char="•"/>
          </a:pPr>
          <a:endParaRPr lang="en-US" sz="1100" b="0" i="0" u="none" strike="noStrike" baseline="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i="0" baseline="0">
              <a:solidFill>
                <a:sysClr val="windowText" lastClr="000000"/>
              </a:solidFill>
              <a:effectLst/>
              <a:latin typeface="+mn-lt"/>
              <a:ea typeface="+mn-ea"/>
              <a:cs typeface="+mn-cs"/>
            </a:rPr>
            <a:t>164 Mt Pleasant ARGUS Assumptions: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Vacancy Loss Collection @ 5.0% - 0% for DaVita and Pro Health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Pain Management 18 Months Free Rent, Lease Commence 12/1/2021</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DaVita Expansion Space 6 Months Free Rent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New Rent at $27.35 with 2% Rent Escalators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Months Vacant at 6 Months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No Free Rent on New Leases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85% Tenant Renewal Probabilities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New TI's @ $75 RSF, Renewal TI's at $25 RSF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New and Renewal LC's @ 5% Year 1-5, 2.5% Year 6-10.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DaVita TI/LC/Legal Upfronted in Total Development Cost, Not Included in Year 1 CF</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ysClr val="windowText" lastClr="000000"/>
              </a:solidFill>
              <a:effectLst/>
              <a:latin typeface="+mn-lt"/>
              <a:ea typeface="+mn-ea"/>
              <a:cs typeface="+mn-cs"/>
            </a:rPr>
            <a:t>Includes New DaVita and Pain Management Leases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5 Year New Leases</a:t>
          </a:r>
          <a:endParaRPr lang="en-US">
            <a:solidFill>
              <a:sysClr val="windowText" lastClr="000000"/>
            </a:solidFill>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solidFill>
              <a:sysClr val="windowText" lastClr="000000"/>
            </a:solidFill>
            <a:effectLst/>
          </a:endParaRPr>
        </a:p>
        <a:p>
          <a:pPr eaLnBrk="1" fontAlgn="auto" latinLnBrk="0" hangingPunct="1"/>
          <a:r>
            <a:rPr lang="en-US" sz="1100" b="1" i="0" baseline="0">
              <a:solidFill>
                <a:sysClr val="windowText" lastClr="000000"/>
              </a:solidFill>
              <a:effectLst/>
              <a:latin typeface="+mn-lt"/>
              <a:ea typeface="+mn-ea"/>
              <a:cs typeface="+mn-cs"/>
            </a:rPr>
            <a:t>170 Mt Pleasant ARGUS Assumptions: </a:t>
          </a:r>
          <a:endParaRPr lang="en-US">
            <a:solidFill>
              <a:sysClr val="windowText" lastClr="000000"/>
            </a:solidFill>
            <a:effectLst/>
          </a:endParaRPr>
        </a:p>
        <a:p>
          <a:pPr marL="171450" indent="-171450" eaLnBrk="1" fontAlgn="auto" latinLnBrk="0" hangingPunct="1">
            <a:buFont typeface="Arial" panose="020B0604020202020204" pitchFamily="34" charset="0"/>
            <a:buChar char="•"/>
          </a:pPr>
          <a:r>
            <a:rPr lang="en-US" sz="1100" baseline="0">
              <a:solidFill>
                <a:sysClr val="windowText" lastClr="000000"/>
              </a:solidFill>
              <a:effectLst/>
              <a:latin typeface="+mn-lt"/>
              <a:ea typeface="+mn-ea"/>
              <a:cs typeface="+mn-cs"/>
            </a:rPr>
            <a:t>Vacancy Loss Collection @ 5.0% - 0% for Western Connecticut Medical Group</a:t>
          </a:r>
        </a:p>
        <a:p>
          <a:pPr marL="171450" indent="-171450" eaLnBrk="1" fontAlgn="auto" latinLnBrk="0" hangingPunct="1">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Includes Women's Health Lease - 2/01/2022 Start Date</a:t>
          </a:r>
        </a:p>
        <a:p>
          <a:pPr marL="171450" indent="-171450" eaLnBrk="1" fontAlgn="auto" latinLnBrk="0" hangingPunct="1">
            <a:buFont typeface="Arial" panose="020B0604020202020204" pitchFamily="34" charset="0"/>
            <a:buChar char="•"/>
          </a:pPr>
          <a:r>
            <a:rPr lang="en-US" sz="1100" b="0" i="0" u="none" strike="noStrike" baseline="0">
              <a:solidFill>
                <a:sysClr val="windowText" lastClr="000000"/>
              </a:solidFill>
              <a:effectLst/>
              <a:latin typeface="+mn-lt"/>
              <a:ea typeface="+mn-ea"/>
              <a:cs typeface="+mn-cs"/>
            </a:rPr>
            <a:t>Includes AccessPT Lease - 10/01/2021 Start Date </a:t>
          </a:r>
        </a:p>
        <a:p>
          <a:pPr marL="171450" indent="-171450" eaLnBrk="1" fontAlgn="auto" latinLnBrk="0" hangingPunct="1">
            <a:buFont typeface="Arial" panose="020B0604020202020204" pitchFamily="34" charset="0"/>
            <a:buChar char="•"/>
          </a:pPr>
          <a:r>
            <a:rPr lang="en-US" sz="1100" baseline="0">
              <a:solidFill>
                <a:sysClr val="windowText" lastClr="000000"/>
              </a:solidFill>
              <a:effectLst/>
              <a:latin typeface="+mn-lt"/>
              <a:ea typeface="+mn-ea"/>
              <a:cs typeface="+mn-cs"/>
            </a:rPr>
            <a:t>Months Vacant at 6 Months </a:t>
          </a:r>
          <a:endParaRPr lang="en-US" sz="1100">
            <a:solidFill>
              <a:sysClr val="windowText" lastClr="000000"/>
            </a:solidFill>
            <a:effectLst/>
          </a:endParaRPr>
        </a:p>
        <a:p>
          <a:pPr marL="171450" indent="-171450" eaLnBrk="1" fontAlgn="auto" latinLnBrk="0" hangingPunct="1">
            <a:buFont typeface="Arial" panose="020B0604020202020204" pitchFamily="34" charset="0"/>
            <a:buChar char="•"/>
          </a:pPr>
          <a:r>
            <a:rPr lang="en-US" sz="1100" baseline="0">
              <a:solidFill>
                <a:sysClr val="windowText" lastClr="000000"/>
              </a:solidFill>
              <a:effectLst/>
              <a:latin typeface="+mn-lt"/>
              <a:ea typeface="+mn-ea"/>
              <a:cs typeface="+mn-cs"/>
            </a:rPr>
            <a:t>No Free Rent on New Leases</a:t>
          </a:r>
          <a:endParaRPr lang="en-US">
            <a:solidFill>
              <a:sysClr val="windowText" lastClr="000000"/>
            </a:solidFill>
            <a:effectLst/>
          </a:endParaRPr>
        </a:p>
        <a:p>
          <a:pPr marL="171450" indent="-171450" eaLnBrk="1" fontAlgn="auto" latinLnBrk="0" hangingPunct="1">
            <a:buFont typeface="Arial" panose="020B0604020202020204" pitchFamily="34" charset="0"/>
            <a:buChar char="•"/>
          </a:pPr>
          <a:r>
            <a:rPr lang="en-US" sz="1100" b="0" i="0" baseline="0">
              <a:solidFill>
                <a:sysClr val="windowText" lastClr="000000"/>
              </a:solidFill>
              <a:effectLst/>
              <a:latin typeface="+mn-lt"/>
              <a:ea typeface="+mn-ea"/>
              <a:cs typeface="+mn-cs"/>
            </a:rPr>
            <a:t>85% Tenant Renewal Probabilities</a:t>
          </a:r>
          <a:endParaRPr lang="en-US">
            <a:solidFill>
              <a:sysClr val="windowText" lastClr="000000"/>
            </a:solidFill>
            <a:effectLst/>
          </a:endParaRPr>
        </a:p>
        <a:p>
          <a:pPr marL="171450" indent="-171450" eaLnBrk="1" fontAlgn="auto" latinLnBrk="0" hangingPunct="1">
            <a:buFont typeface="Arial" panose="020B0604020202020204" pitchFamily="34" charset="0"/>
            <a:buChar char="•"/>
          </a:pPr>
          <a:r>
            <a:rPr lang="en-US" sz="1100" b="0" i="0" baseline="0">
              <a:solidFill>
                <a:sysClr val="windowText" lastClr="000000"/>
              </a:solidFill>
              <a:effectLst/>
              <a:latin typeface="+mn-lt"/>
              <a:ea typeface="+mn-ea"/>
              <a:cs typeface="+mn-cs"/>
            </a:rPr>
            <a:t>New TI's @ $75 RSF, Renewal TI's at $25 RSF </a:t>
          </a:r>
          <a:endParaRPr lang="en-US">
            <a:solidFill>
              <a:sysClr val="windowText" lastClr="000000"/>
            </a:solidFill>
            <a:effectLst/>
          </a:endParaRPr>
        </a:p>
        <a:p>
          <a:pPr marL="171450" indent="-171450" eaLnBrk="1" fontAlgn="auto" latinLnBrk="0" hangingPunct="1">
            <a:buFont typeface="Arial" panose="020B0604020202020204" pitchFamily="34" charset="0"/>
            <a:buChar char="•"/>
          </a:pPr>
          <a:r>
            <a:rPr lang="en-US" sz="1100" b="0" i="0" baseline="0">
              <a:solidFill>
                <a:sysClr val="windowText" lastClr="000000"/>
              </a:solidFill>
              <a:effectLst/>
              <a:latin typeface="+mn-lt"/>
              <a:ea typeface="+mn-ea"/>
              <a:cs typeface="+mn-cs"/>
            </a:rPr>
            <a:t>New and Renewal LC's @ 5% Year 1-5, 2.5% Year 6-10. </a:t>
          </a:r>
        </a:p>
        <a:p>
          <a:pPr marL="171450" indent="-171450" eaLnBrk="1" fontAlgn="auto" latinLnBrk="0" hangingPunct="1">
            <a:buFont typeface="Arial" panose="020B0604020202020204" pitchFamily="34" charset="0"/>
            <a:buChar char="•"/>
          </a:pPr>
          <a:r>
            <a:rPr lang="en-US" sz="1100" b="0" i="0" baseline="0">
              <a:solidFill>
                <a:sysClr val="windowText" lastClr="000000"/>
              </a:solidFill>
              <a:effectLst/>
              <a:latin typeface="+mn-lt"/>
              <a:ea typeface="+mn-ea"/>
              <a:cs typeface="+mn-cs"/>
            </a:rPr>
            <a:t>New Rent at $27.93 with 2% Rent Escalators </a:t>
          </a:r>
        </a:p>
        <a:p>
          <a:pPr marL="171450" indent="-171450" eaLnBrk="1" fontAlgn="auto" latinLnBrk="0" hangingPunct="1">
            <a:buFont typeface="Arial" panose="020B0604020202020204" pitchFamily="34" charset="0"/>
            <a:buChar char="•"/>
          </a:pPr>
          <a:r>
            <a:rPr lang="en-US" sz="1100" b="0" i="0" baseline="0">
              <a:solidFill>
                <a:sysClr val="windowText" lastClr="000000"/>
              </a:solidFill>
              <a:effectLst/>
              <a:latin typeface="+mn-lt"/>
              <a:ea typeface="+mn-ea"/>
              <a:cs typeface="+mn-cs"/>
            </a:rPr>
            <a:t>Women's Health and AccessPT TI's Upfronted in Total Development Cost. LC's Paid by Seller.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5 Year New Leases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Women's Health and Access PT - 12 Months of Free Rent. </a:t>
          </a:r>
          <a:endParaRPr lang="en-US">
            <a:solidFill>
              <a:sysClr val="windowText" lastClr="000000"/>
            </a:solidFill>
            <a:effectLst/>
          </a:endParaRPr>
        </a:p>
        <a:p>
          <a:pPr marL="171450" indent="-171450" eaLnBrk="1" fontAlgn="auto" latinLnBrk="0" hangingPunct="1">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pPr marL="171450" indent="-171450" eaLnBrk="1" fontAlgn="auto" latinLnBrk="0" hangingPunct="1">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xdr:txBody>
    </xdr:sp>
    <xdr:clientData/>
  </xdr:twoCellAnchor>
  <xdr:twoCellAnchor>
    <xdr:from>
      <xdr:col>23</xdr:col>
      <xdr:colOff>328083</xdr:colOff>
      <xdr:row>1</xdr:row>
      <xdr:rowOff>21167</xdr:rowOff>
    </xdr:from>
    <xdr:to>
      <xdr:col>29</xdr:col>
      <xdr:colOff>489857</xdr:colOff>
      <xdr:row>33</xdr:row>
      <xdr:rowOff>85481</xdr:rowOff>
    </xdr:to>
    <xdr:sp macro="" textlink="">
      <xdr:nvSpPr>
        <xdr:cNvPr id="17" name="TextBox 16">
          <a:extLst>
            <a:ext uri="{FF2B5EF4-FFF2-40B4-BE49-F238E27FC236}">
              <a16:creationId xmlns:a16="http://schemas.microsoft.com/office/drawing/2014/main" id="{7926843E-C845-4E01-B8A0-1BC45C1DB4B8}"/>
            </a:ext>
          </a:extLst>
        </xdr:cNvPr>
        <xdr:cNvSpPr txBox="1"/>
      </xdr:nvSpPr>
      <xdr:spPr>
        <a:xfrm>
          <a:off x="13540968" y="192129"/>
          <a:ext cx="3825235" cy="553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mn-lt"/>
              <a:ea typeface="+mn-ea"/>
              <a:cs typeface="+mn-cs"/>
            </a:rPr>
            <a:t>Cash Flow Dump - 2 Riverview, 226 White St, 40 ORR</a:t>
          </a:r>
        </a:p>
        <a:p>
          <a:endParaRPr lang="en-US" sz="1100" b="0" i="0" u="none" strike="noStrike" baseline="0">
            <a:solidFill>
              <a:schemeClr val="dk1"/>
            </a:solidFill>
            <a:effectLst/>
            <a:latin typeface="+mn-lt"/>
            <a:ea typeface="+mn-ea"/>
            <a:cs typeface="+mn-cs"/>
          </a:endParaRPr>
        </a:p>
        <a:p>
          <a:r>
            <a:rPr lang="en-US" sz="1100" b="1" i="0" baseline="0">
              <a:solidFill>
                <a:schemeClr val="dk1"/>
              </a:solidFill>
              <a:effectLst/>
              <a:latin typeface="+mn-lt"/>
              <a:ea typeface="+mn-ea"/>
              <a:cs typeface="+mn-cs"/>
            </a:rPr>
            <a:t>2 Riverview ARGUS Assumptions: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Months Vacant at 6 Months.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TI's @ $75 RSF, Renewal TI's at $25 RSF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and Renewal LC's @ 5% Year 1-5, 2.5% Year 6-10.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No Free Rent on New Leases</a:t>
          </a:r>
        </a:p>
        <a:p>
          <a:pPr marL="171450" indent="-171450">
            <a:buFont typeface="Arial" panose="020B0604020202020204" pitchFamily="34" charset="0"/>
            <a:buChar char="•"/>
          </a:pPr>
          <a:r>
            <a:rPr lang="en-US" sz="1100" b="0" i="0" baseline="0">
              <a:solidFill>
                <a:schemeClr val="dk1"/>
              </a:solidFill>
              <a:effectLst/>
              <a:latin typeface="+mn-lt"/>
              <a:ea typeface="+mn-ea"/>
              <a:cs typeface="+mn-cs"/>
            </a:rPr>
            <a:t>5 Year New Leases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85% Tenant Renewal Probabilities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Credit Loss Collection @ 1% - 0% for OrthoConnecticut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Rent at $31.20 with 2% Rent Escalators.</a:t>
          </a:r>
          <a:endParaRPr lang="en-US">
            <a:effectLst/>
          </a:endParaRPr>
        </a:p>
        <a:p>
          <a:pPr marL="171450" indent="-171450" eaLnBrk="1" fontAlgn="auto" latinLnBrk="0" hangingPunct="1">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r>
            <a:rPr lang="en-US" sz="1100" b="1" i="0" baseline="0">
              <a:solidFill>
                <a:schemeClr val="dk1"/>
              </a:solidFill>
              <a:effectLst/>
              <a:latin typeface="+mn-lt"/>
              <a:ea typeface="+mn-ea"/>
              <a:cs typeface="+mn-cs"/>
            </a:rPr>
            <a:t>226 White St ARGUS Assumptions: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Months Vacant at 6 Months.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TI's @ $75 RSF, Renewal TI's at $25 RSF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and Renewal LC's @ 5% Year 1-5, 2.5% Year 6-10.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No Free Rent on New Leases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90% Tenant Renewal Probabilities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Vacancy Loss Collection @ 0%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Rent at $21.83 with 2% Rent Escalators.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5 Year New Leases</a:t>
          </a:r>
          <a:endParaRPr lang="en-US" sz="1100">
            <a:effectLst/>
          </a:endParaRPr>
        </a:p>
        <a:p>
          <a:endParaRPr lang="en-US" sz="1100" b="0" i="0" u="none" strike="noStrike" baseline="0">
            <a:solidFill>
              <a:schemeClr val="dk1"/>
            </a:solidFill>
            <a:effectLst/>
            <a:latin typeface="+mn-lt"/>
            <a:ea typeface="+mn-ea"/>
            <a:cs typeface="+mn-cs"/>
          </a:endParaRPr>
        </a:p>
        <a:p>
          <a:r>
            <a:rPr lang="en-US" sz="1100" b="1" i="0" baseline="0">
              <a:solidFill>
                <a:schemeClr val="dk1"/>
              </a:solidFill>
              <a:effectLst/>
              <a:latin typeface="+mn-lt"/>
              <a:ea typeface="+mn-ea"/>
              <a:cs typeface="+mn-cs"/>
            </a:rPr>
            <a:t>40 ORR ARGUS Assumptions: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Months Vacant at 6 Months.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TI's @ $75 RSF, Renewal TI's at $25 RSF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and Renewal LC's @ 5% Year 1-5, 2.5% Year 6-10. </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No Free Rent on New Leases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85% Tenant Renewal Probabilities</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Credit Loss Collection @ 1% - 0% for OSSC</a:t>
          </a:r>
          <a:endParaRPr lang="en-US">
            <a:effectLst/>
          </a:endParaRPr>
        </a:p>
        <a:p>
          <a:pPr marL="171450" indent="-171450">
            <a:buFont typeface="Arial" panose="020B0604020202020204" pitchFamily="34" charset="0"/>
            <a:buChar char="•"/>
          </a:pPr>
          <a:r>
            <a:rPr lang="en-US" sz="1100" b="0" i="0" baseline="0">
              <a:solidFill>
                <a:schemeClr val="dk1"/>
              </a:solidFill>
              <a:effectLst/>
              <a:latin typeface="+mn-lt"/>
              <a:ea typeface="+mn-ea"/>
              <a:cs typeface="+mn-cs"/>
            </a:rPr>
            <a:t>New Rent at $30.09 with 2% Rent Escalators.</a:t>
          </a:r>
          <a:endParaRPr lang="en-US">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i="0" baseline="0">
              <a:solidFill>
                <a:schemeClr val="dk1"/>
              </a:solidFill>
              <a:effectLst/>
              <a:latin typeface="+mn-lt"/>
              <a:ea typeface="+mn-ea"/>
              <a:cs typeface="+mn-cs"/>
            </a:rPr>
            <a:t>5 Year New Leases</a:t>
          </a:r>
          <a:endParaRPr lang="en-US" sz="1100" b="0" i="0" u="none" strike="noStrike" baseline="0">
            <a:solidFill>
              <a:schemeClr val="dk1"/>
            </a:solidFill>
            <a:effectLst/>
            <a:latin typeface="+mn-lt"/>
            <a:ea typeface="+mn-ea"/>
            <a:cs typeface="+mn-cs"/>
          </a:endParaRPr>
        </a:p>
        <a:p>
          <a:pPr marL="171450" indent="-171450" eaLnBrk="1" fontAlgn="auto" latinLnBrk="0" hangingPunct="1">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i="0" u="none" strike="noStrike" baseline="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rtfolio%20Recap/Model/Copy%20of%20Portfolio%20Level%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capitalization"/>
      <sheetName val="Portfolio-Level Returns"/>
    </sheetNames>
    <sheetDataSet>
      <sheetData sheetId="0" refreshError="1"/>
      <sheetData sheetId="1" refreshError="1"/>
      <sheetData sheetId="2" refreshError="1">
        <row r="6">
          <cell r="L6">
            <v>2.5000000000000001E-3</v>
          </cell>
        </row>
      </sheetData>
    </sheetDataSet>
  </externalBook>
</externalLink>
</file>

<file path=xl/theme/theme1.xml><?xml version="1.0" encoding="utf-8"?>
<a:theme xmlns:a="http://schemas.openxmlformats.org/drawingml/2006/main" name="Office Theme">
  <a:themeElements>
    <a:clrScheme name="Aspect Health">
      <a:dk1>
        <a:sysClr val="windowText" lastClr="000000"/>
      </a:dk1>
      <a:lt1>
        <a:sysClr val="window" lastClr="FFFFFF"/>
      </a:lt1>
      <a:dk2>
        <a:srgbClr val="44546A"/>
      </a:dk2>
      <a:lt2>
        <a:srgbClr val="E7E6E6"/>
      </a:lt2>
      <a:accent1>
        <a:srgbClr val="142D39"/>
      </a:accent1>
      <a:accent2>
        <a:srgbClr val="57B7C3"/>
      </a:accent2>
      <a:accent3>
        <a:srgbClr val="FFFFFF"/>
      </a:accent3>
      <a:accent4>
        <a:srgbClr val="DC1E48"/>
      </a:accent4>
      <a:accent5>
        <a:srgbClr val="6A696A"/>
      </a:accent5>
      <a:accent6>
        <a:srgbClr val="C7C6C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1E20-8999-41D7-B830-15EF5F60B4DE}">
  <sheetPr codeName="Sheet1"/>
  <dimension ref="B1:V70"/>
  <sheetViews>
    <sheetView tabSelected="1" zoomScale="65" zoomScaleNormal="60" workbookViewId="0">
      <selection activeCell="C9" sqref="C9"/>
    </sheetView>
  </sheetViews>
  <sheetFormatPr defaultColWidth="8.7265625" defaultRowHeight="14.5" x14ac:dyDescent="0.35"/>
  <cols>
    <col min="1" max="1" width="4.1796875" style="115" customWidth="1"/>
    <col min="2" max="2" width="47" style="115" customWidth="1"/>
    <col min="3" max="3" width="14.7265625" style="115" customWidth="1"/>
    <col min="4" max="4" width="4.26953125" style="115" customWidth="1"/>
    <col min="5" max="5" width="40.453125" style="115" customWidth="1"/>
    <col min="6" max="6" width="19.7265625" style="115" customWidth="1"/>
    <col min="7" max="7" width="24" style="115" customWidth="1"/>
    <col min="8" max="8" width="20.54296875" style="115" customWidth="1"/>
    <col min="9" max="9" width="21.1796875" style="115" customWidth="1"/>
    <col min="10" max="10" width="22.453125" style="115" customWidth="1"/>
    <col min="11" max="11" width="20.1796875" style="115" customWidth="1"/>
    <col min="12" max="12" width="16.81640625" style="115" customWidth="1"/>
    <col min="13" max="13" width="4.26953125" style="115" customWidth="1"/>
    <col min="14" max="14" width="24.54296875" style="12" customWidth="1"/>
    <col min="15" max="15" width="13.1796875" style="12" customWidth="1"/>
    <col min="16" max="16" width="14.453125" style="115" customWidth="1"/>
    <col min="17" max="17" width="3.81640625" style="115" customWidth="1"/>
    <col min="18" max="18" width="24.54296875" style="115" customWidth="1"/>
    <col min="19" max="19" width="13" style="115" customWidth="1"/>
    <col min="20" max="20" width="14.453125" style="115" customWidth="1"/>
    <col min="21" max="21" width="8.7265625" style="115"/>
    <col min="22" max="22" width="11.7265625" style="115" bestFit="1" customWidth="1"/>
    <col min="23" max="16384" width="8.7265625" style="115"/>
  </cols>
  <sheetData>
    <row r="1" spans="2:22" ht="15" thickBot="1" x14ac:dyDescent="0.4">
      <c r="B1" s="390" t="s">
        <v>0</v>
      </c>
      <c r="K1" s="486"/>
    </row>
    <row r="2" spans="2:22" ht="15" customHeight="1" thickBot="1" x14ac:dyDescent="0.4">
      <c r="B2" s="2" t="s">
        <v>1</v>
      </c>
      <c r="C2" s="242"/>
      <c r="E2" s="509" t="s">
        <v>2</v>
      </c>
      <c r="F2" s="510"/>
      <c r="G2" s="510"/>
      <c r="H2" s="510"/>
      <c r="I2" s="510"/>
      <c r="J2" s="510"/>
      <c r="K2" s="510"/>
      <c r="L2" s="511"/>
      <c r="N2" s="474"/>
      <c r="O2" s="395"/>
    </row>
    <row r="3" spans="2:22" ht="15" thickBot="1" x14ac:dyDescent="0.4">
      <c r="B3" s="174" t="s">
        <v>3</v>
      </c>
      <c r="C3" s="253"/>
      <c r="E3" s="3" t="s">
        <v>4</v>
      </c>
      <c r="F3" s="226" t="s">
        <v>5</v>
      </c>
      <c r="G3" s="226" t="s">
        <v>6</v>
      </c>
      <c r="H3" s="226" t="s">
        <v>7</v>
      </c>
      <c r="I3" s="226" t="s">
        <v>8</v>
      </c>
      <c r="J3" s="226" t="s">
        <v>9</v>
      </c>
      <c r="K3" s="226" t="s">
        <v>10</v>
      </c>
      <c r="L3" s="175" t="s">
        <v>11</v>
      </c>
      <c r="N3" s="473"/>
      <c r="V3" s="116"/>
    </row>
    <row r="4" spans="2:22" x14ac:dyDescent="0.35">
      <c r="B4" s="153" t="s">
        <v>9</v>
      </c>
      <c r="C4" s="223">
        <f>Summary!J10</f>
        <v>99250000</v>
      </c>
      <c r="E4" s="153" t="s">
        <v>12</v>
      </c>
      <c r="F4" s="246">
        <f>'Rent Roll'!C17</f>
        <v>29341</v>
      </c>
      <c r="G4" s="233">
        <f t="shared" ref="G4:G9" si="0">F4/$F$10</f>
        <v>0.14865008638028604</v>
      </c>
      <c r="H4" s="246">
        <f>'Portfolio-Level CF'!AC16</f>
        <v>776823</v>
      </c>
      <c r="I4" s="233">
        <f t="shared" ref="I4:I9" si="1">H4/$H$10</f>
        <v>0.15272799552210373</v>
      </c>
      <c r="J4" s="487">
        <v>13296853</v>
      </c>
      <c r="K4" s="234">
        <f t="shared" ref="K4:K9" si="2">J4/$J$10</f>
        <v>0.1339733299748111</v>
      </c>
      <c r="L4" s="235">
        <f t="shared" ref="L4:L10" si="3">H4/J4</f>
        <v>5.8421567870232151E-2</v>
      </c>
      <c r="V4" s="116"/>
    </row>
    <row r="5" spans="2:22" x14ac:dyDescent="0.35">
      <c r="B5" s="145" t="s">
        <v>13</v>
      </c>
      <c r="C5" s="245">
        <f>C39</f>
        <v>2284000</v>
      </c>
      <c r="E5" s="145" t="s">
        <v>14</v>
      </c>
      <c r="F5" s="198">
        <f>'Rent Roll'!C30</f>
        <v>25984</v>
      </c>
      <c r="G5" s="232">
        <f t="shared" si="0"/>
        <v>0.13164254267084805</v>
      </c>
      <c r="H5" s="198">
        <f>'Portfolio-Level CF'!AC22</f>
        <v>421291</v>
      </c>
      <c r="I5" s="232">
        <f t="shared" si="1"/>
        <v>8.2828301893098685E-2</v>
      </c>
      <c r="J5" s="488">
        <v>10215861.869999999</v>
      </c>
      <c r="K5" s="222">
        <f t="shared" si="2"/>
        <v>0.10293059818639798</v>
      </c>
      <c r="L5" s="236">
        <f t="shared" si="3"/>
        <v>4.1238909194452535E-2</v>
      </c>
      <c r="U5" s="306"/>
      <c r="V5" s="116"/>
    </row>
    <row r="6" spans="2:22" x14ac:dyDescent="0.35">
      <c r="B6" s="145" t="s">
        <v>15</v>
      </c>
      <c r="C6" s="245">
        <f>C56+C61</f>
        <v>1270966.53</v>
      </c>
      <c r="E6" s="145" t="s">
        <v>16</v>
      </c>
      <c r="F6" s="198">
        <f>'Rent Roll'!C42</f>
        <v>30000</v>
      </c>
      <c r="G6" s="232">
        <f t="shared" si="0"/>
        <v>0.15198877309596065</v>
      </c>
      <c r="H6" s="198">
        <f>'Portfolio-Level CF'!AC28</f>
        <v>638299</v>
      </c>
      <c r="I6" s="232">
        <f t="shared" si="1"/>
        <v>0.12549335796412217</v>
      </c>
      <c r="J6" s="488">
        <v>11049286.130000001</v>
      </c>
      <c r="K6" s="222">
        <f t="shared" si="2"/>
        <v>0.11132781994962218</v>
      </c>
      <c r="L6" s="236">
        <f t="shared" si="3"/>
        <v>5.7768347428975485E-2</v>
      </c>
      <c r="U6" s="306"/>
      <c r="V6" s="116"/>
    </row>
    <row r="7" spans="2:22" x14ac:dyDescent="0.35">
      <c r="B7" s="145" t="s">
        <v>17</v>
      </c>
      <c r="C7" s="245">
        <f>C49</f>
        <v>935471</v>
      </c>
      <c r="E7" s="145" t="s">
        <v>18</v>
      </c>
      <c r="F7" s="198">
        <f>'Rent Roll'!C55</f>
        <v>43201</v>
      </c>
      <c r="G7" s="232">
        <f t="shared" si="0"/>
        <v>0.21886889955061986</v>
      </c>
      <c r="H7" s="198">
        <f>'Portfolio-Level CF'!AC34</f>
        <v>1354228</v>
      </c>
      <c r="I7" s="232">
        <f t="shared" si="1"/>
        <v>0.26624923299118008</v>
      </c>
      <c r="J7" s="488">
        <v>26594452</v>
      </c>
      <c r="K7" s="222">
        <f t="shared" si="2"/>
        <v>0.26795417632241814</v>
      </c>
      <c r="L7" s="236">
        <f t="shared" si="3"/>
        <v>5.0921447826787335E-2</v>
      </c>
      <c r="V7" s="116"/>
    </row>
    <row r="8" spans="2:22" x14ac:dyDescent="0.35">
      <c r="B8" s="145" t="s">
        <v>19</v>
      </c>
      <c r="C8" s="245">
        <f>C66</f>
        <v>10000</v>
      </c>
      <c r="E8" s="145" t="s">
        <v>20</v>
      </c>
      <c r="F8" s="198">
        <f>'Rent Roll'!C64</f>
        <v>26150</v>
      </c>
      <c r="G8" s="232">
        <f t="shared" si="0"/>
        <v>0.13248354721531236</v>
      </c>
      <c r="H8" s="198">
        <f>'Portfolio-Level CF'!AC40</f>
        <v>584129</v>
      </c>
      <c r="I8" s="232">
        <f t="shared" si="1"/>
        <v>0.11484321563127112</v>
      </c>
      <c r="J8" s="488">
        <v>11256765</v>
      </c>
      <c r="K8" s="222">
        <f t="shared" si="2"/>
        <v>0.11341828715365239</v>
      </c>
      <c r="L8" s="236">
        <f t="shared" si="3"/>
        <v>5.1891373765020413E-2</v>
      </c>
      <c r="V8" s="116"/>
    </row>
    <row r="9" spans="2:22" ht="15" thickBot="1" x14ac:dyDescent="0.4">
      <c r="B9" s="145" t="s">
        <v>21</v>
      </c>
      <c r="C9" s="245">
        <f>C4+SUM(C5:C8)</f>
        <v>103750437.53</v>
      </c>
      <c r="E9" s="145" t="s">
        <v>22</v>
      </c>
      <c r="F9" s="198">
        <f>'Rent Roll'!C75</f>
        <v>42707</v>
      </c>
      <c r="G9" s="232">
        <f t="shared" si="0"/>
        <v>0.21636615108697305</v>
      </c>
      <c r="H9" s="198">
        <f>'Portfolio-Level CF'!AC46</f>
        <v>1311547</v>
      </c>
      <c r="I9" s="232">
        <f t="shared" si="1"/>
        <v>0.25785789599822423</v>
      </c>
      <c r="J9" s="488">
        <v>26836782</v>
      </c>
      <c r="K9" s="222">
        <f t="shared" si="2"/>
        <v>0.27039578841309825</v>
      </c>
      <c r="L9" s="236">
        <f t="shared" si="3"/>
        <v>4.8871246932661302E-2</v>
      </c>
      <c r="V9" s="116"/>
    </row>
    <row r="10" spans="2:22" ht="15" thickBot="1" x14ac:dyDescent="0.4">
      <c r="B10" s="145" t="s">
        <v>25</v>
      </c>
      <c r="C10" s="493">
        <v>2.5000000000000001E-3</v>
      </c>
      <c r="E10" s="217" t="s">
        <v>24</v>
      </c>
      <c r="F10" s="237">
        <f t="shared" ref="F10:K10" si="4">SUM(F4:F9)</f>
        <v>197383</v>
      </c>
      <c r="G10" s="238">
        <f t="shared" si="4"/>
        <v>1</v>
      </c>
      <c r="H10" s="218">
        <f t="shared" si="4"/>
        <v>5086317</v>
      </c>
      <c r="I10" s="239">
        <f t="shared" si="4"/>
        <v>1</v>
      </c>
      <c r="J10" s="237">
        <f t="shared" si="4"/>
        <v>99250000</v>
      </c>
      <c r="K10" s="239">
        <f t="shared" si="4"/>
        <v>1</v>
      </c>
      <c r="L10" s="240">
        <f t="shared" si="3"/>
        <v>5.1247526448362724E-2</v>
      </c>
    </row>
    <row r="11" spans="2:22" ht="13.5" thickBot="1" x14ac:dyDescent="0.35">
      <c r="B11" s="145" t="s">
        <v>26</v>
      </c>
      <c r="C11" s="495">
        <v>0.5</v>
      </c>
      <c r="F11" s="117"/>
      <c r="J11" s="117">
        <f>J10+39700000+12000000+7000000</f>
        <v>157950000</v>
      </c>
      <c r="N11" s="115"/>
      <c r="O11" s="115"/>
    </row>
    <row r="12" spans="2:22" ht="15" customHeight="1" thickBot="1" x14ac:dyDescent="0.4">
      <c r="B12" s="145" t="s">
        <v>28</v>
      </c>
      <c r="C12" s="224">
        <f>Summary!F10</f>
        <v>197383</v>
      </c>
      <c r="E12" s="512" t="s">
        <v>27</v>
      </c>
      <c r="F12" s="513"/>
      <c r="G12" s="513"/>
      <c r="H12" s="513"/>
      <c r="I12" s="513"/>
      <c r="J12" s="513"/>
      <c r="K12" s="513"/>
      <c r="L12" s="514"/>
      <c r="Q12" s="159"/>
    </row>
    <row r="13" spans="2:22" ht="15" thickBot="1" x14ac:dyDescent="0.4">
      <c r="B13" s="148"/>
      <c r="C13" s="219"/>
      <c r="E13" s="3" t="s">
        <v>4</v>
      </c>
      <c r="F13" s="226" t="s">
        <v>29</v>
      </c>
      <c r="G13" s="226" t="s">
        <v>30</v>
      </c>
      <c r="H13" s="226" t="s">
        <v>31</v>
      </c>
      <c r="I13" s="226" t="s">
        <v>13</v>
      </c>
      <c r="J13" s="226" t="s">
        <v>32</v>
      </c>
      <c r="K13" s="226" t="s">
        <v>33</v>
      </c>
      <c r="L13" s="175" t="s">
        <v>11</v>
      </c>
    </row>
    <row r="14" spans="2:22" ht="15" thickBot="1" x14ac:dyDescent="0.4">
      <c r="B14" s="1" t="s">
        <v>34</v>
      </c>
      <c r="C14" s="243"/>
      <c r="E14" s="145" t="s">
        <v>12</v>
      </c>
      <c r="F14" s="194">
        <f>$C$7*(J4/$J$10)</f>
        <v>125328.1649648665</v>
      </c>
      <c r="G14" s="194">
        <v>0</v>
      </c>
      <c r="H14" s="194">
        <v>0</v>
      </c>
      <c r="I14" s="194">
        <v>0</v>
      </c>
      <c r="J14" s="194">
        <f t="shared" ref="J14:J19" si="5">J4+SUM(F14:I14)</f>
        <v>13422181.164964866</v>
      </c>
      <c r="K14" s="222">
        <f t="shared" ref="K14:K19" si="6">J14/$J$20</f>
        <v>0.12936987529410438</v>
      </c>
      <c r="L14" s="236">
        <f t="shared" ref="L14:L20" si="7">H4/J14</f>
        <v>5.7876062798771902E-2</v>
      </c>
    </row>
    <row r="15" spans="2:22" x14ac:dyDescent="0.35">
      <c r="B15" s="145" t="s">
        <v>35</v>
      </c>
      <c r="C15" s="492">
        <v>0.65</v>
      </c>
      <c r="E15" s="145" t="s">
        <v>14</v>
      </c>
      <c r="F15" s="194">
        <f t="shared" ref="F15:F19" si="8">$C$7*(J5/$J$10)</f>
        <v>96288.589616027908</v>
      </c>
      <c r="G15" s="194">
        <f>C54+C55</f>
        <v>565220</v>
      </c>
      <c r="H15" s="194">
        <f>C61</f>
        <v>74471.53</v>
      </c>
      <c r="I15" s="194">
        <v>0</v>
      </c>
      <c r="J15" s="194">
        <f>J5+SUM(F15:I15)+C8</f>
        <v>10961841.989616027</v>
      </c>
      <c r="K15" s="222">
        <f t="shared" si="6"/>
        <v>0.10565586276632666</v>
      </c>
      <c r="L15" s="236">
        <f t="shared" si="7"/>
        <v>3.8432500705545845E-2</v>
      </c>
    </row>
    <row r="16" spans="2:22" x14ac:dyDescent="0.35">
      <c r="B16" s="145" t="s">
        <v>36</v>
      </c>
      <c r="C16" s="493">
        <f>(4%*(365/360))</f>
        <v>4.0555555555555553E-2</v>
      </c>
      <c r="E16" s="145" t="s">
        <v>16</v>
      </c>
      <c r="F16" s="194">
        <f t="shared" si="8"/>
        <v>104143.94705609301</v>
      </c>
      <c r="G16" s="194">
        <f>C52+C53</f>
        <v>631275</v>
      </c>
      <c r="H16" s="194">
        <v>0</v>
      </c>
      <c r="I16" s="194">
        <f>C39</f>
        <v>2284000</v>
      </c>
      <c r="J16" s="194">
        <f t="shared" si="5"/>
        <v>14068705.077056095</v>
      </c>
      <c r="K16" s="222">
        <f t="shared" si="6"/>
        <v>0.13560140479396102</v>
      </c>
      <c r="L16" s="236">
        <f t="shared" si="7"/>
        <v>4.5370131544015944E-2</v>
      </c>
    </row>
    <row r="17" spans="2:20" x14ac:dyDescent="0.35">
      <c r="B17" s="145" t="s">
        <v>37</v>
      </c>
      <c r="C17" s="245">
        <f>C9*C15</f>
        <v>67437784.394500002</v>
      </c>
      <c r="E17" s="145" t="s">
        <v>18</v>
      </c>
      <c r="F17" s="194">
        <f t="shared" si="8"/>
        <v>250663.36127850882</v>
      </c>
      <c r="G17" s="194">
        <v>0</v>
      </c>
      <c r="H17" s="194">
        <v>0</v>
      </c>
      <c r="I17" s="194">
        <v>0</v>
      </c>
      <c r="J17" s="194">
        <f t="shared" si="5"/>
        <v>26845115.361278508</v>
      </c>
      <c r="K17" s="222">
        <f t="shared" si="6"/>
        <v>0.25874700869108236</v>
      </c>
      <c r="L17" s="236">
        <f t="shared" si="7"/>
        <v>5.0445974315064535E-2</v>
      </c>
    </row>
    <row r="18" spans="2:20" x14ac:dyDescent="0.35">
      <c r="B18" s="145" t="s">
        <v>38</v>
      </c>
      <c r="C18" s="245">
        <f>C17*((C16/360)*365)</f>
        <v>2772962.6006040932</v>
      </c>
      <c r="E18" s="145" t="s">
        <v>20</v>
      </c>
      <c r="F18" s="194">
        <f t="shared" si="8"/>
        <v>106099.51850191435</v>
      </c>
      <c r="G18" s="194">
        <v>0</v>
      </c>
      <c r="H18" s="194">
        <v>0</v>
      </c>
      <c r="I18" s="194">
        <v>0</v>
      </c>
      <c r="J18" s="194">
        <f t="shared" si="5"/>
        <v>11362864.518501915</v>
      </c>
      <c r="K18" s="222">
        <f t="shared" si="6"/>
        <v>0.10952112385276719</v>
      </c>
      <c r="L18" s="236">
        <f t="shared" si="7"/>
        <v>5.1406843674750756E-2</v>
      </c>
    </row>
    <row r="19" spans="2:20" ht="15" thickBot="1" x14ac:dyDescent="0.4">
      <c r="B19" s="148"/>
      <c r="C19" s="219"/>
      <c r="E19" s="145" t="s">
        <v>22</v>
      </c>
      <c r="F19" s="194">
        <f t="shared" si="8"/>
        <v>252947.41858258942</v>
      </c>
      <c r="G19" s="194">
        <v>0</v>
      </c>
      <c r="H19" s="194">
        <v>0</v>
      </c>
      <c r="I19" s="194">
        <v>0</v>
      </c>
      <c r="J19" s="194">
        <f t="shared" si="5"/>
        <v>27089729.418582588</v>
      </c>
      <c r="K19" s="222">
        <f t="shared" si="6"/>
        <v>0.26110472460175838</v>
      </c>
      <c r="L19" s="236">
        <f t="shared" si="7"/>
        <v>4.8414916950049916E-2</v>
      </c>
    </row>
    <row r="20" spans="2:20" ht="15" customHeight="1" thickBot="1" x14ac:dyDescent="0.4">
      <c r="B20" s="1" t="s">
        <v>39</v>
      </c>
      <c r="C20" s="243"/>
      <c r="E20" s="217" t="s">
        <v>24</v>
      </c>
      <c r="F20" s="218">
        <f>SUM(F14:F19)</f>
        <v>935471</v>
      </c>
      <c r="G20" s="218">
        <f>SUM(G14:G19)</f>
        <v>1196495</v>
      </c>
      <c r="H20" s="218">
        <f>SUM(H14:H19)</f>
        <v>74471.53</v>
      </c>
      <c r="I20" s="218">
        <f t="shared" ref="I20:J20" si="9">SUM(I14:I19)</f>
        <v>2284000</v>
      </c>
      <c r="J20" s="218">
        <f t="shared" si="9"/>
        <v>103750437.53</v>
      </c>
      <c r="K20" s="239">
        <f>SUM(K14:K19)</f>
        <v>1</v>
      </c>
      <c r="L20" s="240">
        <f t="shared" si="7"/>
        <v>4.9024535424530273E-2</v>
      </c>
    </row>
    <row r="21" spans="2:20" ht="15" thickBot="1" x14ac:dyDescent="0.4">
      <c r="B21" s="145" t="s">
        <v>40</v>
      </c>
      <c r="C21" s="241">
        <f>C9-C17</f>
        <v>36312653.135499999</v>
      </c>
      <c r="G21" s="116"/>
      <c r="K21" s="307"/>
    </row>
    <row r="22" spans="2:20" ht="15" customHeight="1" thickBot="1" x14ac:dyDescent="0.4">
      <c r="B22" s="145" t="s">
        <v>42</v>
      </c>
      <c r="C22" s="494">
        <v>0.05</v>
      </c>
      <c r="E22" s="512" t="s">
        <v>41</v>
      </c>
      <c r="F22" s="513"/>
      <c r="G22" s="513"/>
      <c r="H22" s="513"/>
      <c r="I22" s="513"/>
      <c r="J22" s="513"/>
      <c r="K22" s="513"/>
      <c r="L22" s="514"/>
    </row>
    <row r="23" spans="2:20" ht="15" thickBot="1" x14ac:dyDescent="0.4">
      <c r="B23" s="145" t="s">
        <v>50</v>
      </c>
      <c r="C23" s="494">
        <v>0.95</v>
      </c>
      <c r="E23" s="3" t="s">
        <v>4</v>
      </c>
      <c r="F23" s="226" t="s">
        <v>43</v>
      </c>
      <c r="G23" s="226" t="s">
        <v>44</v>
      </c>
      <c r="H23" s="226" t="s">
        <v>45</v>
      </c>
      <c r="I23" s="226" t="s">
        <v>46</v>
      </c>
      <c r="J23" s="226" t="s">
        <v>47</v>
      </c>
      <c r="K23" s="226" t="s">
        <v>48</v>
      </c>
      <c r="L23" s="175" t="s">
        <v>49</v>
      </c>
    </row>
    <row r="24" spans="2:20" x14ac:dyDescent="0.35">
      <c r="B24" s="145"/>
      <c r="C24" s="244"/>
      <c r="E24" s="145" t="str">
        <f t="shared" ref="E24:E29" si="10">E4</f>
        <v>131 Kent Road, New Milford, CT 06776</v>
      </c>
      <c r="F24" s="194">
        <f>H24*Summary!$C$22</f>
        <v>234888.17038688518</v>
      </c>
      <c r="G24" s="194">
        <f>H24*Summary!$C$23</f>
        <v>4462875.2373508178</v>
      </c>
      <c r="H24" s="194">
        <f>K14*Summary!$C$21</f>
        <v>4697763.4077377031</v>
      </c>
      <c r="I24" s="194">
        <f>Summary!$C$17*K14</f>
        <v>8724417.7572271638</v>
      </c>
      <c r="J24" s="194">
        <f t="shared" ref="J24:J29" si="11">I24+G24</f>
        <v>13187292.994577982</v>
      </c>
      <c r="K24" s="221">
        <f>F24</f>
        <v>234888.17038688518</v>
      </c>
      <c r="L24" s="247">
        <f t="shared" ref="L24:L30" si="12">I24+H24</f>
        <v>13422181.164964866</v>
      </c>
    </row>
    <row r="25" spans="2:20" x14ac:dyDescent="0.35">
      <c r="B25" s="145" t="s">
        <v>51</v>
      </c>
      <c r="C25" s="245">
        <f>Summary!F30</f>
        <v>1815632.656775</v>
      </c>
      <c r="E25" s="145" t="str">
        <f t="shared" si="10"/>
        <v>164 Mount Pleasant Road, Newtown, CT 06470</v>
      </c>
      <c r="F25" s="194">
        <f>H25*Summary!$C$22</f>
        <v>191832.23481828047</v>
      </c>
      <c r="G25" s="194">
        <f>H25*Summary!$C$23</f>
        <v>3644812.4615473286</v>
      </c>
      <c r="H25" s="194">
        <f>K15*Summary!$C$21</f>
        <v>3836644.6963656093</v>
      </c>
      <c r="I25" s="194">
        <f>Summary!$C$17*K15</f>
        <v>7125197.2932504173</v>
      </c>
      <c r="J25" s="194">
        <f t="shared" si="11"/>
        <v>10770009.754797745</v>
      </c>
      <c r="K25" s="221">
        <f t="shared" ref="K25:K29" si="13">F25</f>
        <v>191832.23481828047</v>
      </c>
      <c r="L25" s="247">
        <f t="shared" si="12"/>
        <v>10961841.989616027</v>
      </c>
    </row>
    <row r="26" spans="2:20" x14ac:dyDescent="0.35">
      <c r="B26" s="145" t="s">
        <v>52</v>
      </c>
      <c r="C26" s="245">
        <f>Summary!G30</f>
        <v>34497020.478725001</v>
      </c>
      <c r="E26" s="145" t="str">
        <f t="shared" si="10"/>
        <v>170 Mount Pleasant Road, Newtown, CT 06470</v>
      </c>
      <c r="F26" s="194">
        <f>H26*Summary!$C$22</f>
        <v>246202.33884848165</v>
      </c>
      <c r="G26" s="194">
        <f>H26*Summary!$C$23</f>
        <v>4677844.4381211512</v>
      </c>
      <c r="H26" s="194">
        <f>K16*Summary!$C$21</f>
        <v>4924046.7769696331</v>
      </c>
      <c r="I26" s="194">
        <f>Summary!$C$17*K16</f>
        <v>9144658.3000864629</v>
      </c>
      <c r="J26" s="194">
        <f t="shared" si="11"/>
        <v>13822502.738207614</v>
      </c>
      <c r="K26" s="221">
        <f t="shared" si="13"/>
        <v>246202.33884848165</v>
      </c>
      <c r="L26" s="247">
        <f t="shared" si="12"/>
        <v>14068705.077056095</v>
      </c>
      <c r="M26" s="12"/>
    </row>
    <row r="27" spans="2:20" x14ac:dyDescent="0.35">
      <c r="B27" s="145" t="s">
        <v>53</v>
      </c>
      <c r="C27" s="245">
        <f>C25+C26</f>
        <v>36312653.135499999</v>
      </c>
      <c r="E27" s="145" t="str">
        <f t="shared" si="10"/>
        <v>2 Riverview Drive, Danbury, CT 06810</v>
      </c>
      <c r="F27" s="194">
        <f>H27*Summary!$C$22</f>
        <v>469789.51882237382</v>
      </c>
      <c r="G27" s="194">
        <f>H27*Summary!$C$23</f>
        <v>8926000.8576251026</v>
      </c>
      <c r="H27" s="194">
        <f>K17*Summary!$C$21</f>
        <v>9395790.3764474764</v>
      </c>
      <c r="I27" s="194">
        <f>Summary!$C$17*K17</f>
        <v>17449324.984831031</v>
      </c>
      <c r="J27" s="194">
        <f t="shared" si="11"/>
        <v>26375325.842456132</v>
      </c>
      <c r="K27" s="221">
        <f t="shared" si="13"/>
        <v>469789.51882237382</v>
      </c>
      <c r="L27" s="247">
        <f t="shared" si="12"/>
        <v>26845115.361278508</v>
      </c>
      <c r="M27" s="12"/>
    </row>
    <row r="28" spans="2:20" ht="15" thickBot="1" x14ac:dyDescent="0.4">
      <c r="B28" s="145"/>
      <c r="C28" s="219"/>
      <c r="E28" s="145" t="str">
        <f t="shared" si="10"/>
        <v>226 White Street, Danbury, CT 06810</v>
      </c>
      <c r="F28" s="194">
        <f>H28*Summary!$C$22</f>
        <v>198850.12907378352</v>
      </c>
      <c r="G28" s="194">
        <f>H28*Summary!$C$23</f>
        <v>3778152.4524018862</v>
      </c>
      <c r="H28" s="194">
        <f>K18*Summary!$C$21</f>
        <v>3977002.58147567</v>
      </c>
      <c r="I28" s="194">
        <f>Summary!$C$17*K18</f>
        <v>7385861.9370262446</v>
      </c>
      <c r="J28" s="194">
        <f t="shared" si="11"/>
        <v>11164014.389428131</v>
      </c>
      <c r="K28" s="221">
        <f t="shared" si="13"/>
        <v>198850.12907378352</v>
      </c>
      <c r="L28" s="247">
        <f t="shared" si="12"/>
        <v>11362864.518501915</v>
      </c>
      <c r="M28" s="12"/>
    </row>
    <row r="29" spans="2:20" ht="15" thickBot="1" x14ac:dyDescent="0.4">
      <c r="B29" s="1" t="s">
        <v>54</v>
      </c>
      <c r="C29" s="243"/>
      <c r="E29" s="145" t="str">
        <f t="shared" si="10"/>
        <v>40 Old Ridgebury Road, Danbury, CT 06810</v>
      </c>
      <c r="F29" s="194">
        <f>H29*Summary!$C$22</f>
        <v>474070.26482519531</v>
      </c>
      <c r="G29" s="194">
        <f>H29*Summary!$C$23</f>
        <v>9007335.0316787101</v>
      </c>
      <c r="H29" s="194">
        <f>K19*Summary!$C$21</f>
        <v>9481405.2965039052</v>
      </c>
      <c r="I29" s="194">
        <f>Summary!$C$17*K19</f>
        <v>17608324.122078683</v>
      </c>
      <c r="J29" s="194">
        <f t="shared" si="11"/>
        <v>26615659.153757393</v>
      </c>
      <c r="K29" s="221">
        <f t="shared" si="13"/>
        <v>474070.26482519531</v>
      </c>
      <c r="L29" s="247">
        <f t="shared" si="12"/>
        <v>27089729.418582588</v>
      </c>
      <c r="M29" s="12"/>
    </row>
    <row r="30" spans="2:20" ht="15" thickBot="1" x14ac:dyDescent="0.4">
      <c r="B30" s="153" t="str">
        <f>B9</f>
        <v xml:space="preserve">Total Development Cost </v>
      </c>
      <c r="C30" s="241">
        <f>C9</f>
        <v>103750437.53</v>
      </c>
      <c r="E30" s="217" t="s">
        <v>24</v>
      </c>
      <c r="F30" s="218">
        <f t="shared" ref="F30:K30" si="14">SUM(F24:F29)</f>
        <v>1815632.656775</v>
      </c>
      <c r="G30" s="218">
        <f t="shared" si="14"/>
        <v>34497020.478725001</v>
      </c>
      <c r="H30" s="218">
        <f t="shared" si="14"/>
        <v>36312653.135499999</v>
      </c>
      <c r="I30" s="218">
        <f t="shared" si="14"/>
        <v>67437784.394500002</v>
      </c>
      <c r="J30" s="218">
        <f t="shared" si="14"/>
        <v>101934804.873225</v>
      </c>
      <c r="K30" s="218">
        <f t="shared" si="14"/>
        <v>1815632.656775</v>
      </c>
      <c r="L30" s="249">
        <f t="shared" si="12"/>
        <v>103750437.53</v>
      </c>
      <c r="M30" s="12"/>
    </row>
    <row r="31" spans="2:20" ht="13.5" thickBot="1" x14ac:dyDescent="0.35">
      <c r="B31" s="145" t="s">
        <v>48</v>
      </c>
      <c r="C31" s="236">
        <f>Summary!F30/C30</f>
        <v>1.7500000000000002E-2</v>
      </c>
      <c r="I31" s="116"/>
      <c r="N31" s="115"/>
      <c r="O31" s="115"/>
    </row>
    <row r="32" spans="2:20" ht="15" customHeight="1" thickBot="1" x14ac:dyDescent="0.35">
      <c r="B32" s="145" t="s">
        <v>47</v>
      </c>
      <c r="C32" s="236">
        <f>Summary!J30/C30</f>
        <v>0.98250000000000004</v>
      </c>
      <c r="E32" s="512" t="s">
        <v>55</v>
      </c>
      <c r="F32" s="513"/>
      <c r="G32" s="513"/>
      <c r="H32" s="513"/>
      <c r="I32" s="513"/>
      <c r="J32" s="513"/>
      <c r="K32" s="513"/>
      <c r="L32" s="514"/>
      <c r="N32" s="512" t="s">
        <v>56</v>
      </c>
      <c r="O32" s="513"/>
      <c r="P32" s="514"/>
      <c r="R32" s="512" t="s">
        <v>57</v>
      </c>
      <c r="S32" s="513"/>
      <c r="T32" s="514"/>
    </row>
    <row r="33" spans="2:20" ht="13.5" thickBot="1" x14ac:dyDescent="0.35">
      <c r="B33" s="148"/>
      <c r="C33" s="219"/>
      <c r="E33" s="3" t="s">
        <v>4</v>
      </c>
      <c r="F33" s="226" t="s">
        <v>58</v>
      </c>
      <c r="G33" s="226" t="s">
        <v>59</v>
      </c>
      <c r="H33" s="226" t="s">
        <v>60</v>
      </c>
      <c r="I33" s="226" t="s">
        <v>61</v>
      </c>
      <c r="J33" s="226" t="s">
        <v>62</v>
      </c>
      <c r="K33" s="226" t="s">
        <v>63</v>
      </c>
      <c r="L33" s="175" t="s">
        <v>64</v>
      </c>
      <c r="N33" s="3" t="s">
        <v>65</v>
      </c>
      <c r="O33" s="226" t="s">
        <v>66</v>
      </c>
      <c r="P33" s="175" t="s">
        <v>67</v>
      </c>
      <c r="R33" s="3" t="s">
        <v>68</v>
      </c>
      <c r="S33" s="226" t="s">
        <v>66</v>
      </c>
      <c r="T33" s="175" t="s">
        <v>67</v>
      </c>
    </row>
    <row r="34" spans="2:20" ht="15" customHeight="1" thickBot="1" x14ac:dyDescent="0.35">
      <c r="E34" s="153" t="str">
        <f t="shared" ref="E34:E39" si="15">E24</f>
        <v>131 Kent Road, New Milford, CT 06776</v>
      </c>
      <c r="F34" s="227">
        <f>'Property-Level CF'!M10</f>
        <v>884835</v>
      </c>
      <c r="G34" s="227">
        <f>(F34/L4)*(1-'Portfolio-Level CF'!$AC$52)</f>
        <v>14562581.654599804</v>
      </c>
      <c r="H34" s="220">
        <f t="shared" ref="H34:H39" si="16">G34-J4</f>
        <v>1265728.6545998044</v>
      </c>
      <c r="I34" s="248">
        <f>'Property-Level CF'!M44</f>
        <v>8.0202328433236492E-2</v>
      </c>
      <c r="J34" s="298">
        <f>'Property-Level CF'!M45</f>
        <v>1.8775316833732389</v>
      </c>
      <c r="K34" s="234">
        <f>'Property-Level CF'!M42</f>
        <v>6.3477776184611812E-2</v>
      </c>
      <c r="L34" s="300">
        <f>'Property-Level CF'!M20</f>
        <v>7.501771199995351E-3</v>
      </c>
      <c r="N34" s="153" t="s">
        <v>69</v>
      </c>
      <c r="O34" s="227">
        <f>SUM('Portfolio-Level CF'!D39:M39)</f>
        <v>81273718.971030384</v>
      </c>
      <c r="P34" s="228">
        <f>O34/$C$12</f>
        <v>411.7564277117603</v>
      </c>
      <c r="R34" s="153" t="s">
        <v>70</v>
      </c>
      <c r="S34" s="220">
        <f>SUM('Portfolio-Level CF'!D52:M52)+'Portfolio-Level CF'!M66-'Portfolio-Level CF'!M54</f>
        <v>4063685.9485515193</v>
      </c>
      <c r="T34" s="228">
        <f>S34/$C$12</f>
        <v>20.587821385588015</v>
      </c>
    </row>
    <row r="35" spans="2:20" ht="13.5" thickBot="1" x14ac:dyDescent="0.35">
      <c r="B35" s="2" t="s">
        <v>73</v>
      </c>
      <c r="C35" s="270"/>
      <c r="E35" s="145" t="str">
        <f t="shared" si="15"/>
        <v>164 Mount Pleasant Road, Newtown, CT 06470</v>
      </c>
      <c r="F35" s="194">
        <f>'Property-Level CF'!AL10</f>
        <v>791022</v>
      </c>
      <c r="G35" s="194">
        <f>(F35/L5)*(1-'Portfolio-Level CF'!$AC$52)</f>
        <v>18442962.431758784</v>
      </c>
      <c r="H35" s="221">
        <f t="shared" si="16"/>
        <v>8227100.5617587846</v>
      </c>
      <c r="I35" s="225">
        <f>'Property-Level CF'!AL44</f>
        <v>0.13599865459232952</v>
      </c>
      <c r="J35" s="204">
        <f>'Property-Level CF'!AL45</f>
        <v>2.8608086208146286</v>
      </c>
      <c r="K35" s="222">
        <f>'Property-Level CF'!AL42</f>
        <v>9.776173550022027E-2</v>
      </c>
      <c r="L35" s="321">
        <f>'Property-Level CF'!AL20</f>
        <v>1.9161412356547565E-2</v>
      </c>
      <c r="N35" s="145" t="s">
        <v>71</v>
      </c>
      <c r="O35" s="194">
        <f>'Portfolio-Level CF'!C39</f>
        <v>-36312653.135499999</v>
      </c>
      <c r="P35" s="229">
        <f>-O35/$C$12</f>
        <v>183.97051993079444</v>
      </c>
      <c r="R35" s="145" t="s">
        <v>72</v>
      </c>
      <c r="S35" s="221">
        <f>SUM('Portfolio-Level CF'!D53:M53)</f>
        <v>907816.32838750014</v>
      </c>
      <c r="T35" s="229">
        <f>S35/$C$12</f>
        <v>4.5992629982698618</v>
      </c>
    </row>
    <row r="36" spans="2:20" ht="13.5" thickBot="1" x14ac:dyDescent="0.35">
      <c r="B36" s="1" t="s">
        <v>13</v>
      </c>
      <c r="C36" s="243"/>
      <c r="E36" s="145" t="str">
        <f t="shared" si="15"/>
        <v>170 Mount Pleasant Road, Newtown, CT 06470</v>
      </c>
      <c r="F36" s="194">
        <f>'Property-Level CF'!BK10</f>
        <v>987095</v>
      </c>
      <c r="G36" s="194">
        <f>(F36/L6)*(1-'Portfolio-Level CF'!$AC$52)</f>
        <v>16429271.127530195</v>
      </c>
      <c r="H36" s="221">
        <f t="shared" si="16"/>
        <v>5379984.997530194</v>
      </c>
      <c r="I36" s="225">
        <f>'Property-Level CF'!BK44</f>
        <v>0.13334285762983966</v>
      </c>
      <c r="J36" s="204">
        <f>'Property-Level CF'!BK45</f>
        <v>2.7893739308165229</v>
      </c>
      <c r="K36" s="222">
        <f>'Property-Level CF'!BK42</f>
        <v>0.10097939732062707</v>
      </c>
      <c r="L36" s="321">
        <f>'Property-Level CF'!BK20</f>
        <v>1.7162463040738617E-2</v>
      </c>
      <c r="N36" s="145" t="s">
        <v>74</v>
      </c>
      <c r="O36" s="194">
        <f>O34+O35</f>
        <v>44961065.835530385</v>
      </c>
      <c r="P36" s="229">
        <f>O36/$C$12</f>
        <v>227.78590778096586</v>
      </c>
      <c r="R36" s="145" t="s">
        <v>71</v>
      </c>
      <c r="S36" s="221">
        <f>'Portfolio-Level CF'!C54</f>
        <v>-1815632.656775</v>
      </c>
      <c r="T36" s="229">
        <f>-S36/$C$12</f>
        <v>9.1985259965397219</v>
      </c>
    </row>
    <row r="37" spans="2:20" ht="13" x14ac:dyDescent="0.3">
      <c r="B37" s="153" t="s">
        <v>76</v>
      </c>
      <c r="C37" s="490">
        <v>1362000</v>
      </c>
      <c r="E37" s="145" t="str">
        <f t="shared" si="15"/>
        <v>2 Riverview Drive, Danbury, CT 06810</v>
      </c>
      <c r="F37" s="194">
        <f>'Property-Level CF'!CJ10</f>
        <v>1584598</v>
      </c>
      <c r="G37" s="194">
        <f>(F37/L7)*(1-'Portfolio-Level CF'!$AC$52)</f>
        <v>29920417.466969818</v>
      </c>
      <c r="H37" s="221">
        <f t="shared" si="16"/>
        <v>3325965.4669698179</v>
      </c>
      <c r="I37" s="225">
        <f>'Property-Level CF'!CJ44</f>
        <v>9.4007474761676368E-2</v>
      </c>
      <c r="J37" s="204">
        <f>'Property-Level CF'!CJ45</f>
        <v>2.1008022646431579</v>
      </c>
      <c r="K37" s="222">
        <f>'Property-Level CF'!CJ42</f>
        <v>7.7349588780016229E-2</v>
      </c>
      <c r="L37" s="321">
        <f>'Property-Level CF'!CJ20</f>
        <v>8.1059759214313076E-3</v>
      </c>
      <c r="N37" s="145"/>
      <c r="O37" s="155"/>
      <c r="P37" s="158"/>
      <c r="R37" s="145" t="s">
        <v>75</v>
      </c>
      <c r="S37" s="221">
        <f>S34+S35+S36</f>
        <v>3155869.6201640195</v>
      </c>
      <c r="T37" s="229">
        <f>S37/$C$12</f>
        <v>15.988558387318156</v>
      </c>
    </row>
    <row r="38" spans="2:20" ht="13" x14ac:dyDescent="0.3">
      <c r="B38" s="145" t="s">
        <v>78</v>
      </c>
      <c r="C38" s="489">
        <v>922000</v>
      </c>
      <c r="E38" s="145" t="str">
        <f t="shared" si="15"/>
        <v>226 White Street, Danbury, CT 06810</v>
      </c>
      <c r="F38" s="194">
        <f>'Property-Level CF'!DI10</f>
        <v>698088</v>
      </c>
      <c r="G38" s="194">
        <f>(F38/L8)*(1-'Portfolio-Level CF'!$AC$52)</f>
        <v>12934936.258181293</v>
      </c>
      <c r="H38" s="221">
        <f t="shared" si="16"/>
        <v>1678171.2581812926</v>
      </c>
      <c r="I38" s="225">
        <f>'Property-Level CF'!DI44</f>
        <v>0.10089337019127864</v>
      </c>
      <c r="J38" s="204">
        <f>'Property-Level CF'!DI45</f>
        <v>2.2070376714967241</v>
      </c>
      <c r="K38" s="222">
        <f>'Property-Level CF'!DI42</f>
        <v>8.1174707073074281E-2</v>
      </c>
      <c r="L38" s="236">
        <f>'Property-Level CF'!DI20</f>
        <v>9.5445431081692539E-3</v>
      </c>
      <c r="N38" s="145" t="s">
        <v>77</v>
      </c>
      <c r="O38" s="225">
        <f>'Portfolio-Level CF'!M44</f>
        <v>0.10385786908591887</v>
      </c>
      <c r="P38" s="158"/>
      <c r="R38" s="145"/>
      <c r="S38" s="221"/>
      <c r="T38" s="229"/>
    </row>
    <row r="39" spans="2:20" ht="13.5" thickBot="1" x14ac:dyDescent="0.35">
      <c r="B39" s="274" t="s">
        <v>24</v>
      </c>
      <c r="C39" s="276">
        <f>SUM(C37:C38)</f>
        <v>2284000</v>
      </c>
      <c r="E39" s="145" t="str">
        <f t="shared" si="15"/>
        <v>40 Old Ridgebury Road, Danbury, CT 06810</v>
      </c>
      <c r="F39" s="194">
        <f>'Property-Level CF'!EH10</f>
        <v>1567320</v>
      </c>
      <c r="G39" s="194">
        <f>(F39/L9)*(1-'Portfolio-Level CF'!$AC$52)</f>
        <v>30835680.990019236</v>
      </c>
      <c r="H39" s="221">
        <f t="shared" si="16"/>
        <v>3998898.9900192358</v>
      </c>
      <c r="I39" s="225">
        <f>'Property-Level CF'!EH44</f>
        <v>9.3715507031594036E-2</v>
      </c>
      <c r="J39" s="204">
        <f>'Property-Level CF'!EH45</f>
        <v>2.1235596282069751</v>
      </c>
      <c r="K39" s="222">
        <f>'Property-Level CF'!CJ42</f>
        <v>7.7349588780016229E-2</v>
      </c>
      <c r="L39" s="236">
        <f>'Property-Level CF'!EH20</f>
        <v>8.985366390499995E-3</v>
      </c>
      <c r="N39" s="145" t="s">
        <v>79</v>
      </c>
      <c r="O39" s="204">
        <f>'Portfolio-Level CF'!M45</f>
        <v>2.2381652661885925</v>
      </c>
      <c r="P39" s="158"/>
      <c r="R39" s="145" t="s">
        <v>77</v>
      </c>
      <c r="S39" s="222">
        <f>'Portfolio-Level CF'!M68</f>
        <v>0.14754039092428206</v>
      </c>
      <c r="T39" s="158"/>
    </row>
    <row r="40" spans="2:20" ht="13.5" thickBot="1" x14ac:dyDescent="0.35">
      <c r="B40" s="145"/>
      <c r="C40" s="158"/>
      <c r="E40" s="217" t="s">
        <v>24</v>
      </c>
      <c r="F40" s="218">
        <f>SUM(F34:F39)</f>
        <v>6512958</v>
      </c>
      <c r="G40" s="218">
        <f>F40/'Portfolio-Level CF'!M18*(1-'Portfolio-Level CF'!AC52)</f>
        <v>120511342.69995882</v>
      </c>
      <c r="H40" s="251">
        <f>G40-L30</f>
        <v>16760905.169958815</v>
      </c>
      <c r="I40" s="239">
        <f>'Portfolio-Level CF'!M44</f>
        <v>0.10385786908591887</v>
      </c>
      <c r="J40" s="299">
        <f>'Portfolio-Level CF'!M45</f>
        <v>2.2381652661885925</v>
      </c>
      <c r="K40" s="239">
        <f>'Portfolio-Level CF'!M42</f>
        <v>7.7659323212609085E-2</v>
      </c>
      <c r="L40" s="301">
        <f>'Portfolio-Level CF'!M20</f>
        <v>1.0811585025504167E-2</v>
      </c>
      <c r="N40" s="148" t="s">
        <v>80</v>
      </c>
      <c r="O40" s="230">
        <f>'Portfolio-Level CF'!M42</f>
        <v>7.7659323212609085E-2</v>
      </c>
      <c r="P40" s="219"/>
      <c r="R40" s="148" t="s">
        <v>79</v>
      </c>
      <c r="S40" s="200">
        <f>'Portfolio-Level CF'!M69</f>
        <v>2.2381652661885925</v>
      </c>
      <c r="T40" s="219"/>
    </row>
    <row r="41" spans="2:20" ht="15" thickBot="1" x14ac:dyDescent="0.4">
      <c r="B41" s="1" t="s">
        <v>17</v>
      </c>
      <c r="C41" s="271"/>
      <c r="G41" s="117"/>
    </row>
    <row r="42" spans="2:20" ht="13.5" thickBot="1" x14ac:dyDescent="0.35">
      <c r="B42" s="145" t="s">
        <v>83</v>
      </c>
      <c r="C42" s="489">
        <v>19050</v>
      </c>
      <c r="E42" s="512" t="s">
        <v>81</v>
      </c>
      <c r="F42" s="513"/>
      <c r="G42" s="513"/>
      <c r="H42" s="513"/>
      <c r="I42" s="513"/>
      <c r="J42" s="513"/>
      <c r="K42" s="513"/>
      <c r="L42" s="514"/>
      <c r="N42" s="512" t="s">
        <v>82</v>
      </c>
      <c r="O42" s="513"/>
      <c r="P42" s="514"/>
      <c r="R42" s="512" t="s">
        <v>82</v>
      </c>
      <c r="S42" s="513"/>
      <c r="T42" s="514"/>
    </row>
    <row r="43" spans="2:20" ht="13.5" thickBot="1" x14ac:dyDescent="0.35">
      <c r="B43" s="145" t="s">
        <v>86</v>
      </c>
      <c r="C43" s="489">
        <v>28000</v>
      </c>
      <c r="E43" s="3" t="s">
        <v>4</v>
      </c>
      <c r="F43" s="226" t="s">
        <v>84</v>
      </c>
      <c r="G43" s="226" t="s">
        <v>85</v>
      </c>
      <c r="H43" s="226" t="s">
        <v>60</v>
      </c>
      <c r="I43" s="226" t="s">
        <v>61</v>
      </c>
      <c r="J43" s="226" t="s">
        <v>62</v>
      </c>
      <c r="K43" s="226" t="s">
        <v>63</v>
      </c>
      <c r="L43" s="175" t="s">
        <v>64</v>
      </c>
      <c r="N43" s="3" t="s">
        <v>65</v>
      </c>
      <c r="O43" s="226" t="s">
        <v>66</v>
      </c>
      <c r="P43" s="175" t="s">
        <v>67</v>
      </c>
      <c r="R43" s="3" t="s">
        <v>68</v>
      </c>
      <c r="S43" s="226" t="s">
        <v>66</v>
      </c>
      <c r="T43" s="175" t="s">
        <v>67</v>
      </c>
    </row>
    <row r="44" spans="2:20" ht="13" x14ac:dyDescent="0.3">
      <c r="B44" s="145" t="s">
        <v>87</v>
      </c>
      <c r="C44" s="489">
        <v>33470</v>
      </c>
      <c r="E44" s="153" t="str">
        <f t="shared" ref="E44:E49" si="17">E34</f>
        <v>131 Kent Road, New Milford, CT 06776</v>
      </c>
      <c r="F44" s="227">
        <f>'Property-Level CF'!H10</f>
        <v>839376</v>
      </c>
      <c r="G44" s="227">
        <f>(F44/L4)*(1-'Portfolio-Level CF'!$AC$52)</f>
        <v>13814419.116458284</v>
      </c>
      <c r="H44" s="220">
        <f t="shared" ref="H44:H49" si="18">G44-J4</f>
        <v>517566.11645828374</v>
      </c>
      <c r="I44" s="248">
        <f>'Property-Level CF'!H44</f>
        <v>8.5837800412382759E-2</v>
      </c>
      <c r="J44" s="298">
        <f>'Property-Level CF'!H45</f>
        <v>1.4522655012419501</v>
      </c>
      <c r="K44" s="234">
        <f>'Property-Level CF'!H42</f>
        <v>7.37541770609276E-2</v>
      </c>
      <c r="L44" s="300">
        <f>'Property-Level CF'!H20</f>
        <v>4.1149148134447741E-3</v>
      </c>
      <c r="N44" s="153" t="s">
        <v>69</v>
      </c>
      <c r="O44" s="227">
        <f>SUM('Portfolio-Level CF'!T19:T23)</f>
        <v>56387826.533406705</v>
      </c>
      <c r="P44" s="228">
        <f>O44/$C$12</f>
        <v>285.67721907867804</v>
      </c>
      <c r="R44" s="153" t="s">
        <v>70</v>
      </c>
      <c r="S44" s="220">
        <f>SUM('Portfolio-Level CF'!H57:H61)</f>
        <v>3273299.4908640855</v>
      </c>
      <c r="T44" s="228">
        <f>S44/$C$12</f>
        <v>16.583492453068832</v>
      </c>
    </row>
    <row r="45" spans="2:20" ht="13" x14ac:dyDescent="0.3">
      <c r="B45" s="145" t="s">
        <v>88</v>
      </c>
      <c r="C45" s="489">
        <v>30000</v>
      </c>
      <c r="E45" s="145" t="str">
        <f t="shared" si="17"/>
        <v>164 Mount Pleasant Road, Newtown, CT 06470</v>
      </c>
      <c r="F45" s="194">
        <f>'Property-Level CF'!AG10</f>
        <v>762241</v>
      </c>
      <c r="G45" s="194">
        <f>(F45/L5)*(1-'Portfolio-Level CF'!$AC$52)</f>
        <v>17771923.065282945</v>
      </c>
      <c r="H45" s="221">
        <f t="shared" si="18"/>
        <v>7556061.1952829454</v>
      </c>
      <c r="I45" s="225">
        <f>'Property-Level CF'!AG44</f>
        <v>0.181735997763115</v>
      </c>
      <c r="J45" s="204">
        <f>'Property-Level CF'!AG45</f>
        <v>2.1865478518824717</v>
      </c>
      <c r="K45" s="222">
        <f>'Property-Level CF'!AG42</f>
        <v>8.7889411373912762E-2</v>
      </c>
      <c r="L45" s="321">
        <f>'Property-Level CF'!AG20</f>
        <v>1.6535849971387871E-2</v>
      </c>
      <c r="N45" s="145" t="s">
        <v>71</v>
      </c>
      <c r="O45" s="194">
        <f>O35</f>
        <v>-36312653.135499999</v>
      </c>
      <c r="P45" s="229">
        <f>-O45/$C$12</f>
        <v>183.97051993079444</v>
      </c>
      <c r="R45" s="145" t="s">
        <v>72</v>
      </c>
      <c r="S45" s="221">
        <f>SUM('Portfolio-Level CF'!D53:H53)</f>
        <v>453908.16419375001</v>
      </c>
      <c r="T45" s="229">
        <f>S45/$C$12</f>
        <v>2.2996314991349305</v>
      </c>
    </row>
    <row r="46" spans="2:20" ht="13" x14ac:dyDescent="0.3">
      <c r="B46" s="145" t="s">
        <v>89</v>
      </c>
      <c r="C46" s="489">
        <v>30000</v>
      </c>
      <c r="E46" s="145" t="str">
        <f t="shared" si="17"/>
        <v>170 Mount Pleasant Road, Newtown, CT 06470</v>
      </c>
      <c r="F46" s="194">
        <f>'Property-Level CF'!BF10</f>
        <v>891356</v>
      </c>
      <c r="G46" s="194">
        <f>(F46/L6)*(1-'Portfolio-Level CF'!$AC$52)</f>
        <v>14835785.203198075</v>
      </c>
      <c r="H46" s="221">
        <f t="shared" si="18"/>
        <v>3786499.0731980745</v>
      </c>
      <c r="I46" s="225">
        <f>'Property-Level CF'!BF44</f>
        <v>0.14465337964823655</v>
      </c>
      <c r="J46" s="204">
        <f>'Property-Level CF'!BF45</f>
        <v>1.85961999901077</v>
      </c>
      <c r="K46" s="222">
        <f>'Property-Level CF'!BF42</f>
        <v>8.6553640779842247E-2</v>
      </c>
      <c r="L46" s="321">
        <f>'Property-Level CF'!BF20</f>
        <v>1.035735912565721E-2</v>
      </c>
      <c r="N46" s="145" t="s">
        <v>74</v>
      </c>
      <c r="O46" s="194">
        <f>O44+O45</f>
        <v>20075173.397906706</v>
      </c>
      <c r="P46" s="229">
        <f>O46/$C$12</f>
        <v>101.70669914788358</v>
      </c>
      <c r="Q46" s="116"/>
      <c r="R46" s="145" t="s">
        <v>71</v>
      </c>
      <c r="S46" s="221">
        <f>S36</f>
        <v>-1815632.656775</v>
      </c>
      <c r="T46" s="229">
        <f>-S46/$C$12</f>
        <v>9.1985259965397219</v>
      </c>
    </row>
    <row r="47" spans="2:20" ht="13" x14ac:dyDescent="0.3">
      <c r="B47" s="145" t="s">
        <v>90</v>
      </c>
      <c r="C47" s="489">
        <v>294951</v>
      </c>
      <c r="E47" s="145" t="str">
        <f t="shared" si="17"/>
        <v>2 Riverview Drive, Danbury, CT 06810</v>
      </c>
      <c r="F47" s="194">
        <f>'Property-Level CF'!CE10</f>
        <v>1451191</v>
      </c>
      <c r="G47" s="194">
        <f>(F47/L7)*(1-'Portfolio-Level CF'!$AC$52)</f>
        <v>27401423.291149803</v>
      </c>
      <c r="H47" s="221">
        <f t="shared" si="18"/>
        <v>806971.29114980251</v>
      </c>
      <c r="I47" s="225">
        <f>'Property-Level CF'!CE44</f>
        <v>7.7831229580804573E-2</v>
      </c>
      <c r="J47" s="204">
        <f>'Property-Level CF'!CE45</f>
        <v>1.4121116355452965</v>
      </c>
      <c r="K47" s="222">
        <f>'Property-Level CF'!CE42</f>
        <v>7.0580685105938457E-2</v>
      </c>
      <c r="L47" s="321">
        <f>'Property-Level CF'!CE20</f>
        <v>3.136468500635245E-3</v>
      </c>
      <c r="N47" s="145"/>
      <c r="O47" s="155"/>
      <c r="P47" s="158"/>
      <c r="Q47" s="116"/>
      <c r="R47" s="145" t="s">
        <v>75</v>
      </c>
      <c r="S47" s="221">
        <f>S44+S45+S46</f>
        <v>1911574.9982828354</v>
      </c>
      <c r="T47" s="229">
        <f>S47/$C$12</f>
        <v>9.6845979556640405</v>
      </c>
    </row>
    <row r="48" spans="2:20" ht="13" x14ac:dyDescent="0.3">
      <c r="B48" s="145" t="s">
        <v>91</v>
      </c>
      <c r="C48" s="489">
        <v>500000</v>
      </c>
      <c r="E48" s="145" t="str">
        <f t="shared" si="17"/>
        <v>226 White Street, Danbury, CT 06810</v>
      </c>
      <c r="F48" s="194">
        <f>'Property-Level CF'!DD10</f>
        <v>632280</v>
      </c>
      <c r="G48" s="194">
        <f>(F48/L8)*(1-'Portfolio-Level CF'!$AC$52)</f>
        <v>11715573.82066855</v>
      </c>
      <c r="H48" s="221">
        <f t="shared" si="18"/>
        <v>458808.82066855021</v>
      </c>
      <c r="I48" s="225">
        <f>'Property-Level CF'!DD44</f>
        <v>8.5187852640569606E-2</v>
      </c>
      <c r="J48" s="204">
        <f>'Property-Level CF'!DD45</f>
        <v>1.4547835619951404</v>
      </c>
      <c r="K48" s="222">
        <f>'Property-Level CF'!DD42</f>
        <v>7.3219268435098739E-2</v>
      </c>
      <c r="L48" s="321">
        <f>'Property-Level CF'!DD20</f>
        <v>3.7530457359312847E-3</v>
      </c>
      <c r="N48" s="145" t="s">
        <v>77</v>
      </c>
      <c r="O48" s="225">
        <f>'Portfolio-Level CF'!H44</f>
        <v>0.10227762011571562</v>
      </c>
      <c r="P48" s="158"/>
      <c r="R48" s="145"/>
      <c r="S48" s="221"/>
      <c r="T48" s="229"/>
    </row>
    <row r="49" spans="2:20" ht="13.5" thickBot="1" x14ac:dyDescent="0.35">
      <c r="B49" s="274" t="s">
        <v>24</v>
      </c>
      <c r="C49" s="275">
        <f>SUM(C42:C48)</f>
        <v>935471</v>
      </c>
      <c r="E49" s="148" t="str">
        <f t="shared" si="17"/>
        <v>40 Old Ridgebury Road, Danbury, CT 06810</v>
      </c>
      <c r="F49" s="216">
        <f>'Property-Level CF'!EC10</f>
        <v>1419623</v>
      </c>
      <c r="G49" s="194">
        <f>(F49/L9)*(1-'Portfolio-Level CF'!$AC$52)</f>
        <v>27929868.791372582</v>
      </c>
      <c r="H49" s="250">
        <f t="shared" si="18"/>
        <v>1093086.7913725823</v>
      </c>
      <c r="I49" s="230">
        <f>'Property-Level CF'!EC44</f>
        <v>7.760794290231332E-2</v>
      </c>
      <c r="J49" s="200">
        <f>'Property-Level CF'!EC45</f>
        <v>1.4153902896054555</v>
      </c>
      <c r="K49" s="222">
        <f>'Property-Level CF'!EC42</f>
        <v>6.5356225628998704E-2</v>
      </c>
      <c r="L49" s="321">
        <f>'Property-Level CF'!EC20</f>
        <v>3.5332262927592895E-3</v>
      </c>
      <c r="N49" s="145" t="s">
        <v>79</v>
      </c>
      <c r="O49" s="204">
        <f>'Portfolio-Level CF'!H45</f>
        <v>1.5528423748877991</v>
      </c>
      <c r="P49" s="158"/>
      <c r="R49" s="145" t="s">
        <v>77</v>
      </c>
      <c r="S49" s="222">
        <f>'Portfolio-Level CF'!H68</f>
        <v>0.1489995728901099</v>
      </c>
      <c r="T49" s="158"/>
    </row>
    <row r="50" spans="2:20" ht="13.5" thickBot="1" x14ac:dyDescent="0.35">
      <c r="B50" s="145"/>
      <c r="C50" s="158"/>
      <c r="E50" s="217" t="s">
        <v>24</v>
      </c>
      <c r="F50" s="218">
        <f>SUM(F44:F49)</f>
        <v>5996067</v>
      </c>
      <c r="G50" s="218">
        <f>F50/'Portfolio-Level CF'!H18*(1-'Portfolio-Level CF'!AC52)</f>
        <v>110860030.59512092</v>
      </c>
      <c r="H50" s="251">
        <f>G50-L30</f>
        <v>7109593.0651209205</v>
      </c>
      <c r="I50" s="239">
        <f>'Portfolio-Level CF'!H44</f>
        <v>0.10227762011571562</v>
      </c>
      <c r="J50" s="299">
        <f>'Portfolio-Level CF'!H45</f>
        <v>1.5528423748877991</v>
      </c>
      <c r="K50" s="239">
        <f>'Portfolio-Level CF'!H42</f>
        <v>7.1410812558393683E-2</v>
      </c>
      <c r="L50" s="301">
        <f>'Portfolio-Level CF'!H20</f>
        <v>5.7886915514568926E-3</v>
      </c>
      <c r="N50" s="148" t="s">
        <v>80</v>
      </c>
      <c r="O50" s="230">
        <f>'Portfolio-Level CF'!H42</f>
        <v>7.1410812558393683E-2</v>
      </c>
      <c r="P50" s="219"/>
      <c r="R50" s="148" t="s">
        <v>79</v>
      </c>
      <c r="S50" s="200">
        <f>'Portfolio-Level CF'!H69</f>
        <v>1.5528423748877993</v>
      </c>
      <c r="T50" s="219"/>
    </row>
    <row r="51" spans="2:20" ht="15" thickBot="1" x14ac:dyDescent="0.4">
      <c r="B51" s="1" t="s">
        <v>92</v>
      </c>
      <c r="C51" s="272"/>
    </row>
    <row r="52" spans="2:20" ht="15" thickBot="1" x14ac:dyDescent="0.4">
      <c r="B52" s="145" t="s">
        <v>405</v>
      </c>
      <c r="C52" s="489">
        <f>75*2297</f>
        <v>172275</v>
      </c>
      <c r="E52" s="512" t="s">
        <v>93</v>
      </c>
      <c r="F52" s="513"/>
      <c r="G52" s="513"/>
      <c r="H52" s="513"/>
      <c r="I52" s="513"/>
      <c r="J52" s="513"/>
      <c r="K52" s="513"/>
      <c r="L52" s="514"/>
    </row>
    <row r="53" spans="2:20" ht="15" thickBot="1" x14ac:dyDescent="0.4">
      <c r="B53" s="145" t="s">
        <v>100</v>
      </c>
      <c r="C53" s="489">
        <f>120*3825</f>
        <v>459000</v>
      </c>
      <c r="E53" s="3" t="s">
        <v>4</v>
      </c>
      <c r="F53" s="226" t="s">
        <v>94</v>
      </c>
      <c r="G53" s="226" t="s">
        <v>95</v>
      </c>
      <c r="H53" s="226" t="s">
        <v>96</v>
      </c>
      <c r="I53" s="226" t="s">
        <v>97</v>
      </c>
      <c r="J53" s="226" t="s">
        <v>98</v>
      </c>
      <c r="K53" s="226" t="s">
        <v>99</v>
      </c>
      <c r="L53" s="175" t="s">
        <v>64</v>
      </c>
    </row>
    <row r="54" spans="2:20" x14ac:dyDescent="0.35">
      <c r="B54" s="145" t="s">
        <v>101</v>
      </c>
      <c r="C54" s="489">
        <f>20*'Rent Roll'!C24</f>
        <v>188220</v>
      </c>
      <c r="E54" s="153" t="s">
        <v>12</v>
      </c>
      <c r="F54" s="220">
        <f>H4</f>
        <v>776823</v>
      </c>
      <c r="G54" s="402">
        <v>0</v>
      </c>
      <c r="H54" s="399">
        <f>'Cash Flow Dump'!B44-'Cash Flow Dump'!B22</f>
        <v>6458</v>
      </c>
      <c r="I54" s="220">
        <f t="shared" ref="I54:I59" si="19">F54+SUM(G54:H54)</f>
        <v>783281</v>
      </c>
      <c r="J54" s="220">
        <f>I54-F54</f>
        <v>6458</v>
      </c>
      <c r="K54" s="234">
        <f t="shared" ref="K54:K60" si="20">I54/J4</f>
        <v>5.8907246699651417E-2</v>
      </c>
      <c r="L54" s="300">
        <f t="shared" ref="L54:L60" si="21">K54-L4</f>
        <v>4.8567882941926571E-4</v>
      </c>
    </row>
    <row r="55" spans="2:20" x14ac:dyDescent="0.35">
      <c r="B55" s="145" t="s">
        <v>102</v>
      </c>
      <c r="C55" s="489">
        <f>100*'Rent Roll'!C28</f>
        <v>377000</v>
      </c>
      <c r="E55" s="145" t="s">
        <v>14</v>
      </c>
      <c r="F55" s="221">
        <f t="shared" ref="F55:F59" si="22">H5</f>
        <v>421291</v>
      </c>
      <c r="G55" s="400">
        <f>-'Cash Flow Dump'!P16</f>
        <v>67769</v>
      </c>
      <c r="H55" s="400">
        <f>'Cash Flow Dump'!P44-'Cash Flow Dump'!P22</f>
        <v>72422</v>
      </c>
      <c r="I55" s="221">
        <f t="shared" si="19"/>
        <v>561482</v>
      </c>
      <c r="J55" s="221">
        <f t="shared" ref="J55:J59" si="23">I55-F55</f>
        <v>140191</v>
      </c>
      <c r="K55" s="222">
        <f t="shared" si="20"/>
        <v>5.4961784638930325E-2</v>
      </c>
      <c r="L55" s="321">
        <f t="shared" si="21"/>
        <v>1.372287544447779E-2</v>
      </c>
    </row>
    <row r="56" spans="2:20" x14ac:dyDescent="0.35">
      <c r="B56" s="274" t="s">
        <v>24</v>
      </c>
      <c r="C56" s="197">
        <f>SUM(C52:C55)</f>
        <v>1196495</v>
      </c>
      <c r="E56" s="145" t="s">
        <v>16</v>
      </c>
      <c r="F56" s="221">
        <f t="shared" si="22"/>
        <v>638299</v>
      </c>
      <c r="G56" s="400">
        <f>-'Cash Flow Dump'!AD16</f>
        <v>82913</v>
      </c>
      <c r="H56" s="400">
        <f>'Cash Flow Dump'!AD46-'Cash Flow Dump'!AD22</f>
        <v>28810</v>
      </c>
      <c r="I56" s="221">
        <f t="shared" si="19"/>
        <v>750022</v>
      </c>
      <c r="J56" s="221">
        <f t="shared" si="23"/>
        <v>111723</v>
      </c>
      <c r="K56" s="222">
        <f t="shared" si="20"/>
        <v>6.787967939065398E-2</v>
      </c>
      <c r="L56" s="321">
        <f t="shared" si="21"/>
        <v>1.0111331961678495E-2</v>
      </c>
    </row>
    <row r="57" spans="2:20" ht="15" thickBot="1" x14ac:dyDescent="0.4">
      <c r="B57" s="145"/>
      <c r="C57" s="158"/>
      <c r="E57" s="145" t="s">
        <v>18</v>
      </c>
      <c r="F57" s="221">
        <f t="shared" si="22"/>
        <v>1354228</v>
      </c>
      <c r="G57" s="401">
        <v>0</v>
      </c>
      <c r="H57" s="401">
        <f>'Cash Flow Dump'!AR44-'Cash Flow Dump'!AR21</f>
        <v>0</v>
      </c>
      <c r="I57" s="221">
        <f t="shared" si="19"/>
        <v>1354228</v>
      </c>
      <c r="J57" s="221">
        <f t="shared" si="23"/>
        <v>0</v>
      </c>
      <c r="K57" s="222">
        <f t="shared" si="20"/>
        <v>5.0921447826787335E-2</v>
      </c>
      <c r="L57" s="321">
        <f t="shared" si="21"/>
        <v>0</v>
      </c>
    </row>
    <row r="58" spans="2:20" ht="15" thickBot="1" x14ac:dyDescent="0.4">
      <c r="B58" s="1" t="s">
        <v>103</v>
      </c>
      <c r="C58" s="272"/>
      <c r="E58" s="145" t="s">
        <v>20</v>
      </c>
      <c r="F58" s="221">
        <f t="shared" si="22"/>
        <v>584129</v>
      </c>
      <c r="G58" s="401">
        <v>0</v>
      </c>
      <c r="H58" s="401">
        <f>'Cash Flow Dump'!BF37-'Cash Flow Dump'!BF20</f>
        <v>0</v>
      </c>
      <c r="I58" s="221">
        <f t="shared" si="19"/>
        <v>584129</v>
      </c>
      <c r="J58" s="221">
        <f t="shared" si="23"/>
        <v>0</v>
      </c>
      <c r="K58" s="222">
        <f t="shared" si="20"/>
        <v>5.1891373765020413E-2</v>
      </c>
      <c r="L58" s="321">
        <f t="shared" si="21"/>
        <v>0</v>
      </c>
    </row>
    <row r="59" spans="2:20" ht="15" thickBot="1" x14ac:dyDescent="0.4">
      <c r="B59" s="145" t="s">
        <v>104</v>
      </c>
      <c r="C59" s="195">
        <f>'Rent Roll'!M28</f>
        <v>53925.030000000006</v>
      </c>
      <c r="E59" s="148" t="s">
        <v>22</v>
      </c>
      <c r="F59" s="250">
        <f t="shared" si="22"/>
        <v>1311547</v>
      </c>
      <c r="G59" s="403">
        <v>0</v>
      </c>
      <c r="H59" s="403">
        <f>'Cash Flow Dump'!BT43-'Cash Flow Dump'!BT20</f>
        <v>0</v>
      </c>
      <c r="I59" s="250">
        <f t="shared" si="19"/>
        <v>1311547</v>
      </c>
      <c r="J59" s="250">
        <f t="shared" si="23"/>
        <v>0</v>
      </c>
      <c r="K59" s="404">
        <f t="shared" si="20"/>
        <v>4.8871246932661302E-2</v>
      </c>
      <c r="L59" s="405">
        <f t="shared" si="21"/>
        <v>0</v>
      </c>
    </row>
    <row r="60" spans="2:20" ht="15" thickBot="1" x14ac:dyDescent="0.4">
      <c r="B60" s="145" t="s">
        <v>105</v>
      </c>
      <c r="C60" s="247">
        <f>'Rent Roll'!M29</f>
        <v>20546.5</v>
      </c>
      <c r="E60" s="217" t="s">
        <v>24</v>
      </c>
      <c r="F60" s="251">
        <f>SUM(F54:F59)</f>
        <v>5086317</v>
      </c>
      <c r="G60" s="218">
        <f>SUM(G54:G59)</f>
        <v>150682</v>
      </c>
      <c r="H60" s="218">
        <f>SUM(H54:H59)</f>
        <v>107690</v>
      </c>
      <c r="I60" s="218">
        <f>SUM(I54:I59)</f>
        <v>5344689</v>
      </c>
      <c r="J60" s="251">
        <f>I60-H10</f>
        <v>258372</v>
      </c>
      <c r="K60" s="239">
        <f t="shared" si="20"/>
        <v>5.385077078085642E-2</v>
      </c>
      <c r="L60" s="301">
        <f t="shared" si="21"/>
        <v>2.6032443324936969E-3</v>
      </c>
    </row>
    <row r="61" spans="2:20" ht="15" thickBot="1" x14ac:dyDescent="0.4">
      <c r="B61" s="274" t="s">
        <v>24</v>
      </c>
      <c r="C61" s="211">
        <f>SUM(C59:C60)</f>
        <v>74471.53</v>
      </c>
    </row>
    <row r="62" spans="2:20" ht="15" thickBot="1" x14ac:dyDescent="0.4">
      <c r="B62" s="148"/>
      <c r="C62" s="219"/>
      <c r="E62" s="512" t="s">
        <v>106</v>
      </c>
      <c r="F62" s="513"/>
      <c r="G62" s="513"/>
      <c r="H62" s="513"/>
      <c r="I62" s="513"/>
      <c r="J62" s="513"/>
      <c r="K62" s="513"/>
      <c r="L62" s="514"/>
      <c r="M62" s="12"/>
      <c r="O62" s="115"/>
    </row>
    <row r="63" spans="2:20" ht="15" thickBot="1" x14ac:dyDescent="0.4">
      <c r="B63" s="1" t="s">
        <v>107</v>
      </c>
      <c r="C63" s="243"/>
      <c r="E63" s="3" t="s">
        <v>4</v>
      </c>
      <c r="F63" s="226" t="s">
        <v>29</v>
      </c>
      <c r="G63" s="226" t="s">
        <v>30</v>
      </c>
      <c r="H63" s="226" t="s">
        <v>31</v>
      </c>
      <c r="I63" s="226" t="s">
        <v>13</v>
      </c>
      <c r="J63" s="226" t="s">
        <v>32</v>
      </c>
      <c r="K63" s="226" t="s">
        <v>99</v>
      </c>
      <c r="L63" s="175" t="s">
        <v>64</v>
      </c>
      <c r="M63" s="12"/>
      <c r="O63" s="115"/>
    </row>
    <row r="64" spans="2:20" x14ac:dyDescent="0.35">
      <c r="B64" s="153" t="s">
        <v>104</v>
      </c>
      <c r="C64" s="346">
        <f>C66*('Rent Roll'!C24)/('Rent Roll'!C24+'Rent Roll'!C28)</f>
        <v>7139.8224717396251</v>
      </c>
      <c r="E64" s="153" t="s">
        <v>12</v>
      </c>
      <c r="F64" s="227">
        <f>Summary!F14</f>
        <v>125328.1649648665</v>
      </c>
      <c r="G64" s="227">
        <f>Summary!G14</f>
        <v>0</v>
      </c>
      <c r="H64" s="227">
        <f>Summary!H14</f>
        <v>0</v>
      </c>
      <c r="I64" s="227">
        <f>Summary!I14</f>
        <v>0</v>
      </c>
      <c r="J64" s="227">
        <f>Summary!J14</f>
        <v>13422181.164964866</v>
      </c>
      <c r="K64" s="234">
        <f t="shared" ref="K64:K70" si="24">I54/J64</f>
        <v>5.8357206654649586E-2</v>
      </c>
      <c r="L64" s="300">
        <f>K64-L14</f>
        <v>4.8114385587768455E-4</v>
      </c>
      <c r="M64" s="12"/>
      <c r="O64" s="115"/>
    </row>
    <row r="65" spans="2:15" x14ac:dyDescent="0.35">
      <c r="B65" s="145" t="s">
        <v>105</v>
      </c>
      <c r="C65" s="247">
        <f>C66*('Rent Roll'!C28)/('Rent Roll'!C24+'Rent Roll'!C28)</f>
        <v>2860.1775282603749</v>
      </c>
      <c r="E65" s="145" t="s">
        <v>14</v>
      </c>
      <c r="F65" s="194">
        <f>Summary!F15</f>
        <v>96288.589616027908</v>
      </c>
      <c r="G65" s="194">
        <f>Summary!G15</f>
        <v>565220</v>
      </c>
      <c r="H65" s="194">
        <f>Summary!H15</f>
        <v>74471.53</v>
      </c>
      <c r="I65" s="194">
        <f>Summary!I15</f>
        <v>0</v>
      </c>
      <c r="J65" s="194">
        <f>Summary!J15</f>
        <v>10961841.989616027</v>
      </c>
      <c r="K65" s="222">
        <f t="shared" si="24"/>
        <v>5.1221500960503048E-2</v>
      </c>
      <c r="L65" s="321">
        <f t="shared" ref="L65:L70" si="25">K65-L15</f>
        <v>1.2789000254957203E-2</v>
      </c>
      <c r="M65" s="12"/>
      <c r="O65" s="115"/>
    </row>
    <row r="66" spans="2:15" x14ac:dyDescent="0.35">
      <c r="B66" s="274" t="s">
        <v>24</v>
      </c>
      <c r="C66" s="491">
        <v>10000</v>
      </c>
      <c r="E66" s="145" t="s">
        <v>16</v>
      </c>
      <c r="F66" s="194">
        <f>Summary!F16</f>
        <v>104143.94705609301</v>
      </c>
      <c r="G66" s="194">
        <f>Summary!G16</f>
        <v>631275</v>
      </c>
      <c r="H66" s="194">
        <f>Summary!H16</f>
        <v>0</v>
      </c>
      <c r="I66" s="194">
        <f>Summary!I16</f>
        <v>2284000</v>
      </c>
      <c r="J66" s="194">
        <f>Summary!J16</f>
        <v>14068705.077056095</v>
      </c>
      <c r="K66" s="222">
        <f t="shared" si="24"/>
        <v>5.3311374137991641E-2</v>
      </c>
      <c r="L66" s="321">
        <f t="shared" si="25"/>
        <v>7.9412425939756962E-3</v>
      </c>
      <c r="M66" s="12"/>
      <c r="O66" s="115"/>
    </row>
    <row r="67" spans="2:15" ht="15" thickBot="1" x14ac:dyDescent="0.4">
      <c r="B67" s="148"/>
      <c r="C67" s="219"/>
      <c r="E67" s="145" t="s">
        <v>18</v>
      </c>
      <c r="F67" s="194">
        <f>Summary!F17</f>
        <v>250663.36127850882</v>
      </c>
      <c r="G67" s="194">
        <f>Summary!G17</f>
        <v>0</v>
      </c>
      <c r="H67" s="194">
        <f>Summary!H17</f>
        <v>0</v>
      </c>
      <c r="I67" s="194">
        <f>Summary!I17</f>
        <v>0</v>
      </c>
      <c r="J67" s="194">
        <f>Summary!J17</f>
        <v>26845115.361278508</v>
      </c>
      <c r="K67" s="222">
        <f t="shared" si="24"/>
        <v>5.0445974315064535E-2</v>
      </c>
      <c r="L67" s="321">
        <f t="shared" si="25"/>
        <v>0</v>
      </c>
      <c r="M67" s="12"/>
      <c r="O67" s="115"/>
    </row>
    <row r="68" spans="2:15" x14ac:dyDescent="0.35">
      <c r="E68" s="145" t="s">
        <v>20</v>
      </c>
      <c r="F68" s="194">
        <f>Summary!F18</f>
        <v>106099.51850191435</v>
      </c>
      <c r="G68" s="194">
        <f>Summary!G18</f>
        <v>0</v>
      </c>
      <c r="H68" s="194">
        <f>Summary!H18</f>
        <v>0</v>
      </c>
      <c r="I68" s="194">
        <f>Summary!I18</f>
        <v>0</v>
      </c>
      <c r="J68" s="194">
        <f>Summary!J18</f>
        <v>11362864.518501915</v>
      </c>
      <c r="K68" s="222">
        <f t="shared" si="24"/>
        <v>5.1406843674750756E-2</v>
      </c>
      <c r="L68" s="321">
        <f t="shared" si="25"/>
        <v>0</v>
      </c>
      <c r="M68" s="12"/>
      <c r="O68" s="115"/>
    </row>
    <row r="69" spans="2:15" ht="15" thickBot="1" x14ac:dyDescent="0.4">
      <c r="E69" s="148" t="s">
        <v>22</v>
      </c>
      <c r="F69" s="216">
        <f>Summary!F19</f>
        <v>252947.41858258942</v>
      </c>
      <c r="G69" s="216">
        <f>Summary!G19</f>
        <v>0</v>
      </c>
      <c r="H69" s="216">
        <f>Summary!H19</f>
        <v>0</v>
      </c>
      <c r="I69" s="216">
        <f>Summary!I19</f>
        <v>0</v>
      </c>
      <c r="J69" s="216">
        <f>Summary!J19</f>
        <v>27089729.418582588</v>
      </c>
      <c r="K69" s="404">
        <f t="shared" si="24"/>
        <v>4.8414916950049916E-2</v>
      </c>
      <c r="L69" s="321">
        <f t="shared" si="25"/>
        <v>0</v>
      </c>
      <c r="M69" s="12"/>
      <c r="O69" s="115"/>
    </row>
    <row r="70" spans="2:15" ht="15" thickBot="1" x14ac:dyDescent="0.4">
      <c r="C70" s="117"/>
      <c r="E70" s="217" t="s">
        <v>24</v>
      </c>
      <c r="F70" s="218">
        <f>SUM(F64:F69)</f>
        <v>935471</v>
      </c>
      <c r="G70" s="218">
        <f>SUM(G64:G69)</f>
        <v>1196495</v>
      </c>
      <c r="H70" s="218">
        <f>SUM(H64:H69)</f>
        <v>74471.53</v>
      </c>
      <c r="I70" s="218">
        <f>SUM(I64:I69)</f>
        <v>2284000</v>
      </c>
      <c r="J70" s="218">
        <f>SUM(J64:J69)</f>
        <v>103750437.53</v>
      </c>
      <c r="K70" s="239">
        <f t="shared" si="24"/>
        <v>5.1514857452572713E-2</v>
      </c>
      <c r="L70" s="301">
        <f t="shared" si="25"/>
        <v>2.4903220280424396E-3</v>
      </c>
      <c r="M70" s="12"/>
      <c r="O70" s="115"/>
    </row>
  </sheetData>
  <sheetProtection formatCells="0" formatColumns="0" formatRows="0" insertColumns="0" insertRows="0" insertHyperlinks="0" deleteColumns="0" deleteRows="0" sort="0" autoFilter="0" pivotTables="0"/>
  <mergeCells count="11">
    <mergeCell ref="E52:L52"/>
    <mergeCell ref="E62:L62"/>
    <mergeCell ref="E12:L12"/>
    <mergeCell ref="N42:P42"/>
    <mergeCell ref="R42:T42"/>
    <mergeCell ref="E2:L2"/>
    <mergeCell ref="R32:T32"/>
    <mergeCell ref="E22:L22"/>
    <mergeCell ref="E32:L32"/>
    <mergeCell ref="E42:L42"/>
    <mergeCell ref="N32:P32"/>
  </mergeCells>
  <pageMargins left="0.7" right="0.7" top="0.75" bottom="0.75" header="0.3" footer="0.3"/>
  <pageSetup orientation="portrait" r:id="rId1"/>
  <ignoredErrors>
    <ignoredError sqref="K38 P45 P35 T36 T46 J15 K60"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5C2F-2757-4867-817E-8AC4B2978585}">
  <sheetPr codeName="Sheet2">
    <tabColor theme="5" tint="-0.499984740745262"/>
  </sheetPr>
  <dimension ref="B1:AL145"/>
  <sheetViews>
    <sheetView zoomScale="87" zoomScaleNormal="60" workbookViewId="0">
      <selection activeCell="H14" sqref="H14"/>
    </sheetView>
  </sheetViews>
  <sheetFormatPr defaultColWidth="8.7265625" defaultRowHeight="13" x14ac:dyDescent="0.3"/>
  <cols>
    <col min="1" max="1" width="3.54296875" style="115" customWidth="1"/>
    <col min="2" max="2" width="35.54296875" style="115" customWidth="1"/>
    <col min="3" max="13" width="12.54296875" style="115" customWidth="1"/>
    <col min="14" max="14" width="3.81640625" style="115" customWidth="1"/>
    <col min="15" max="15" width="15.54296875" style="115" customWidth="1"/>
    <col min="16" max="16" width="14.453125" style="115" bestFit="1" customWidth="1"/>
    <col min="17" max="25" width="11.81640625" style="115" bestFit="1" customWidth="1"/>
    <col min="26" max="26" width="4.6328125" style="115" customWidth="1"/>
    <col min="27" max="27" width="3.26953125" style="115" bestFit="1" customWidth="1"/>
    <col min="28" max="28" width="23.81640625" style="115" customWidth="1"/>
    <col min="29" max="29" width="12.54296875" style="394" bestFit="1" customWidth="1"/>
    <col min="30" max="33" width="12.26953125" style="394" bestFit="1" customWidth="1"/>
    <col min="34" max="36" width="12.54296875" style="394" bestFit="1" customWidth="1"/>
    <col min="37" max="37" width="13.1796875" style="394" bestFit="1" customWidth="1"/>
    <col min="38" max="38" width="12.54296875" style="394" bestFit="1" customWidth="1"/>
    <col min="39" max="16384" width="8.7265625" style="115"/>
  </cols>
  <sheetData>
    <row r="1" spans="2:38" ht="7.5" customHeight="1" thickBot="1" x14ac:dyDescent="0.35"/>
    <row r="2" spans="2:38" ht="15" customHeight="1" thickBot="1" x14ac:dyDescent="0.35">
      <c r="B2" s="515" t="s">
        <v>108</v>
      </c>
      <c r="C2" s="516"/>
      <c r="D2" s="516"/>
      <c r="E2" s="516"/>
      <c r="F2" s="516"/>
      <c r="G2" s="516"/>
      <c r="H2" s="516"/>
      <c r="I2" s="516"/>
      <c r="J2" s="516"/>
      <c r="K2" s="516"/>
      <c r="L2" s="516"/>
      <c r="M2" s="517"/>
      <c r="O2" s="168" t="s">
        <v>109</v>
      </c>
      <c r="P2" s="169" t="str">
        <f t="shared" ref="P2:Y2" si="0">D5</f>
        <v>Year 1</v>
      </c>
      <c r="Q2" s="169" t="str">
        <f t="shared" si="0"/>
        <v>Year 2</v>
      </c>
      <c r="R2" s="169" t="str">
        <f t="shared" si="0"/>
        <v>Year 3</v>
      </c>
      <c r="S2" s="169" t="str">
        <f t="shared" si="0"/>
        <v>Year 4</v>
      </c>
      <c r="T2" s="169" t="str">
        <f t="shared" si="0"/>
        <v>Year 5</v>
      </c>
      <c r="U2" s="169" t="str">
        <f t="shared" si="0"/>
        <v>Year 6</v>
      </c>
      <c r="V2" s="169" t="str">
        <f t="shared" si="0"/>
        <v>Year 7</v>
      </c>
      <c r="W2" s="169" t="str">
        <f t="shared" si="0"/>
        <v>Year 8</v>
      </c>
      <c r="X2" s="169" t="str">
        <f t="shared" si="0"/>
        <v>Year 9</v>
      </c>
      <c r="Y2" s="170" t="str">
        <f t="shared" si="0"/>
        <v>Year 10</v>
      </c>
      <c r="AA2" s="105" t="s">
        <v>108</v>
      </c>
      <c r="AB2" s="106"/>
      <c r="AC2" s="107"/>
      <c r="AD2" s="107"/>
      <c r="AE2" s="107"/>
      <c r="AF2" s="107"/>
      <c r="AG2" s="107"/>
      <c r="AH2" s="107"/>
      <c r="AI2" s="107"/>
      <c r="AJ2" s="107"/>
      <c r="AK2" s="107"/>
      <c r="AL2" s="108"/>
    </row>
    <row r="3" spans="2:38" ht="13.5" thickBot="1" x14ac:dyDescent="0.35">
      <c r="B3" s="180" t="s">
        <v>111</v>
      </c>
      <c r="C3" s="181"/>
      <c r="D3" s="181"/>
      <c r="E3" s="181"/>
      <c r="F3" s="181"/>
      <c r="G3" s="181"/>
      <c r="H3" s="181"/>
      <c r="I3" s="181"/>
      <c r="J3" s="181"/>
      <c r="K3" s="181"/>
      <c r="L3" s="181"/>
      <c r="M3" s="182"/>
      <c r="O3" s="171" t="s">
        <v>112</v>
      </c>
      <c r="P3" s="172">
        <f t="shared" ref="P3:Y3" si="1">IRR(P4:P15)</f>
        <v>9.5634647787203875E-3</v>
      </c>
      <c r="Q3" s="172">
        <f t="shared" si="1"/>
        <v>3.6675356477720245E-2</v>
      </c>
      <c r="R3" s="172">
        <f t="shared" si="1"/>
        <v>6.0475501425535816E-2</v>
      </c>
      <c r="S3" s="172">
        <f t="shared" si="1"/>
        <v>6.182214269149866E-2</v>
      </c>
      <c r="T3" s="172">
        <f t="shared" si="1"/>
        <v>6.4408500340690011E-2</v>
      </c>
      <c r="U3" s="172">
        <f t="shared" si="1"/>
        <v>6.3805187658710905E-2</v>
      </c>
      <c r="V3" s="172">
        <f t="shared" si="1"/>
        <v>6.5162092020156104E-2</v>
      </c>
      <c r="W3" s="172">
        <f t="shared" si="1"/>
        <v>6.6281943397927812E-2</v>
      </c>
      <c r="X3" s="172">
        <f t="shared" si="1"/>
        <v>6.5856320986114492E-2</v>
      </c>
      <c r="Y3" s="173">
        <f t="shared" si="1"/>
        <v>6.6186186375130962E-2</v>
      </c>
      <c r="AA3" s="180" t="s">
        <v>110</v>
      </c>
      <c r="AB3" s="181"/>
      <c r="AC3" s="181"/>
      <c r="AD3" s="181"/>
      <c r="AE3" s="181"/>
      <c r="AF3" s="181"/>
      <c r="AG3" s="181"/>
      <c r="AH3" s="181"/>
      <c r="AI3" s="181"/>
      <c r="AJ3" s="181"/>
      <c r="AK3" s="181"/>
      <c r="AL3" s="182"/>
    </row>
    <row r="4" spans="2:38" x14ac:dyDescent="0.3">
      <c r="B4" s="183"/>
      <c r="C4" s="184"/>
      <c r="D4" s="184"/>
      <c r="E4" s="184"/>
      <c r="F4" s="184"/>
      <c r="G4" s="506">
        <f>(H10-'Rent Roll'!K12)</f>
        <v>5779833.1799999997</v>
      </c>
      <c r="H4" s="507">
        <f>G4/99100000</f>
        <v>5.8323240968718465E-2</v>
      </c>
      <c r="I4" s="184"/>
      <c r="J4" s="184"/>
      <c r="K4" s="184"/>
      <c r="L4" s="184"/>
      <c r="M4" s="185"/>
      <c r="O4" s="157">
        <v>0</v>
      </c>
      <c r="P4" s="139">
        <f>C16</f>
        <v>-103750437.53</v>
      </c>
      <c r="Q4" s="139">
        <f>P4</f>
        <v>-103750437.53</v>
      </c>
      <c r="R4" s="139">
        <f t="shared" ref="R4:Y11" si="2">Q4</f>
        <v>-103750437.53</v>
      </c>
      <c r="S4" s="139">
        <f t="shared" si="2"/>
        <v>-103750437.53</v>
      </c>
      <c r="T4" s="139">
        <f t="shared" si="2"/>
        <v>-103750437.53</v>
      </c>
      <c r="U4" s="139">
        <f t="shared" si="2"/>
        <v>-103750437.53</v>
      </c>
      <c r="V4" s="139">
        <f t="shared" si="2"/>
        <v>-103750437.53</v>
      </c>
      <c r="W4" s="139">
        <f t="shared" si="2"/>
        <v>-103750437.53</v>
      </c>
      <c r="X4" s="139">
        <f t="shared" si="2"/>
        <v>-103750437.53</v>
      </c>
      <c r="Y4" s="140">
        <f t="shared" si="2"/>
        <v>-103750437.53</v>
      </c>
      <c r="AA4" s="205"/>
      <c r="AB4" s="203"/>
      <c r="AC4" s="203"/>
      <c r="AD4" s="203"/>
      <c r="AE4" s="203"/>
      <c r="AF4" s="203"/>
      <c r="AG4" s="203"/>
      <c r="AH4" s="203"/>
      <c r="AI4" s="203"/>
      <c r="AJ4" s="203"/>
      <c r="AK4" s="203"/>
      <c r="AL4" s="215"/>
    </row>
    <row r="5" spans="2:38" x14ac:dyDescent="0.3">
      <c r="B5" s="186"/>
      <c r="C5" s="120" t="s">
        <v>113</v>
      </c>
      <c r="D5" s="120" t="s">
        <v>114</v>
      </c>
      <c r="E5" s="120" t="s">
        <v>115</v>
      </c>
      <c r="F5" s="120" t="s">
        <v>116</v>
      </c>
      <c r="G5" s="120" t="s">
        <v>117</v>
      </c>
      <c r="H5" s="120" t="s">
        <v>118</v>
      </c>
      <c r="I5" s="120" t="s">
        <v>119</v>
      </c>
      <c r="J5" s="120" t="s">
        <v>120</v>
      </c>
      <c r="K5" s="120" t="s">
        <v>121</v>
      </c>
      <c r="L5" s="120" t="s">
        <v>122</v>
      </c>
      <c r="M5" s="121" t="s">
        <v>123</v>
      </c>
      <c r="O5" s="145">
        <f>O4+1</f>
        <v>1</v>
      </c>
      <c r="P5" s="139">
        <f>D23+D14</f>
        <v>104742651.185095</v>
      </c>
      <c r="Q5" s="139">
        <f>D14</f>
        <v>4986605.5</v>
      </c>
      <c r="R5" s="139">
        <f>Q5</f>
        <v>4986605.5</v>
      </c>
      <c r="S5" s="139">
        <f t="shared" si="2"/>
        <v>4986605.5</v>
      </c>
      <c r="T5" s="139">
        <f t="shared" si="2"/>
        <v>4986605.5</v>
      </c>
      <c r="U5" s="139">
        <f t="shared" si="2"/>
        <v>4986605.5</v>
      </c>
      <c r="V5" s="139">
        <f t="shared" si="2"/>
        <v>4986605.5</v>
      </c>
      <c r="W5" s="139">
        <f t="shared" si="2"/>
        <v>4986605.5</v>
      </c>
      <c r="X5" s="139">
        <f t="shared" si="2"/>
        <v>4986605.5</v>
      </c>
      <c r="Y5" s="140">
        <f t="shared" si="2"/>
        <v>4986605.5</v>
      </c>
      <c r="AA5" s="186"/>
      <c r="AB5" s="421"/>
      <c r="AC5" s="120" t="str">
        <f>'Portfolio-Level CF'!D5</f>
        <v>Year 1</v>
      </c>
      <c r="AD5" s="120" t="str">
        <f>'Portfolio-Level CF'!E5</f>
        <v>Year 2</v>
      </c>
      <c r="AE5" s="120" t="str">
        <f>'Portfolio-Level CF'!F5</f>
        <v>Year 3</v>
      </c>
      <c r="AF5" s="120" t="str">
        <f>'Portfolio-Level CF'!G5</f>
        <v>Year 4</v>
      </c>
      <c r="AG5" s="120" t="str">
        <f>'Portfolio-Level CF'!H5</f>
        <v>Year 5</v>
      </c>
      <c r="AH5" s="120" t="str">
        <f>'Portfolio-Level CF'!I5</f>
        <v>Year 6</v>
      </c>
      <c r="AI5" s="120" t="str">
        <f>'Portfolio-Level CF'!J5</f>
        <v>Year 7</v>
      </c>
      <c r="AJ5" s="120" t="str">
        <f>'Portfolio-Level CF'!K5</f>
        <v>Year 8</v>
      </c>
      <c r="AK5" s="120" t="str">
        <f>'Portfolio-Level CF'!L5</f>
        <v>Year 9</v>
      </c>
      <c r="AL5" s="121" t="str">
        <f>'Portfolio-Level CF'!M5</f>
        <v>Year 10</v>
      </c>
    </row>
    <row r="6" spans="2:38" x14ac:dyDescent="0.3">
      <c r="B6" s="124" t="s">
        <v>125</v>
      </c>
      <c r="C6" s="496">
        <v>44377</v>
      </c>
      <c r="D6" s="122">
        <v>44742</v>
      </c>
      <c r="E6" s="122">
        <v>45107</v>
      </c>
      <c r="F6" s="122">
        <v>45473</v>
      </c>
      <c r="G6" s="122">
        <v>45838</v>
      </c>
      <c r="H6" s="122">
        <v>46203</v>
      </c>
      <c r="I6" s="122">
        <v>46568</v>
      </c>
      <c r="J6" s="122">
        <v>46934</v>
      </c>
      <c r="K6" s="122">
        <v>47299</v>
      </c>
      <c r="L6" s="122">
        <v>47664</v>
      </c>
      <c r="M6" s="123">
        <v>48029</v>
      </c>
      <c r="O6" s="145">
        <f t="shared" ref="O6:O15" si="3">O5+1</f>
        <v>2</v>
      </c>
      <c r="P6" s="139"/>
      <c r="Q6" s="139">
        <f>E23+E14</f>
        <v>106330667.88037643</v>
      </c>
      <c r="R6" s="139">
        <f>E14</f>
        <v>5314553.5</v>
      </c>
      <c r="S6" s="139">
        <f>R6</f>
        <v>5314553.5</v>
      </c>
      <c r="T6" s="139">
        <f t="shared" si="2"/>
        <v>5314553.5</v>
      </c>
      <c r="U6" s="139">
        <f t="shared" si="2"/>
        <v>5314553.5</v>
      </c>
      <c r="V6" s="139">
        <f t="shared" si="2"/>
        <v>5314553.5</v>
      </c>
      <c r="W6" s="139">
        <f t="shared" si="2"/>
        <v>5314553.5</v>
      </c>
      <c r="X6" s="139">
        <f t="shared" si="2"/>
        <v>5314553.5</v>
      </c>
      <c r="Y6" s="140">
        <f t="shared" si="2"/>
        <v>5314553.5</v>
      </c>
      <c r="AA6" s="186" t="s">
        <v>124</v>
      </c>
      <c r="AB6" s="422" t="s">
        <v>125</v>
      </c>
      <c r="AC6" s="122">
        <f>'Portfolio-Level CF'!D6</f>
        <v>44742</v>
      </c>
      <c r="AD6" s="122">
        <f>'Portfolio-Level CF'!E6</f>
        <v>45107</v>
      </c>
      <c r="AE6" s="122">
        <f>'Portfolio-Level CF'!F6</f>
        <v>45473</v>
      </c>
      <c r="AF6" s="122">
        <f>'Portfolio-Level CF'!G6</f>
        <v>45838</v>
      </c>
      <c r="AG6" s="122">
        <f>'Portfolio-Level CF'!H6</f>
        <v>46203</v>
      </c>
      <c r="AH6" s="122">
        <f>'Portfolio-Level CF'!I6</f>
        <v>46568</v>
      </c>
      <c r="AI6" s="122">
        <f>'Portfolio-Level CF'!J6</f>
        <v>46934</v>
      </c>
      <c r="AJ6" s="122">
        <f>'Portfolio-Level CF'!K6</f>
        <v>47299</v>
      </c>
      <c r="AK6" s="122">
        <f>'Portfolio-Level CF'!L6</f>
        <v>47664</v>
      </c>
      <c r="AL6" s="123">
        <f>'Portfolio-Level CF'!M6</f>
        <v>48029</v>
      </c>
    </row>
    <row r="7" spans="2:38" ht="15" customHeight="1" x14ac:dyDescent="0.3">
      <c r="B7" s="190" t="s">
        <v>128</v>
      </c>
      <c r="C7" s="202"/>
      <c r="D7" s="319">
        <f>'Occupancy Report'!D24</f>
        <v>0.95533978778989748</v>
      </c>
      <c r="E7" s="319">
        <f>'Occupancy Report'!H24</f>
        <v>1</v>
      </c>
      <c r="F7" s="319">
        <f>'Occupancy Report'!L24</f>
        <v>0.99949041541909212</v>
      </c>
      <c r="G7" s="319">
        <f>'Occupancy Report'!P24</f>
        <v>0.99694164813248021</v>
      </c>
      <c r="H7" s="319">
        <f>'Occupancy Report'!T24</f>
        <v>1</v>
      </c>
      <c r="I7" s="319">
        <f>'Occupancy Report'!X24</f>
        <v>0.99211684896875618</v>
      </c>
      <c r="J7" s="319">
        <f>'Occupancy Report'!AB24</f>
        <v>0.99582284188607939</v>
      </c>
      <c r="K7" s="319">
        <f>'Occupancy Report'!AF24</f>
        <v>0.99945537356307279</v>
      </c>
      <c r="L7" s="319">
        <f>'Occupancy Report'!AJ24</f>
        <v>0.99595329891632001</v>
      </c>
      <c r="M7" s="320">
        <f>'Occupancy Report'!AN24</f>
        <v>0.99590812447542765</v>
      </c>
      <c r="O7" s="145">
        <f>O6+1</f>
        <v>3</v>
      </c>
      <c r="P7" s="139"/>
      <c r="Q7" s="139"/>
      <c r="R7" s="139">
        <f>F23+F14</f>
        <v>112490867.34318733</v>
      </c>
      <c r="S7" s="139">
        <f>F14</f>
        <v>5626184.5</v>
      </c>
      <c r="T7" s="139">
        <f>S7</f>
        <v>5626184.5</v>
      </c>
      <c r="U7" s="139">
        <f t="shared" si="2"/>
        <v>5626184.5</v>
      </c>
      <c r="V7" s="139">
        <f t="shared" si="2"/>
        <v>5626184.5</v>
      </c>
      <c r="W7" s="139">
        <f t="shared" si="2"/>
        <v>5626184.5</v>
      </c>
      <c r="X7" s="139">
        <f t="shared" si="2"/>
        <v>5626184.5</v>
      </c>
      <c r="Y7" s="140">
        <f t="shared" si="2"/>
        <v>5626184.5</v>
      </c>
      <c r="AA7" s="423" t="s">
        <v>126</v>
      </c>
      <c r="AB7" s="424" t="s">
        <v>127</v>
      </c>
      <c r="AC7" s="425"/>
      <c r="AD7" s="425"/>
      <c r="AE7" s="425"/>
      <c r="AF7" s="425"/>
      <c r="AG7" s="425"/>
      <c r="AH7" s="425"/>
      <c r="AI7" s="425"/>
      <c r="AJ7" s="425"/>
      <c r="AK7" s="425"/>
      <c r="AL7" s="426"/>
    </row>
    <row r="8" spans="2:38" x14ac:dyDescent="0.3">
      <c r="B8" s="124"/>
      <c r="C8" s="122"/>
      <c r="D8" s="122"/>
      <c r="E8" s="504"/>
      <c r="F8" s="122"/>
      <c r="G8" s="122"/>
      <c r="H8" s="122"/>
      <c r="I8" s="122"/>
      <c r="J8" s="122"/>
      <c r="K8" s="122"/>
      <c r="L8" s="122"/>
      <c r="M8" s="123"/>
      <c r="O8" s="145">
        <f>O7+1</f>
        <v>4</v>
      </c>
      <c r="P8" s="139"/>
      <c r="Q8" s="139"/>
      <c r="R8" s="139"/>
      <c r="S8" s="139">
        <f>G23+G14</f>
        <v>113949704.3925752</v>
      </c>
      <c r="T8" s="139">
        <f>G14</f>
        <v>5459582.5</v>
      </c>
      <c r="U8" s="139">
        <f>T8</f>
        <v>5459582.5</v>
      </c>
      <c r="V8" s="139">
        <f t="shared" si="2"/>
        <v>5459582.5</v>
      </c>
      <c r="W8" s="139">
        <f t="shared" si="2"/>
        <v>5459582.5</v>
      </c>
      <c r="X8" s="139">
        <f t="shared" si="2"/>
        <v>5459582.5</v>
      </c>
      <c r="Y8" s="140">
        <f t="shared" si="2"/>
        <v>5459582.5</v>
      </c>
      <c r="AA8" s="145"/>
      <c r="AB8" s="418" t="s">
        <v>129</v>
      </c>
      <c r="AC8" s="419">
        <f t="shared" ref="AC8:AL8" si="4">SUMIF($AB$14:$AB$145,$AB8,AC14:AC145)</f>
        <v>7185904</v>
      </c>
      <c r="AD8" s="419">
        <f t="shared" si="4"/>
        <v>7620803</v>
      </c>
      <c r="AE8" s="419">
        <f t="shared" si="4"/>
        <v>8000831</v>
      </c>
      <c r="AF8" s="419">
        <f t="shared" si="4"/>
        <v>8140118</v>
      </c>
      <c r="AG8" s="419">
        <f t="shared" si="4"/>
        <v>8327368</v>
      </c>
      <c r="AH8" s="419">
        <f t="shared" si="4"/>
        <v>8415129</v>
      </c>
      <c r="AI8" s="419">
        <f t="shared" si="4"/>
        <v>8623077</v>
      </c>
      <c r="AJ8" s="419">
        <f t="shared" si="4"/>
        <v>8819545</v>
      </c>
      <c r="AK8" s="419">
        <f t="shared" si="4"/>
        <v>8951170</v>
      </c>
      <c r="AL8" s="420">
        <f t="shared" si="4"/>
        <v>9141460</v>
      </c>
    </row>
    <row r="9" spans="2:38" x14ac:dyDescent="0.3">
      <c r="B9" s="190" t="s">
        <v>131</v>
      </c>
      <c r="C9" s="187"/>
      <c r="D9" s="191">
        <f>'Portfolio-Level CF'!AC8</f>
        <v>7185904</v>
      </c>
      <c r="E9" s="191">
        <f>'Portfolio-Level CF'!AD8</f>
        <v>7620803</v>
      </c>
      <c r="F9" s="191">
        <f>'Portfolio-Level CF'!AE8</f>
        <v>8000831</v>
      </c>
      <c r="G9" s="191">
        <f>'Portfolio-Level CF'!AF8</f>
        <v>8140118</v>
      </c>
      <c r="H9" s="191">
        <f>'Portfolio-Level CF'!AG8</f>
        <v>8327368</v>
      </c>
      <c r="I9" s="191">
        <f>'Portfolio-Level CF'!AH8</f>
        <v>8415129</v>
      </c>
      <c r="J9" s="191">
        <f>'Portfolio-Level CF'!AI8</f>
        <v>8623077</v>
      </c>
      <c r="K9" s="191">
        <f>'Portfolio-Level CF'!AJ8</f>
        <v>8819545</v>
      </c>
      <c r="L9" s="191">
        <f>'Portfolio-Level CF'!AK8</f>
        <v>8951170</v>
      </c>
      <c r="M9" s="192">
        <f>'Portfolio-Level CF'!AL8</f>
        <v>9141460</v>
      </c>
      <c r="O9" s="145">
        <f t="shared" si="3"/>
        <v>5</v>
      </c>
      <c r="P9" s="139"/>
      <c r="Q9" s="139"/>
      <c r="R9" s="139"/>
      <c r="S9" s="139"/>
      <c r="T9" s="139">
        <f>H23+H14</f>
        <v>116757406.09512092</v>
      </c>
      <c r="U9" s="139">
        <f>H14</f>
        <v>5897375.5</v>
      </c>
      <c r="V9" s="139">
        <f>U9</f>
        <v>5897375.5</v>
      </c>
      <c r="W9" s="139">
        <f t="shared" si="2"/>
        <v>5897375.5</v>
      </c>
      <c r="X9" s="139">
        <f t="shared" si="2"/>
        <v>5897375.5</v>
      </c>
      <c r="Y9" s="140">
        <f t="shared" si="2"/>
        <v>5897375.5</v>
      </c>
      <c r="AA9" s="145"/>
      <c r="AB9" s="418" t="s">
        <v>130</v>
      </c>
      <c r="AC9" s="419">
        <f t="shared" ref="AC9:AL9" si="5">IF(AC$5="","",SUMIF($AB$14:$AB$145,$AB$9,AC14:AC145))</f>
        <v>5086317</v>
      </c>
      <c r="AD9" s="419">
        <f t="shared" si="5"/>
        <v>5459796</v>
      </c>
      <c r="AE9" s="419">
        <f t="shared" si="5"/>
        <v>5779539</v>
      </c>
      <c r="AF9" s="419">
        <f t="shared" si="5"/>
        <v>5865233</v>
      </c>
      <c r="AG9" s="419">
        <f t="shared" si="5"/>
        <v>5996067</v>
      </c>
      <c r="AH9" s="419">
        <f t="shared" si="5"/>
        <v>6029402</v>
      </c>
      <c r="AI9" s="419">
        <f t="shared" si="5"/>
        <v>6177842</v>
      </c>
      <c r="AJ9" s="419">
        <f t="shared" si="5"/>
        <v>6313834</v>
      </c>
      <c r="AK9" s="419">
        <f t="shared" si="5"/>
        <v>6385659</v>
      </c>
      <c r="AL9" s="420">
        <f t="shared" si="5"/>
        <v>6512958</v>
      </c>
    </row>
    <row r="10" spans="2:38" x14ac:dyDescent="0.3">
      <c r="B10" s="206" t="s">
        <v>133</v>
      </c>
      <c r="C10" s="187"/>
      <c r="D10" s="188">
        <f>'Portfolio-Level CF'!AC9</f>
        <v>5086317</v>
      </c>
      <c r="E10" s="188">
        <f>'Portfolio-Level CF'!AD9</f>
        <v>5459796</v>
      </c>
      <c r="F10" s="188">
        <f>'Portfolio-Level CF'!AE9</f>
        <v>5779539</v>
      </c>
      <c r="G10" s="188">
        <f>'Portfolio-Level CF'!AF9</f>
        <v>5865233</v>
      </c>
      <c r="H10" s="188">
        <f>'Portfolio-Level CF'!AG9</f>
        <v>5996067</v>
      </c>
      <c r="I10" s="188">
        <f>'Portfolio-Level CF'!AH9</f>
        <v>6029402</v>
      </c>
      <c r="J10" s="188">
        <f>'Portfolio-Level CF'!AI9</f>
        <v>6177842</v>
      </c>
      <c r="K10" s="188">
        <f>'Portfolio-Level CF'!AJ9</f>
        <v>6313834</v>
      </c>
      <c r="L10" s="188">
        <f>'Portfolio-Level CF'!AK9</f>
        <v>6385659</v>
      </c>
      <c r="M10" s="189">
        <f>'Portfolio-Level CF'!AL9</f>
        <v>6512958</v>
      </c>
      <c r="O10" s="145">
        <f t="shared" si="3"/>
        <v>6</v>
      </c>
      <c r="P10" s="139"/>
      <c r="Q10" s="139"/>
      <c r="R10" s="139"/>
      <c r="S10" s="139"/>
      <c r="T10" s="139"/>
      <c r="U10" s="139">
        <f>I23+I14</f>
        <v>117544796.55231881</v>
      </c>
      <c r="V10" s="139">
        <f>I14</f>
        <v>5930710.5</v>
      </c>
      <c r="W10" s="139">
        <f>V10</f>
        <v>5930710.5</v>
      </c>
      <c r="X10" s="139">
        <f t="shared" si="2"/>
        <v>5930710.5</v>
      </c>
      <c r="Y10" s="140">
        <f t="shared" si="2"/>
        <v>5930710.5</v>
      </c>
      <c r="AA10" s="145"/>
      <c r="AB10" s="418" t="s">
        <v>132</v>
      </c>
      <c r="AC10" s="419">
        <f t="shared" ref="AC10:AL10" si="6">SUMIF($AB$14:$AB$145,$AB$10,AC14:AC145)</f>
        <v>4986605.5</v>
      </c>
      <c r="AD10" s="419">
        <f t="shared" si="6"/>
        <v>5314553.5</v>
      </c>
      <c r="AE10" s="419">
        <f t="shared" si="6"/>
        <v>5626184.5</v>
      </c>
      <c r="AF10" s="419">
        <f t="shared" si="6"/>
        <v>5459582.5</v>
      </c>
      <c r="AG10" s="419">
        <f t="shared" si="6"/>
        <v>5897375.5</v>
      </c>
      <c r="AH10" s="419">
        <f t="shared" si="6"/>
        <v>5930710.5</v>
      </c>
      <c r="AI10" s="419">
        <f t="shared" si="6"/>
        <v>5631357.5</v>
      </c>
      <c r="AJ10" s="419">
        <f t="shared" si="6"/>
        <v>6215142.5</v>
      </c>
      <c r="AK10" s="419">
        <f t="shared" si="6"/>
        <v>5808113.5</v>
      </c>
      <c r="AL10" s="420">
        <f t="shared" si="6"/>
        <v>5967977.5</v>
      </c>
    </row>
    <row r="11" spans="2:38" x14ac:dyDescent="0.3">
      <c r="B11" s="207" t="s">
        <v>135</v>
      </c>
      <c r="C11" s="187"/>
      <c r="D11" s="309">
        <f>'Property-Level CF'!CA11+'Property-Level CF'!DY11+'Property-Level CF'!CZ11+'Property-Level CF'!D11+'Property-Level CF'!AC11+'Property-Level CF'!BB11</f>
        <v>0</v>
      </c>
      <c r="E11" s="309">
        <f>'Property-Level CF'!CB11+'Property-Level CF'!DZ11+'Property-Level CF'!DA11+'Property-Level CF'!E11+'Property-Level CF'!AD11+'Property-Level CF'!BC11</f>
        <v>41850</v>
      </c>
      <c r="F11" s="309">
        <f>'Property-Level CF'!CC11+'Property-Level CF'!EA11+'Property-Level CF'!DB11+'Property-Level CF'!F11+'Property-Level CF'!AE11+'Property-Level CF'!BD11</f>
        <v>45149</v>
      </c>
      <c r="G11" s="309">
        <f>'Property-Level CF'!CD11+'Property-Level CF'!EB11+'Property-Level CF'!DC11+'Property-Level CF'!G11+'Property-Level CF'!AF11+'Property-Level CF'!BE11</f>
        <v>253532</v>
      </c>
      <c r="H11" s="309">
        <f>'Property-Level CF'!CE11+'Property-Level CF'!EC11+'Property-Level CF'!DD11+'Property-Level CF'!H11+'Property-Level CF'!AG11+'Property-Level CF'!BF11</f>
        <v>0</v>
      </c>
      <c r="I11" s="309">
        <f>'Property-Level CF'!CF11+'Property-Level CF'!ED11+'Property-Level CF'!DE11+'Property-Level CF'!I11+'Property-Level CF'!AH11+'Property-Level CF'!BG11</f>
        <v>0</v>
      </c>
      <c r="J11" s="309">
        <f>'Property-Level CF'!CG11+'Property-Level CF'!EE11+'Property-Level CF'!DF11+'Property-Level CF'!J11+'Property-Level CF'!AI11+'Property-Level CF'!BH11</f>
        <v>427040</v>
      </c>
      <c r="K11" s="309">
        <f>'Property-Level CF'!CH11+'Property-Level CF'!EF11+'Property-Level CF'!DG11+'Property-Level CF'!K11+'Property-Level CF'!AJ11+'Property-Level CF'!BI11</f>
        <v>0</v>
      </c>
      <c r="L11" s="309">
        <f>'Property-Level CF'!CI11+'Property-Level CF'!EG11+'Property-Level CF'!DH11+'Property-Level CF'!L11+'Property-Level CF'!AK11+'Property-Level CF'!BJ11</f>
        <v>432947</v>
      </c>
      <c r="M11" s="310">
        <f>'Property-Level CF'!CJ11+'Property-Level CF'!EH11+'Property-Level CF'!DI11+'Property-Level CF'!M11+'Property-Level CF'!AL11+'Property-Level CF'!BK11</f>
        <v>403214</v>
      </c>
      <c r="O11" s="145">
        <f t="shared" si="3"/>
        <v>7</v>
      </c>
      <c r="P11" s="139"/>
      <c r="Q11" s="139"/>
      <c r="R11" s="139"/>
      <c r="S11" s="139"/>
      <c r="T11" s="139"/>
      <c r="U11" s="139"/>
      <c r="V11" s="139">
        <f>J23+J14</f>
        <v>119980504.96772829</v>
      </c>
      <c r="W11" s="139">
        <f>J14</f>
        <v>5631357.5</v>
      </c>
      <c r="X11" s="139">
        <f>W11</f>
        <v>5631357.5</v>
      </c>
      <c r="Y11" s="140">
        <f t="shared" si="2"/>
        <v>5631357.5</v>
      </c>
      <c r="AA11" s="145"/>
      <c r="AB11" s="259" t="s">
        <v>134</v>
      </c>
      <c r="AC11" s="419">
        <f t="shared" ref="AC11:AL11" si="7">SUMIF($AB$14:$AB$145,$AB$10,AC15:AC146)</f>
        <v>2772962.6006040932</v>
      </c>
      <c r="AD11" s="419">
        <f t="shared" si="7"/>
        <v>2772962.6006040932</v>
      </c>
      <c r="AE11" s="419">
        <f t="shared" si="7"/>
        <v>2772962.6006040932</v>
      </c>
      <c r="AF11" s="419">
        <f t="shared" si="7"/>
        <v>2772962.6006040932</v>
      </c>
      <c r="AG11" s="419">
        <f t="shared" si="7"/>
        <v>2772962.6006040932</v>
      </c>
      <c r="AH11" s="419">
        <f t="shared" si="7"/>
        <v>2772962.6006040932</v>
      </c>
      <c r="AI11" s="419">
        <f t="shared" si="7"/>
        <v>2772962.6006040932</v>
      </c>
      <c r="AJ11" s="419">
        <f t="shared" si="7"/>
        <v>2772962.6006040932</v>
      </c>
      <c r="AK11" s="419">
        <f t="shared" si="7"/>
        <v>2772962.6006040932</v>
      </c>
      <c r="AL11" s="420">
        <f t="shared" si="7"/>
        <v>2772962.6006040932</v>
      </c>
    </row>
    <row r="12" spans="2:38" x14ac:dyDescent="0.3">
      <c r="B12" s="207" t="s">
        <v>31</v>
      </c>
      <c r="C12" s="187"/>
      <c r="D12" s="309">
        <f>'Property-Level CF'!CA12+'Property-Level CF'!DY12+'Property-Level CF'!CZ12+'Property-Level CF'!D12+'Property-Level CF'!AC12+'Property-Level CF'!BB12</f>
        <v>1020</v>
      </c>
      <c r="E12" s="309">
        <f>'Property-Level CF'!CB12+'Property-Level CF'!DZ12+'Property-Level CF'!DA12+'Property-Level CF'!E12+'Property-Level CF'!AD12+'Property-Level CF'!BC12</f>
        <v>4701</v>
      </c>
      <c r="F12" s="309">
        <f>'Property-Level CF'!CC12+'Property-Level CF'!EA12+'Property-Level CF'!DB12+'Property-Level CF'!F12+'Property-Level CF'!AE12+'Property-Level CF'!BD12</f>
        <v>9514</v>
      </c>
      <c r="G12" s="309">
        <f>'Property-Level CF'!CD12+'Property-Level CF'!EB12+'Property-Level CF'!DC12+'Property-Level CF'!G12+'Property-Level CF'!AF12+'Property-Level CF'!BE12</f>
        <v>53427</v>
      </c>
      <c r="H12" s="309">
        <f>'Property-Level CF'!CE12+'Property-Level CF'!EC12+'Property-Level CF'!DD12+'Property-Level CF'!H12+'Property-Level CF'!AG12+'Property-Level CF'!BF12</f>
        <v>0</v>
      </c>
      <c r="I12" s="309">
        <f>'Property-Level CF'!CF12+'Property-Level CF'!ED12+'Property-Level CF'!DE12+'Property-Level CF'!I12+'Property-Level CF'!AH12+'Property-Level CF'!BG12</f>
        <v>0</v>
      </c>
      <c r="J12" s="309">
        <f>'Property-Level CF'!CG12+'Property-Level CF'!EE12+'Property-Level CF'!DF12+'Property-Level CF'!J12+'Property-Level CF'!AI12+'Property-Level CF'!BH12</f>
        <v>20753</v>
      </c>
      <c r="K12" s="309">
        <f>'Property-Level CF'!CH12+'Property-Level CF'!EF12+'Property-Level CF'!DG12+'Property-Level CF'!K12+'Property-Level CF'!AJ12+'Property-Level CF'!BI12</f>
        <v>0</v>
      </c>
      <c r="L12" s="309">
        <f>'Property-Level CF'!CI12+'Property-Level CF'!EG12+'Property-Level CF'!DH12+'Property-Level CF'!L12+'Property-Level CF'!AK12+'Property-Level CF'!BJ12</f>
        <v>45907</v>
      </c>
      <c r="M12" s="310">
        <f>'Property-Level CF'!CJ12+'Property-Level CF'!EH12+'Property-Level CF'!DI12+'Property-Level CF'!M12+'Property-Level CF'!AL12+'Property-Level CF'!BK12</f>
        <v>43075</v>
      </c>
      <c r="O12" s="145">
        <f t="shared" si="3"/>
        <v>8</v>
      </c>
      <c r="P12" s="139"/>
      <c r="Q12" s="139"/>
      <c r="R12" s="139"/>
      <c r="S12" s="139"/>
      <c r="T12" s="139"/>
      <c r="U12" s="139"/>
      <c r="V12" s="139"/>
      <c r="W12" s="139">
        <f>K23+K14</f>
        <v>123032085.21295114</v>
      </c>
      <c r="X12" s="139">
        <f>K14</f>
        <v>6215142.5</v>
      </c>
      <c r="Y12" s="140">
        <f>X12</f>
        <v>6215142.5</v>
      </c>
      <c r="AA12" s="145"/>
      <c r="AB12" s="259" t="s">
        <v>136</v>
      </c>
      <c r="AC12" s="419">
        <f t="shared" ref="AC12:AL12" si="8">AC10-AC11</f>
        <v>2213642.8993959068</v>
      </c>
      <c r="AD12" s="419">
        <f t="shared" si="8"/>
        <v>2541590.8993959068</v>
      </c>
      <c r="AE12" s="419">
        <f t="shared" si="8"/>
        <v>2853221.8993959068</v>
      </c>
      <c r="AF12" s="419">
        <f t="shared" si="8"/>
        <v>2686619.8993959068</v>
      </c>
      <c r="AG12" s="419">
        <f t="shared" si="8"/>
        <v>3124412.8993959068</v>
      </c>
      <c r="AH12" s="419">
        <f t="shared" si="8"/>
        <v>3157747.8993959068</v>
      </c>
      <c r="AI12" s="419">
        <f t="shared" si="8"/>
        <v>2858394.8993959068</v>
      </c>
      <c r="AJ12" s="419">
        <f t="shared" si="8"/>
        <v>3442179.8993959068</v>
      </c>
      <c r="AK12" s="419">
        <f t="shared" si="8"/>
        <v>3035150.8993959068</v>
      </c>
      <c r="AL12" s="420">
        <f t="shared" si="8"/>
        <v>3195014.8993959068</v>
      </c>
    </row>
    <row r="13" spans="2:38" x14ac:dyDescent="0.3">
      <c r="B13" s="207" t="s">
        <v>137</v>
      </c>
      <c r="C13" s="187"/>
      <c r="D13" s="191">
        <f>Summary!C12*Summary!$C$11</f>
        <v>98691.5</v>
      </c>
      <c r="E13" s="191">
        <f t="shared" ref="E13:M13" si="9">D13</f>
        <v>98691.5</v>
      </c>
      <c r="F13" s="191">
        <f t="shared" si="9"/>
        <v>98691.5</v>
      </c>
      <c r="G13" s="191">
        <f t="shared" si="9"/>
        <v>98691.5</v>
      </c>
      <c r="H13" s="191">
        <f t="shared" si="9"/>
        <v>98691.5</v>
      </c>
      <c r="I13" s="191">
        <f t="shared" si="9"/>
        <v>98691.5</v>
      </c>
      <c r="J13" s="191">
        <f t="shared" si="9"/>
        <v>98691.5</v>
      </c>
      <c r="K13" s="191">
        <f t="shared" si="9"/>
        <v>98691.5</v>
      </c>
      <c r="L13" s="191">
        <f t="shared" si="9"/>
        <v>98691.5</v>
      </c>
      <c r="M13" s="192">
        <f t="shared" si="9"/>
        <v>98691.5</v>
      </c>
      <c r="O13" s="145">
        <f t="shared" si="3"/>
        <v>9</v>
      </c>
      <c r="P13" s="139"/>
      <c r="Q13" s="139"/>
      <c r="R13" s="139"/>
      <c r="S13" s="139"/>
      <c r="T13" s="139"/>
      <c r="U13" s="139"/>
      <c r="V13" s="139"/>
      <c r="W13" s="139"/>
      <c r="X13" s="139">
        <f>L23+L14</f>
        <v>124009889.21425174</v>
      </c>
      <c r="Y13" s="140">
        <f>L14</f>
        <v>5808113.5</v>
      </c>
      <c r="AA13" s="145"/>
      <c r="AB13" s="418"/>
      <c r="AC13" s="419"/>
      <c r="AD13" s="419"/>
      <c r="AE13" s="419"/>
      <c r="AF13" s="419"/>
      <c r="AG13" s="419"/>
      <c r="AH13" s="419"/>
      <c r="AI13" s="419"/>
      <c r="AJ13" s="419"/>
      <c r="AK13" s="419"/>
      <c r="AL13" s="420"/>
    </row>
    <row r="14" spans="2:38" x14ac:dyDescent="0.3">
      <c r="B14" s="190" t="s">
        <v>139</v>
      </c>
      <c r="C14" s="187"/>
      <c r="D14" s="191">
        <f>D10-SUM(D11:D13)</f>
        <v>4986605.5</v>
      </c>
      <c r="E14" s="191">
        <f t="shared" ref="E14:M14" si="10">E10-SUM(E11:E13)</f>
        <v>5314553.5</v>
      </c>
      <c r="F14" s="191">
        <f t="shared" si="10"/>
        <v>5626184.5</v>
      </c>
      <c r="G14" s="191">
        <f t="shared" si="10"/>
        <v>5459582.5</v>
      </c>
      <c r="H14" s="191">
        <f t="shared" si="10"/>
        <v>5897375.5</v>
      </c>
      <c r="I14" s="191">
        <f t="shared" si="10"/>
        <v>5930710.5</v>
      </c>
      <c r="J14" s="191">
        <f t="shared" si="10"/>
        <v>5631357.5</v>
      </c>
      <c r="K14" s="191">
        <f t="shared" si="10"/>
        <v>6215142.5</v>
      </c>
      <c r="L14" s="191">
        <f t="shared" si="10"/>
        <v>5808113.5</v>
      </c>
      <c r="M14" s="192">
        <f t="shared" si="10"/>
        <v>5967977.5</v>
      </c>
      <c r="O14" s="145">
        <f t="shared" si="3"/>
        <v>10</v>
      </c>
      <c r="P14" s="139"/>
      <c r="Q14" s="139"/>
      <c r="R14" s="139"/>
      <c r="S14" s="139"/>
      <c r="T14" s="139"/>
      <c r="U14" s="139"/>
      <c r="V14" s="139"/>
      <c r="W14" s="139"/>
      <c r="X14" s="139"/>
      <c r="Y14" s="140">
        <f>M15+M14</f>
        <v>126479320.19995882</v>
      </c>
      <c r="AA14" s="145">
        <v>1</v>
      </c>
      <c r="AB14" s="427" t="s">
        <v>138</v>
      </c>
      <c r="AC14" s="113"/>
      <c r="AD14" s="113"/>
      <c r="AE14" s="113"/>
      <c r="AF14" s="113"/>
      <c r="AG14" s="113"/>
      <c r="AH14" s="113"/>
      <c r="AI14" s="113"/>
      <c r="AJ14" s="113"/>
      <c r="AK14" s="113"/>
      <c r="AL14" s="114"/>
    </row>
    <row r="15" spans="2:38" ht="13.5" thickBot="1" x14ac:dyDescent="0.35">
      <c r="B15" s="207" t="s">
        <v>140</v>
      </c>
      <c r="C15" s="187"/>
      <c r="D15" s="191"/>
      <c r="E15" s="191"/>
      <c r="F15" s="191"/>
      <c r="G15" s="191"/>
      <c r="H15" s="191"/>
      <c r="I15" s="191"/>
      <c r="J15" s="191"/>
      <c r="K15" s="191"/>
      <c r="L15" s="191"/>
      <c r="M15" s="192">
        <f>M23</f>
        <v>120511342.69995882</v>
      </c>
      <c r="O15" s="148">
        <f t="shared" si="3"/>
        <v>11</v>
      </c>
      <c r="P15" s="141"/>
      <c r="Q15" s="141"/>
      <c r="R15" s="141"/>
      <c r="S15" s="141"/>
      <c r="T15" s="141"/>
      <c r="U15" s="141"/>
      <c r="V15" s="141"/>
      <c r="W15" s="141"/>
      <c r="X15" s="141"/>
      <c r="Y15" s="142"/>
      <c r="AA15" s="428" t="str">
        <f>AB14&amp;AB15</f>
        <v>131 KentEGR</v>
      </c>
      <c r="AB15" s="259" t="str">
        <f>IF(AB14="","","EGR")</f>
        <v>EGR</v>
      </c>
      <c r="AC15" s="176">
        <f>'Property-Level CF'!D9</f>
        <v>1080474</v>
      </c>
      <c r="AD15" s="176">
        <f>'Property-Level CF'!E9</f>
        <v>1104382</v>
      </c>
      <c r="AE15" s="176">
        <f>'Property-Level CF'!F9</f>
        <v>1120725</v>
      </c>
      <c r="AF15" s="176">
        <f>'Property-Level CF'!G9</f>
        <v>1124325</v>
      </c>
      <c r="AG15" s="176">
        <f>'Property-Level CF'!H9</f>
        <v>1174564</v>
      </c>
      <c r="AH15" s="176">
        <f>'Property-Level CF'!I9</f>
        <v>1131939</v>
      </c>
      <c r="AI15" s="176">
        <f>'Property-Level CF'!J9</f>
        <v>1155752</v>
      </c>
      <c r="AJ15" s="176">
        <f>'Property-Level CF'!K9</f>
        <v>1206302</v>
      </c>
      <c r="AK15" s="176">
        <f>'Property-Level CF'!L9</f>
        <v>1208133</v>
      </c>
      <c r="AL15" s="177">
        <f>'Property-Level CF'!M9</f>
        <v>1261766</v>
      </c>
    </row>
    <row r="16" spans="2:38" ht="13.5" thickBot="1" x14ac:dyDescent="0.35">
      <c r="B16" s="156" t="s">
        <v>141</v>
      </c>
      <c r="C16" s="196">
        <f>-Summary!J20</f>
        <v>-103750437.53</v>
      </c>
      <c r="D16" s="188">
        <f>D14+D15</f>
        <v>4986605.5</v>
      </c>
      <c r="E16" s="188">
        <f t="shared" ref="E16:M16" si="11">E14+E15</f>
        <v>5314553.5</v>
      </c>
      <c r="F16" s="188">
        <f t="shared" si="11"/>
        <v>5626184.5</v>
      </c>
      <c r="G16" s="188">
        <f t="shared" si="11"/>
        <v>5459582.5</v>
      </c>
      <c r="H16" s="188">
        <f t="shared" si="11"/>
        <v>5897375.5</v>
      </c>
      <c r="I16" s="188">
        <f t="shared" si="11"/>
        <v>5930710.5</v>
      </c>
      <c r="J16" s="188">
        <f t="shared" si="11"/>
        <v>5631357.5</v>
      </c>
      <c r="K16" s="188">
        <f t="shared" si="11"/>
        <v>6215142.5</v>
      </c>
      <c r="L16" s="188">
        <f t="shared" si="11"/>
        <v>5808113.5</v>
      </c>
      <c r="M16" s="189">
        <f t="shared" si="11"/>
        <v>126479320.19995882</v>
      </c>
      <c r="O16" s="168" t="s">
        <v>109</v>
      </c>
      <c r="P16" s="169" t="str">
        <f t="shared" ref="P16:Y16" si="12">P2</f>
        <v>Year 1</v>
      </c>
      <c r="Q16" s="169" t="str">
        <f t="shared" si="12"/>
        <v>Year 2</v>
      </c>
      <c r="R16" s="169" t="str">
        <f t="shared" si="12"/>
        <v>Year 3</v>
      </c>
      <c r="S16" s="169" t="str">
        <f t="shared" si="12"/>
        <v>Year 4</v>
      </c>
      <c r="T16" s="169" t="str">
        <f t="shared" si="12"/>
        <v>Year 5</v>
      </c>
      <c r="U16" s="169" t="str">
        <f t="shared" si="12"/>
        <v>Year 6</v>
      </c>
      <c r="V16" s="169" t="str">
        <f t="shared" si="12"/>
        <v>Year 7</v>
      </c>
      <c r="W16" s="169" t="str">
        <f t="shared" si="12"/>
        <v>Year 8</v>
      </c>
      <c r="X16" s="169" t="str">
        <f t="shared" si="12"/>
        <v>Year 9</v>
      </c>
      <c r="Y16" s="170" t="str">
        <f t="shared" si="12"/>
        <v>Year 10</v>
      </c>
      <c r="AA16" s="428" t="str">
        <f>AB14&amp;AB16</f>
        <v>131 KentNOI</v>
      </c>
      <c r="AB16" s="259" t="str">
        <f>IF(AB14="","","NOI")</f>
        <v>NOI</v>
      </c>
      <c r="AC16" s="176">
        <f>'Property-Level CF'!D10</f>
        <v>776823</v>
      </c>
      <c r="AD16" s="176">
        <f>'Property-Level CF'!E10</f>
        <v>792690</v>
      </c>
      <c r="AE16" s="176">
        <f>'Property-Level CF'!F10</f>
        <v>801674</v>
      </c>
      <c r="AF16" s="176">
        <f>'Property-Level CF'!G10</f>
        <v>798070</v>
      </c>
      <c r="AG16" s="176">
        <f>'Property-Level CF'!H10</f>
        <v>839376</v>
      </c>
      <c r="AH16" s="176">
        <f>'Property-Level CF'!I10</f>
        <v>790672</v>
      </c>
      <c r="AI16" s="176">
        <f>'Property-Level CF'!J10</f>
        <v>806147</v>
      </c>
      <c r="AJ16" s="176">
        <f>'Property-Level CF'!K10</f>
        <v>847300</v>
      </c>
      <c r="AK16" s="176">
        <f>'Property-Level CF'!L10</f>
        <v>841055</v>
      </c>
      <c r="AL16" s="177">
        <f>'Property-Level CF'!M10</f>
        <v>884835</v>
      </c>
    </row>
    <row r="17" spans="2:38" ht="13.5" thickBot="1" x14ac:dyDescent="0.35">
      <c r="B17" s="145"/>
      <c r="C17" s="193"/>
      <c r="D17" s="191"/>
      <c r="E17" s="191"/>
      <c r="F17" s="191"/>
      <c r="G17" s="191"/>
      <c r="H17" s="191"/>
      <c r="I17" s="191"/>
      <c r="J17" s="191"/>
      <c r="K17" s="191"/>
      <c r="L17" s="191"/>
      <c r="M17" s="192"/>
      <c r="O17" s="171" t="s">
        <v>61</v>
      </c>
      <c r="P17" s="172">
        <f>IRR(P18:P29)</f>
        <v>-5.1539351073144224E-2</v>
      </c>
      <c r="Q17" s="172">
        <f t="shared" ref="Q17:Y17" si="13">IRR(Q18:Q29)</f>
        <v>2.574767682433321E-2</v>
      </c>
      <c r="R17" s="172">
        <f t="shared" si="13"/>
        <v>9.2909389493065486E-2</v>
      </c>
      <c r="S17" s="172">
        <f t="shared" si="13"/>
        <v>9.6104456676097572E-2</v>
      </c>
      <c r="T17" s="172">
        <f t="shared" si="13"/>
        <v>0.10227762011571562</v>
      </c>
      <c r="U17" s="172">
        <f t="shared" si="13"/>
        <v>0.10024718569857782</v>
      </c>
      <c r="V17" s="172">
        <f t="shared" si="13"/>
        <v>0.10306124626990099</v>
      </c>
      <c r="W17" s="172">
        <f t="shared" si="13"/>
        <v>0.10513440449168443</v>
      </c>
      <c r="X17" s="172">
        <f t="shared" si="13"/>
        <v>0.10363349688426338</v>
      </c>
      <c r="Y17" s="173">
        <f t="shared" si="13"/>
        <v>0.10385786908591887</v>
      </c>
      <c r="AA17" s="428" t="str">
        <f>AB14&amp;AB17</f>
        <v>131 KentNCF before DS</v>
      </c>
      <c r="AB17" s="259" t="s">
        <v>132</v>
      </c>
      <c r="AC17" s="176">
        <f>'Property-Level CF'!D14</f>
        <v>761132.5</v>
      </c>
      <c r="AD17" s="176">
        <f>'Property-Level CF'!E14</f>
        <v>731468.5</v>
      </c>
      <c r="AE17" s="176">
        <f>'Property-Level CF'!F14</f>
        <v>732340.5</v>
      </c>
      <c r="AF17" s="176">
        <f>'Property-Level CF'!G14</f>
        <v>476440.5</v>
      </c>
      <c r="AG17" s="176">
        <f>'Property-Level CF'!H14</f>
        <v>824705.5</v>
      </c>
      <c r="AH17" s="176">
        <f>'Property-Level CF'!I14</f>
        <v>776001.5</v>
      </c>
      <c r="AI17" s="176">
        <f>'Property-Level CF'!J14</f>
        <v>343683.5</v>
      </c>
      <c r="AJ17" s="176">
        <f>'Property-Level CF'!K14</f>
        <v>832629.5</v>
      </c>
      <c r="AK17" s="176">
        <f>'Property-Level CF'!L14</f>
        <v>452848.5</v>
      </c>
      <c r="AL17" s="177">
        <f>'Property-Level CF'!M14</f>
        <v>638163.5</v>
      </c>
    </row>
    <row r="18" spans="2:38" x14ac:dyDescent="0.3">
      <c r="B18" s="125" t="s">
        <v>143</v>
      </c>
      <c r="C18" s="130"/>
      <c r="D18" s="130">
        <f>Summary!L20</f>
        <v>4.9024535424530273E-2</v>
      </c>
      <c r="E18" s="130">
        <f>E10/(E23/(1-'Portfolio-Level CF'!$AC$52))</f>
        <v>5.1967885383441312E-2</v>
      </c>
      <c r="F18" s="130">
        <f>F10/(F23/(1-'Portfolio-Level CF'!$AC$52))</f>
        <v>5.2000591782547574E-2</v>
      </c>
      <c r="G18" s="130">
        <f>G10/(G23/(1-'Portfolio-Level CF'!$AC$52))</f>
        <v>5.1980967770356504E-2</v>
      </c>
      <c r="H18" s="130">
        <f>H10/(H23/(1-'Portfolio-Level CF'!$AC$52))</f>
        <v>5.2004481593149895E-2</v>
      </c>
      <c r="I18" s="130">
        <f>I10/(I23/(1-'Portfolio-Level CF'!$AC$52))</f>
        <v>5.1940308146075261E-2</v>
      </c>
      <c r="J18" s="130">
        <f>J10/(J23/(1-'Portfolio-Level CF'!$AC$52))</f>
        <v>5.194612478135345E-2</v>
      </c>
      <c r="K18" s="130">
        <f>K10/(K23/(1-'Portfolio-Level CF'!$AC$52))</f>
        <v>5.196807286694171E-2</v>
      </c>
      <c r="L18" s="130">
        <f>L10/(L23/(1-'Portfolio-Level CF'!$AC$52))</f>
        <v>5.1943476241361704E-2</v>
      </c>
      <c r="M18" s="131">
        <f>M10/(M23/(1-'Portfolio-Level CF'!$AC$52))</f>
        <v>5.1963649036682255E-2</v>
      </c>
      <c r="O18" s="157">
        <v>0</v>
      </c>
      <c r="P18" s="139">
        <f>P4+Summary!I30</f>
        <v>-36312653.135499999</v>
      </c>
      <c r="Q18" s="139">
        <f>P18</f>
        <v>-36312653.135499999</v>
      </c>
      <c r="R18" s="139">
        <f t="shared" ref="R18:Y25" si="14">Q18</f>
        <v>-36312653.135499999</v>
      </c>
      <c r="S18" s="139">
        <f t="shared" si="14"/>
        <v>-36312653.135499999</v>
      </c>
      <c r="T18" s="139">
        <f t="shared" si="14"/>
        <v>-36312653.135499999</v>
      </c>
      <c r="U18" s="139">
        <f t="shared" si="14"/>
        <v>-36312653.135499999</v>
      </c>
      <c r="V18" s="139">
        <f t="shared" si="14"/>
        <v>-36312653.135499999</v>
      </c>
      <c r="W18" s="139">
        <f t="shared" si="14"/>
        <v>-36312653.135499999</v>
      </c>
      <c r="X18" s="139">
        <f t="shared" si="14"/>
        <v>-36312653.135499999</v>
      </c>
      <c r="Y18" s="140">
        <f t="shared" si="14"/>
        <v>-36312653.135499999</v>
      </c>
      <c r="AA18" s="428"/>
      <c r="AB18" s="259" t="s">
        <v>142</v>
      </c>
      <c r="AC18" s="176">
        <f>'Property-Level CF'!D30</f>
        <v>358737.82583536691</v>
      </c>
      <c r="AD18" s="176">
        <f>'Property-Level CF'!E30</f>
        <v>358737.82583536691</v>
      </c>
      <c r="AE18" s="176">
        <f>'Property-Level CF'!F30</f>
        <v>358737.82583536691</v>
      </c>
      <c r="AF18" s="176">
        <f>'Property-Level CF'!G30</f>
        <v>358737.82583536691</v>
      </c>
      <c r="AG18" s="176">
        <f>'Property-Level CF'!H30</f>
        <v>358737.82583536691</v>
      </c>
      <c r="AH18" s="176">
        <f>'Property-Level CF'!I30</f>
        <v>358737.82583536691</v>
      </c>
      <c r="AI18" s="176">
        <f>'Property-Level CF'!J30</f>
        <v>358737.82583536691</v>
      </c>
      <c r="AJ18" s="176">
        <f>'Property-Level CF'!K30</f>
        <v>358737.82583536691</v>
      </c>
      <c r="AK18" s="176">
        <f>'Property-Level CF'!L30</f>
        <v>358737.82583536691</v>
      </c>
      <c r="AL18" s="177">
        <f>'Property-Level CF'!M30</f>
        <v>358737.82583536691</v>
      </c>
    </row>
    <row r="19" spans="2:38" ht="15" customHeight="1" x14ac:dyDescent="0.3">
      <c r="B19" s="190" t="s">
        <v>144</v>
      </c>
      <c r="C19" s="193"/>
      <c r="D19" s="222">
        <f>(D10/$D$23)*(1-'Portfolio-Level CF'!$AC$52)</f>
        <v>4.9024535424530273E-2</v>
      </c>
      <c r="E19" s="222">
        <f>(E10/$D$23)*(1-'Portfolio-Level CF'!$AC$52)</f>
        <v>5.2624317834045475E-2</v>
      </c>
      <c r="F19" s="222">
        <f>(F10/$D$23)*(1-'Portfolio-Level CF'!$AC$52)</f>
        <v>5.57061650783768E-2</v>
      </c>
      <c r="G19" s="222">
        <f>(G10/$D$23)*(1-'Portfolio-Level CF'!$AC$52)</f>
        <v>5.6532127860222631E-2</v>
      </c>
      <c r="H19" s="222">
        <f>(H10/$D$23)*(1-'Portfolio-Level CF'!$AC$52)</f>
        <v>5.7793173144606788E-2</v>
      </c>
      <c r="I19" s="222">
        <f>(I10/$D$23)*(1-'Portfolio-Level CF'!$AC$52)</f>
        <v>5.8114472994454269E-2</v>
      </c>
      <c r="J19" s="222">
        <f>(J10/$D$23)*(1-'Portfolio-Level CF'!$AC$52)</f>
        <v>5.9545213948747386E-2</v>
      </c>
      <c r="K19" s="222">
        <f>(K10/$D$23)*(1-'Portfolio-Level CF'!$AC$52)</f>
        <v>6.0855974686124296E-2</v>
      </c>
      <c r="L19" s="222">
        <f>(L10/$D$23)*(1-'Portfolio-Level CF'!$AC$52)</f>
        <v>6.1548260923271307E-2</v>
      </c>
      <c r="M19" s="236">
        <f>(M10/$D$23)*(1-'Portfolio-Level CF'!$AC$52)</f>
        <v>6.2775234062186422E-2</v>
      </c>
      <c r="O19" s="145">
        <f>O18+1</f>
        <v>1</v>
      </c>
      <c r="P19" s="139">
        <f>D33+D39</f>
        <v>34441122.557152152</v>
      </c>
      <c r="Q19" s="139">
        <f>D39</f>
        <v>2122861.266557157</v>
      </c>
      <c r="R19" s="139">
        <f>Q19</f>
        <v>2122861.266557157</v>
      </c>
      <c r="S19" s="139">
        <f t="shared" si="14"/>
        <v>2122861.266557157</v>
      </c>
      <c r="T19" s="139">
        <f t="shared" si="14"/>
        <v>2122861.266557157</v>
      </c>
      <c r="U19" s="139">
        <f t="shared" si="14"/>
        <v>2122861.266557157</v>
      </c>
      <c r="V19" s="139">
        <f t="shared" si="14"/>
        <v>2122861.266557157</v>
      </c>
      <c r="W19" s="139">
        <f t="shared" si="14"/>
        <v>2122861.266557157</v>
      </c>
      <c r="X19" s="139">
        <f t="shared" si="14"/>
        <v>2122861.266557157</v>
      </c>
      <c r="Y19" s="140">
        <f t="shared" si="14"/>
        <v>2122861.266557157</v>
      </c>
      <c r="AA19" s="428"/>
      <c r="AB19" s="259" t="s">
        <v>136</v>
      </c>
      <c r="AC19" s="176">
        <f t="shared" ref="AC19:AL19" si="15">AC17-AC18</f>
        <v>402394.67416463309</v>
      </c>
      <c r="AD19" s="176">
        <f t="shared" si="15"/>
        <v>372730.67416463309</v>
      </c>
      <c r="AE19" s="176">
        <f t="shared" si="15"/>
        <v>373602.67416463309</v>
      </c>
      <c r="AF19" s="176">
        <f t="shared" si="15"/>
        <v>117702.67416463309</v>
      </c>
      <c r="AG19" s="176">
        <f t="shared" si="15"/>
        <v>465967.67416463309</v>
      </c>
      <c r="AH19" s="176">
        <f t="shared" si="15"/>
        <v>417263.67416463309</v>
      </c>
      <c r="AI19" s="176">
        <f t="shared" si="15"/>
        <v>-15054.325835366908</v>
      </c>
      <c r="AJ19" s="176">
        <f t="shared" si="15"/>
        <v>473891.67416463309</v>
      </c>
      <c r="AK19" s="176">
        <f t="shared" si="15"/>
        <v>94110.674164633092</v>
      </c>
      <c r="AL19" s="177">
        <f t="shared" si="15"/>
        <v>279425.67416463309</v>
      </c>
    </row>
    <row r="20" spans="2:38" x14ac:dyDescent="0.3">
      <c r="B20" s="125" t="s">
        <v>146</v>
      </c>
      <c r="C20" s="130"/>
      <c r="D20" s="130">
        <f t="shared" ref="D20:M20" si="16">D19-D18</f>
        <v>0</v>
      </c>
      <c r="E20" s="130">
        <f t="shared" si="16"/>
        <v>6.5643245060416355E-4</v>
      </c>
      <c r="F20" s="130">
        <f t="shared" si="16"/>
        <v>3.7055732958292259E-3</v>
      </c>
      <c r="G20" s="130">
        <f t="shared" si="16"/>
        <v>4.551160089866127E-3</v>
      </c>
      <c r="H20" s="130">
        <f t="shared" si="16"/>
        <v>5.7886915514568926E-3</v>
      </c>
      <c r="I20" s="130">
        <f t="shared" si="16"/>
        <v>6.1741648483790088E-3</v>
      </c>
      <c r="J20" s="130">
        <f t="shared" si="16"/>
        <v>7.5990891673939354E-3</v>
      </c>
      <c r="K20" s="130">
        <f t="shared" si="16"/>
        <v>8.8879018191825865E-3</v>
      </c>
      <c r="L20" s="130">
        <f t="shared" si="16"/>
        <v>9.6047846819096033E-3</v>
      </c>
      <c r="M20" s="131">
        <f t="shared" si="16"/>
        <v>1.0811585025504167E-2</v>
      </c>
      <c r="O20" s="145">
        <f t="shared" ref="O20:O29" si="17">O19+1</f>
        <v>2</v>
      </c>
      <c r="P20" s="139"/>
      <c r="Q20" s="139">
        <f>E33+E39</f>
        <v>36029139.252433583</v>
      </c>
      <c r="R20" s="139">
        <f>E39</f>
        <v>2450809.266557157</v>
      </c>
      <c r="S20" s="139">
        <f>R20</f>
        <v>2450809.266557157</v>
      </c>
      <c r="T20" s="139">
        <f t="shared" si="14"/>
        <v>2450809.266557157</v>
      </c>
      <c r="U20" s="139">
        <f t="shared" si="14"/>
        <v>2450809.266557157</v>
      </c>
      <c r="V20" s="139">
        <f t="shared" si="14"/>
        <v>2450809.266557157</v>
      </c>
      <c r="W20" s="139">
        <f t="shared" si="14"/>
        <v>2450809.266557157</v>
      </c>
      <c r="X20" s="139">
        <f t="shared" si="14"/>
        <v>2450809.266557157</v>
      </c>
      <c r="Y20" s="140">
        <f t="shared" si="14"/>
        <v>2450809.266557157</v>
      </c>
      <c r="AA20" s="145">
        <v>2</v>
      </c>
      <c r="AB20" s="427" t="s">
        <v>145</v>
      </c>
      <c r="AC20" s="113"/>
      <c r="AD20" s="113"/>
      <c r="AE20" s="113"/>
      <c r="AF20" s="113"/>
      <c r="AG20" s="113"/>
      <c r="AH20" s="113"/>
      <c r="AI20" s="113"/>
      <c r="AJ20" s="113"/>
      <c r="AK20" s="113"/>
      <c r="AL20" s="114"/>
    </row>
    <row r="21" spans="2:38" ht="15" customHeight="1" x14ac:dyDescent="0.3">
      <c r="B21" s="322" t="s">
        <v>147</v>
      </c>
      <c r="C21" s="130"/>
      <c r="D21" s="130">
        <f>AVERAGE($D$19:D19)</f>
        <v>4.9024535424530273E-2</v>
      </c>
      <c r="E21" s="130">
        <f>AVERAGE($D$19:E19)</f>
        <v>5.0824426629287878E-2</v>
      </c>
      <c r="F21" s="130">
        <f>AVERAGE($D$19:F19)</f>
        <v>5.2451672778984187E-2</v>
      </c>
      <c r="G21" s="130">
        <f>AVERAGE($D$19:G19)</f>
        <v>5.3471786549293798E-2</v>
      </c>
      <c r="H21" s="130">
        <f>AVERAGE($D$19:H19)</f>
        <v>5.4336063868356398E-2</v>
      </c>
      <c r="I21" s="130">
        <f>AVERAGE($D$19:I19)</f>
        <v>5.4965798722706044E-2</v>
      </c>
      <c r="J21" s="130">
        <f>AVERAGE($D$19:J19)</f>
        <v>5.5620000897854807E-2</v>
      </c>
      <c r="K21" s="130">
        <f>AVERAGE($D$19:K19)</f>
        <v>5.6274497621388496E-2</v>
      </c>
      <c r="L21" s="130">
        <f>AVERAGE($D$19:L19)</f>
        <v>5.6860471321597696E-2</v>
      </c>
      <c r="M21" s="131">
        <f>AVERAGE($D$19:M19)</f>
        <v>5.7451947595656569E-2</v>
      </c>
      <c r="O21" s="145">
        <f t="shared" si="17"/>
        <v>3</v>
      </c>
      <c r="P21" s="139"/>
      <c r="Q21" s="139"/>
      <c r="R21" s="139">
        <f>F33+F39</f>
        <v>42189338.715244487</v>
      </c>
      <c r="S21" s="139">
        <f>F39</f>
        <v>2762440.266557157</v>
      </c>
      <c r="T21" s="139">
        <f>S21</f>
        <v>2762440.266557157</v>
      </c>
      <c r="U21" s="139">
        <f t="shared" si="14"/>
        <v>2762440.266557157</v>
      </c>
      <c r="V21" s="139">
        <f t="shared" si="14"/>
        <v>2762440.266557157</v>
      </c>
      <c r="W21" s="139">
        <f t="shared" si="14"/>
        <v>2762440.266557157</v>
      </c>
      <c r="X21" s="139">
        <f t="shared" si="14"/>
        <v>2762440.266557157</v>
      </c>
      <c r="Y21" s="140">
        <f t="shared" si="14"/>
        <v>2762440.266557157</v>
      </c>
      <c r="AA21" s="428" t="str">
        <f>AB20&amp;AB21</f>
        <v>164 Mount Pleasant EGR</v>
      </c>
      <c r="AB21" s="259" t="s">
        <v>129</v>
      </c>
      <c r="AC21" s="176">
        <f>'Property-Level CF'!AC9</f>
        <v>753930</v>
      </c>
      <c r="AD21" s="176">
        <f>'Property-Level CF'!AD9</f>
        <v>906249</v>
      </c>
      <c r="AE21" s="176">
        <f>'Property-Level CF'!AE9</f>
        <v>1085628</v>
      </c>
      <c r="AF21" s="176">
        <f>'Property-Level CF'!AF9</f>
        <v>1112856</v>
      </c>
      <c r="AG21" s="176">
        <f>'Property-Level CF'!AG9</f>
        <v>1139458</v>
      </c>
      <c r="AH21" s="176">
        <f>'Property-Level CF'!AH9</f>
        <v>1156756</v>
      </c>
      <c r="AI21" s="176">
        <f>'Property-Level CF'!AI9</f>
        <v>1174243</v>
      </c>
      <c r="AJ21" s="176">
        <f>'Property-Level CF'!AJ9</f>
        <v>1192002</v>
      </c>
      <c r="AK21" s="176">
        <f>'Property-Level CF'!AK9</f>
        <v>1201752</v>
      </c>
      <c r="AL21" s="177">
        <f>'Property-Level CF'!AL9</f>
        <v>1215445</v>
      </c>
    </row>
    <row r="22" spans="2:38" x14ac:dyDescent="0.3">
      <c r="B22" s="125"/>
      <c r="C22" s="130"/>
      <c r="D22" s="130"/>
      <c r="E22" s="130"/>
      <c r="F22" s="130"/>
      <c r="G22" s="130"/>
      <c r="H22" s="130"/>
      <c r="I22" s="130"/>
      <c r="J22" s="130"/>
      <c r="K22" s="130"/>
      <c r="L22" s="130"/>
      <c r="M22" s="131"/>
      <c r="O22" s="145">
        <f t="shared" si="17"/>
        <v>4</v>
      </c>
      <c r="P22" s="139"/>
      <c r="Q22" s="139"/>
      <c r="R22" s="139"/>
      <c r="S22" s="139">
        <f>G33+G39</f>
        <v>43648175.764632359</v>
      </c>
      <c r="T22" s="139">
        <f>G39</f>
        <v>2595838.266557157</v>
      </c>
      <c r="U22" s="139">
        <f>T22</f>
        <v>2595838.266557157</v>
      </c>
      <c r="V22" s="139">
        <f t="shared" si="14"/>
        <v>2595838.266557157</v>
      </c>
      <c r="W22" s="139">
        <f t="shared" si="14"/>
        <v>2595838.266557157</v>
      </c>
      <c r="X22" s="139">
        <f t="shared" si="14"/>
        <v>2595838.266557157</v>
      </c>
      <c r="Y22" s="140">
        <f t="shared" si="14"/>
        <v>2595838.266557157</v>
      </c>
      <c r="AA22" s="428" t="str">
        <f>AB20&amp;AB22</f>
        <v>164 Mount Pleasant NOI</v>
      </c>
      <c r="AB22" s="259" t="s">
        <v>130</v>
      </c>
      <c r="AC22" s="176">
        <f>'Property-Level CF'!AC10</f>
        <v>421291</v>
      </c>
      <c r="AD22" s="176">
        <f>'Property-Level CF'!AD10</f>
        <v>560979</v>
      </c>
      <c r="AE22" s="176">
        <f>'Property-Level CF'!AE10</f>
        <v>726550</v>
      </c>
      <c r="AF22" s="176">
        <f>'Property-Level CF'!AF10</f>
        <v>744800</v>
      </c>
      <c r="AG22" s="176">
        <f>'Property-Level CF'!AG10</f>
        <v>762241</v>
      </c>
      <c r="AH22" s="176">
        <f>'Property-Level CF'!AH10</f>
        <v>770468</v>
      </c>
      <c r="AI22" s="176">
        <f>'Property-Level CF'!AI10</f>
        <v>778664</v>
      </c>
      <c r="AJ22" s="176">
        <f>'Property-Level CF'!AJ10</f>
        <v>786906</v>
      </c>
      <c r="AK22" s="176">
        <f>'Property-Level CF'!AK10</f>
        <v>787173</v>
      </c>
      <c r="AL22" s="177">
        <f>'Property-Level CF'!AL10</f>
        <v>791022</v>
      </c>
    </row>
    <row r="23" spans="2:38" x14ac:dyDescent="0.3">
      <c r="B23" s="125" t="s">
        <v>148</v>
      </c>
      <c r="C23" s="132"/>
      <c r="D23" s="265">
        <f>'Property-Level CF'!CA23+'Property-Level CF'!DY23+'Property-Level CF'!CZ23+'Property-Level CF'!D23+'Property-Level CF'!AC23+'Property-Level CF'!BB23</f>
        <v>99756045.685094997</v>
      </c>
      <c r="E23" s="265">
        <f>'Property-Level CF'!CB23+'Property-Level CF'!DZ23+'Property-Level CF'!DA23+'Property-Level CF'!E23+'Property-Level CF'!AD23+'Property-Level CF'!BC23</f>
        <v>101016114.38037643</v>
      </c>
      <c r="F23" s="265">
        <f>'Property-Level CF'!CC23+'Property-Level CF'!EA23+'Property-Level CF'!DB23+'Property-Level CF'!F23+'Property-Level CF'!AE23+'Property-Level CF'!BD23</f>
        <v>106864682.84318733</v>
      </c>
      <c r="G23" s="265">
        <f>'Property-Level CF'!CD23+'Property-Level CF'!EB23+'Property-Level CF'!DC23+'Property-Level CF'!G23+'Property-Level CF'!AF23+'Property-Level CF'!BE23</f>
        <v>108490121.8925752</v>
      </c>
      <c r="H23" s="265">
        <f>'Property-Level CF'!CE23+'Property-Level CF'!EC23+'Property-Level CF'!DD23+'Property-Level CF'!H23+'Property-Level CF'!AG23+'Property-Level CF'!BF23</f>
        <v>110860030.59512092</v>
      </c>
      <c r="I23" s="265">
        <f>'Property-Level CF'!CF23+'Property-Level CF'!ED23+'Property-Level CF'!DE23+'Property-Level CF'!I23+'Property-Level CF'!AH23+'Property-Level CF'!BG23</f>
        <v>111614086.05231881</v>
      </c>
      <c r="J23" s="265">
        <f>'Property-Level CF'!CG23+'Property-Level CF'!EE23+'Property-Level CF'!DF23+'Property-Level CF'!J23+'Property-Level CF'!AI23+'Property-Level CF'!BH23</f>
        <v>114349147.46772829</v>
      </c>
      <c r="K23" s="265">
        <f>'Property-Level CF'!CH23+'Property-Level CF'!EF23+'Property-Level CF'!DG23+'Property-Level CF'!K23+'Property-Level CF'!AJ23+'Property-Level CF'!BI23</f>
        <v>116816942.71295114</v>
      </c>
      <c r="L23" s="265">
        <f>'Property-Level CF'!CI23+'Property-Level CF'!EG23+'Property-Level CF'!DH23+'Property-Level CF'!L23+'Property-Level CF'!AK23+'Property-Level CF'!BJ23</f>
        <v>118201775.71425174</v>
      </c>
      <c r="M23" s="297">
        <f>'Property-Level CF'!CJ23+'Property-Level CF'!EH23+'Property-Level CF'!DI23+'Property-Level CF'!M23+'Property-Level CF'!AL23+'Property-Level CF'!BK23</f>
        <v>120511342.69995882</v>
      </c>
      <c r="O23" s="145">
        <f t="shared" si="17"/>
        <v>5</v>
      </c>
      <c r="P23" s="139"/>
      <c r="Q23" s="139"/>
      <c r="R23" s="139"/>
      <c r="S23" s="139"/>
      <c r="T23" s="139">
        <f>H33+H39</f>
        <v>46455877.467178077</v>
      </c>
      <c r="U23" s="139">
        <f>H39</f>
        <v>3033631.266557157</v>
      </c>
      <c r="V23" s="139">
        <f>U23</f>
        <v>3033631.266557157</v>
      </c>
      <c r="W23" s="139">
        <f t="shared" si="14"/>
        <v>3033631.266557157</v>
      </c>
      <c r="X23" s="139">
        <f t="shared" si="14"/>
        <v>3033631.266557157</v>
      </c>
      <c r="Y23" s="140">
        <f t="shared" si="14"/>
        <v>3033631.266557157</v>
      </c>
      <c r="AA23" s="428" t="str">
        <f>AB20&amp;AB23</f>
        <v>164 Mount Pleasant NCF before DS</v>
      </c>
      <c r="AB23" s="259" t="s">
        <v>132</v>
      </c>
      <c r="AC23" s="176">
        <f>'Property-Level CF'!AC14</f>
        <v>408299</v>
      </c>
      <c r="AD23" s="176">
        <f>'Property-Level CF'!AD14</f>
        <v>547987</v>
      </c>
      <c r="AE23" s="176">
        <f>'Property-Level CF'!AE14</f>
        <v>713558</v>
      </c>
      <c r="AF23" s="176">
        <f>'Property-Level CF'!AF14</f>
        <v>731808</v>
      </c>
      <c r="AG23" s="176">
        <f>'Property-Level CF'!AG14</f>
        <v>749249</v>
      </c>
      <c r="AH23" s="176">
        <f>'Property-Level CF'!AH14</f>
        <v>757476</v>
      </c>
      <c r="AI23" s="176">
        <f>'Property-Level CF'!AI14</f>
        <v>765672</v>
      </c>
      <c r="AJ23" s="176">
        <f>'Property-Level CF'!AJ14</f>
        <v>773914</v>
      </c>
      <c r="AK23" s="176">
        <f>'Property-Level CF'!AK14</f>
        <v>668863</v>
      </c>
      <c r="AL23" s="177">
        <f>'Property-Level CF'!AL14</f>
        <v>563742</v>
      </c>
    </row>
    <row r="24" spans="2:38" x14ac:dyDescent="0.3">
      <c r="B24" s="125" t="s">
        <v>149</v>
      </c>
      <c r="C24" s="134"/>
      <c r="D24" s="134">
        <f>D23/Summary!$C$12</f>
        <v>505.39329975273961</v>
      </c>
      <c r="E24" s="134">
        <f>E23/Summary!$C$12</f>
        <v>511.77717625315466</v>
      </c>
      <c r="F24" s="134">
        <f>F23/Summary!$C$12</f>
        <v>541.40773442083321</v>
      </c>
      <c r="G24" s="134">
        <f>G23/Summary!$C$12</f>
        <v>549.6426839827908</v>
      </c>
      <c r="H24" s="134">
        <f>H23/Summary!$C$12</f>
        <v>561.6493345177696</v>
      </c>
      <c r="I24" s="134">
        <f>I23/Summary!$C$12</f>
        <v>565.46959997729698</v>
      </c>
      <c r="J24" s="134">
        <f>J23/Summary!$C$12</f>
        <v>579.32622093963653</v>
      </c>
      <c r="K24" s="134">
        <f>K23/Summary!$C$12</f>
        <v>591.82879332541881</v>
      </c>
      <c r="L24" s="134">
        <f>L23/Summary!$C$12</f>
        <v>598.84476228576796</v>
      </c>
      <c r="M24" s="135">
        <f>M23/Summary!$C$12</f>
        <v>610.54570403711978</v>
      </c>
      <c r="O24" s="145">
        <f t="shared" si="17"/>
        <v>6</v>
      </c>
      <c r="P24" s="139"/>
      <c r="Q24" s="139"/>
      <c r="R24" s="139"/>
      <c r="S24" s="139"/>
      <c r="T24" s="139"/>
      <c r="U24" s="139">
        <f>I33+I39</f>
        <v>47243267.924375966</v>
      </c>
      <c r="V24" s="139">
        <f>I39</f>
        <v>3066966.266557157</v>
      </c>
      <c r="W24" s="139">
        <f>V24</f>
        <v>3066966.266557157</v>
      </c>
      <c r="X24" s="139">
        <f t="shared" si="14"/>
        <v>3066966.266557157</v>
      </c>
      <c r="Y24" s="140">
        <f t="shared" si="14"/>
        <v>3066966.266557157</v>
      </c>
      <c r="AA24" s="428"/>
      <c r="AB24" s="259" t="s">
        <v>142</v>
      </c>
      <c r="AC24" s="176">
        <f>'Property-Level CF'!AC30</f>
        <v>292979.75598558231</v>
      </c>
      <c r="AD24" s="176">
        <f>'Property-Level CF'!AD30</f>
        <v>292979.75598558231</v>
      </c>
      <c r="AE24" s="176">
        <f>'Property-Level CF'!AE30</f>
        <v>292979.75598558231</v>
      </c>
      <c r="AF24" s="176">
        <f>'Property-Level CF'!AF30</f>
        <v>292979.75598558231</v>
      </c>
      <c r="AG24" s="176">
        <f>'Property-Level CF'!AG30</f>
        <v>292979.75598558231</v>
      </c>
      <c r="AH24" s="176">
        <f>'Property-Level CF'!AH30</f>
        <v>292979.75598558231</v>
      </c>
      <c r="AI24" s="176">
        <f>'Property-Level CF'!AI30</f>
        <v>292979.75598558231</v>
      </c>
      <c r="AJ24" s="176">
        <f>'Property-Level CF'!AJ30</f>
        <v>292979.75598558231</v>
      </c>
      <c r="AK24" s="176">
        <f>'Property-Level CF'!AK30</f>
        <v>292979.75598558231</v>
      </c>
      <c r="AL24" s="177">
        <f>'Property-Level CF'!AL30</f>
        <v>292979.75598558231</v>
      </c>
    </row>
    <row r="25" spans="2:38" x14ac:dyDescent="0.3">
      <c r="B25" s="145"/>
      <c r="C25" s="193"/>
      <c r="D25" s="191"/>
      <c r="E25" s="191"/>
      <c r="F25" s="191"/>
      <c r="G25" s="191"/>
      <c r="H25" s="191"/>
      <c r="I25" s="191"/>
      <c r="J25" s="191"/>
      <c r="K25" s="191"/>
      <c r="L25" s="191"/>
      <c r="M25" s="192"/>
      <c r="O25" s="145">
        <f t="shared" si="17"/>
        <v>7</v>
      </c>
      <c r="P25" s="139"/>
      <c r="Q25" s="139"/>
      <c r="R25" s="139"/>
      <c r="S25" s="139"/>
      <c r="T25" s="139"/>
      <c r="U25" s="139"/>
      <c r="V25" s="139">
        <f>J33+J39</f>
        <v>49678976.339785442</v>
      </c>
      <c r="W25" s="139">
        <f>J39</f>
        <v>2767613.266557157</v>
      </c>
      <c r="X25" s="139">
        <f>W25</f>
        <v>2767613.266557157</v>
      </c>
      <c r="Y25" s="140">
        <f t="shared" si="14"/>
        <v>2767613.266557157</v>
      </c>
      <c r="AA25" s="428"/>
      <c r="AB25" s="259" t="s">
        <v>136</v>
      </c>
      <c r="AC25" s="176">
        <f t="shared" ref="AC25:AL25" si="18">AC23-AC24</f>
        <v>115319.24401441769</v>
      </c>
      <c r="AD25" s="176">
        <f t="shared" si="18"/>
        <v>255007.24401441769</v>
      </c>
      <c r="AE25" s="176">
        <f t="shared" si="18"/>
        <v>420578.24401441769</v>
      </c>
      <c r="AF25" s="176">
        <f t="shared" si="18"/>
        <v>438828.24401441769</v>
      </c>
      <c r="AG25" s="176">
        <f t="shared" si="18"/>
        <v>456269.24401441769</v>
      </c>
      <c r="AH25" s="176">
        <f t="shared" si="18"/>
        <v>464496.24401441769</v>
      </c>
      <c r="AI25" s="176">
        <f t="shared" si="18"/>
        <v>472692.24401441769</v>
      </c>
      <c r="AJ25" s="176">
        <f t="shared" si="18"/>
        <v>480934.24401441769</v>
      </c>
      <c r="AK25" s="176">
        <f t="shared" si="18"/>
        <v>375883.24401441769</v>
      </c>
      <c r="AL25" s="177">
        <f t="shared" si="18"/>
        <v>270762.24401441769</v>
      </c>
    </row>
    <row r="26" spans="2:38" x14ac:dyDescent="0.3">
      <c r="B26" s="125" t="s">
        <v>112</v>
      </c>
      <c r="C26" s="193"/>
      <c r="D26" s="143">
        <f t="shared" ref="D26:M26" si="19">P3</f>
        <v>9.5634647787203875E-3</v>
      </c>
      <c r="E26" s="143">
        <f t="shared" si="19"/>
        <v>3.6675356477720245E-2</v>
      </c>
      <c r="F26" s="143">
        <f t="shared" si="19"/>
        <v>6.0475501425535816E-2</v>
      </c>
      <c r="G26" s="143">
        <f t="shared" si="19"/>
        <v>6.182214269149866E-2</v>
      </c>
      <c r="H26" s="143">
        <f t="shared" si="19"/>
        <v>6.4408500340690011E-2</v>
      </c>
      <c r="I26" s="143">
        <f t="shared" si="19"/>
        <v>6.3805187658710905E-2</v>
      </c>
      <c r="J26" s="143">
        <f t="shared" si="19"/>
        <v>6.5162092020156104E-2</v>
      </c>
      <c r="K26" s="143">
        <f t="shared" si="19"/>
        <v>6.6281943397927812E-2</v>
      </c>
      <c r="L26" s="143">
        <f t="shared" si="19"/>
        <v>6.5856320986114492E-2</v>
      </c>
      <c r="M26" s="144">
        <f t="shared" si="19"/>
        <v>6.6186186375130962E-2</v>
      </c>
      <c r="O26" s="145">
        <f t="shared" si="17"/>
        <v>8</v>
      </c>
      <c r="P26" s="139"/>
      <c r="Q26" s="139"/>
      <c r="R26" s="139"/>
      <c r="S26" s="139"/>
      <c r="T26" s="139"/>
      <c r="U26" s="139"/>
      <c r="V26" s="139"/>
      <c r="W26" s="139">
        <f>K33+K39</f>
        <v>52730556.585008293</v>
      </c>
      <c r="X26" s="139">
        <f>K39</f>
        <v>3351398.266557157</v>
      </c>
      <c r="Y26" s="140">
        <f>X26</f>
        <v>3351398.266557157</v>
      </c>
      <c r="AA26" s="145">
        <v>3</v>
      </c>
      <c r="AB26" s="427" t="s">
        <v>150</v>
      </c>
      <c r="AC26" s="113"/>
      <c r="AD26" s="113"/>
      <c r="AE26" s="113"/>
      <c r="AF26" s="113"/>
      <c r="AG26" s="113"/>
      <c r="AH26" s="113"/>
      <c r="AI26" s="113"/>
      <c r="AJ26" s="113"/>
      <c r="AK26" s="113"/>
      <c r="AL26" s="114"/>
    </row>
    <row r="27" spans="2:38" x14ac:dyDescent="0.3">
      <c r="B27" s="125" t="s">
        <v>151</v>
      </c>
      <c r="C27" s="193"/>
      <c r="D27" s="208">
        <f>(SUM($D$14:D14)+D23)/-P4</f>
        <v>1.0095634647787204</v>
      </c>
      <c r="E27" s="208">
        <f>(SUM($D$14:E14)+E23)/-Q4</f>
        <v>1.0729330500238945</v>
      </c>
      <c r="F27" s="208">
        <f>(SUM($D$14:F14)+F23)/-R4</f>
        <v>1.1835326121654317</v>
      </c>
      <c r="G27" s="208">
        <f>(SUM($D$14:G14)+G23)/-S4</f>
        <v>1.2518216885111502</v>
      </c>
      <c r="H27" s="208">
        <f>(SUM($D$14:H14)+H23)/-T4</f>
        <v>1.3315060194823345</v>
      </c>
      <c r="I27" s="208">
        <f>(SUM($D$14:I14)+I23)/-U4</f>
        <v>1.3959372268713632</v>
      </c>
      <c r="J27" s="208">
        <f>(SUM($D$14:J14)+J23)/-V4</f>
        <v>1.476577069117718</v>
      </c>
      <c r="K27" s="208">
        <f>(SUM($D$14:K14)+K23)/-W4</f>
        <v>1.5602676824003088</v>
      </c>
      <c r="L27" s="208">
        <f>(SUM($D$14:L14)+L23)/-X4</f>
        <v>1.6295969948595528</v>
      </c>
      <c r="M27" s="209">
        <f>(SUM($D$14:M14)+M23)/-Y4</f>
        <v>1.7093802197092172</v>
      </c>
      <c r="O27" s="145">
        <f t="shared" si="17"/>
        <v>9</v>
      </c>
      <c r="P27" s="139"/>
      <c r="Q27" s="139"/>
      <c r="R27" s="139"/>
      <c r="S27" s="139"/>
      <c r="T27" s="139"/>
      <c r="U27" s="139"/>
      <c r="V27" s="139"/>
      <c r="W27" s="139"/>
      <c r="X27" s="139">
        <f>L33+L39</f>
        <v>53708360.586308897</v>
      </c>
      <c r="Y27" s="140">
        <f>L39</f>
        <v>2944369.266557157</v>
      </c>
      <c r="AA27" s="428" t="str">
        <f>AB26&amp;AB27</f>
        <v>170 Mount Pleasant EGR</v>
      </c>
      <c r="AB27" s="259" t="s">
        <v>129</v>
      </c>
      <c r="AC27" s="176">
        <f>'Property-Level CF'!BB9</f>
        <v>955031</v>
      </c>
      <c r="AD27" s="176">
        <f>'Property-Level CF'!BC9</f>
        <v>1124079</v>
      </c>
      <c r="AE27" s="176">
        <f>'Property-Level CF'!BD9</f>
        <v>1217274</v>
      </c>
      <c r="AF27" s="176">
        <f>'Property-Level CF'!BE9</f>
        <v>1232295</v>
      </c>
      <c r="AG27" s="176">
        <f>'Property-Level CF'!BF9</f>
        <v>1247438</v>
      </c>
      <c r="AH27" s="176">
        <f>'Property-Level CF'!BG9</f>
        <v>1263167</v>
      </c>
      <c r="AI27" s="176">
        <f>'Property-Level CF'!BH9</f>
        <v>1330801</v>
      </c>
      <c r="AJ27" s="176">
        <f>'Property-Level CF'!BI9</f>
        <v>1357587</v>
      </c>
      <c r="AK27" s="176">
        <f>'Property-Level CF'!BJ9</f>
        <v>1373796</v>
      </c>
      <c r="AL27" s="177">
        <f>'Property-Level CF'!BK9</f>
        <v>1389233</v>
      </c>
    </row>
    <row r="28" spans="2:38" x14ac:dyDescent="0.3">
      <c r="B28" s="125"/>
      <c r="C28" s="193"/>
      <c r="D28" s="191"/>
      <c r="E28" s="191"/>
      <c r="F28" s="191"/>
      <c r="G28" s="191"/>
      <c r="H28" s="191"/>
      <c r="I28" s="191"/>
      <c r="J28" s="191"/>
      <c r="K28" s="191"/>
      <c r="L28" s="191"/>
      <c r="M28" s="192"/>
      <c r="O28" s="145">
        <f t="shared" si="17"/>
        <v>10</v>
      </c>
      <c r="P28" s="139"/>
      <c r="Q28" s="139"/>
      <c r="R28" s="139"/>
      <c r="S28" s="139"/>
      <c r="T28" s="139"/>
      <c r="U28" s="139"/>
      <c r="V28" s="139"/>
      <c r="W28" s="139"/>
      <c r="X28" s="139"/>
      <c r="Y28" s="140">
        <f>M33+M36+M38</f>
        <v>56177791.572015971</v>
      </c>
      <c r="AA28" s="428" t="str">
        <f>AB26&amp;AB28</f>
        <v>170 Mount Pleasant NOI</v>
      </c>
      <c r="AB28" s="259" t="s">
        <v>130</v>
      </c>
      <c r="AC28" s="176">
        <f>'Property-Level CF'!BB10</f>
        <v>638299</v>
      </c>
      <c r="AD28" s="176">
        <f>'Property-Level CF'!BC10</f>
        <v>794615</v>
      </c>
      <c r="AE28" s="176">
        <f>'Property-Level CF'!BD10</f>
        <v>877384</v>
      </c>
      <c r="AF28" s="176">
        <f>'Property-Level CF'!BE10</f>
        <v>884405</v>
      </c>
      <c r="AG28" s="176">
        <f>'Property-Level CF'!BF10</f>
        <v>891356</v>
      </c>
      <c r="AH28" s="176">
        <f>'Property-Level CF'!BG10</f>
        <v>898681</v>
      </c>
      <c r="AI28" s="176">
        <f>'Property-Level CF'!BH10</f>
        <v>956057</v>
      </c>
      <c r="AJ28" s="176">
        <f>'Property-Level CF'!BI10</f>
        <v>973687</v>
      </c>
      <c r="AK28" s="176">
        <f>'Property-Level CF'!BJ10</f>
        <v>980870</v>
      </c>
      <c r="AL28" s="177">
        <f>'Property-Level CF'!BK10</f>
        <v>987095</v>
      </c>
    </row>
    <row r="29" spans="2:38" ht="13.5" thickBot="1" x14ac:dyDescent="0.35">
      <c r="B29" s="125" t="s">
        <v>152</v>
      </c>
      <c r="C29" s="193"/>
      <c r="D29" s="191">
        <f>Summary!$C$17</f>
        <v>67437784.394500002</v>
      </c>
      <c r="E29" s="191">
        <f>D29</f>
        <v>67437784.394500002</v>
      </c>
      <c r="F29" s="191">
        <f t="shared" ref="F29:M29" si="20">E29</f>
        <v>67437784.394500002</v>
      </c>
      <c r="G29" s="191">
        <f t="shared" si="20"/>
        <v>67437784.394500002</v>
      </c>
      <c r="H29" s="191">
        <f t="shared" si="20"/>
        <v>67437784.394500002</v>
      </c>
      <c r="I29" s="191">
        <f t="shared" si="20"/>
        <v>67437784.394500002</v>
      </c>
      <c r="J29" s="191">
        <f t="shared" si="20"/>
        <v>67437784.394500002</v>
      </c>
      <c r="K29" s="191">
        <f t="shared" si="20"/>
        <v>67437784.394500002</v>
      </c>
      <c r="L29" s="191">
        <f t="shared" si="20"/>
        <v>67437784.394500002</v>
      </c>
      <c r="M29" s="192">
        <f t="shared" si="20"/>
        <v>67437784.394500002</v>
      </c>
      <c r="O29" s="148">
        <f t="shared" si="17"/>
        <v>11</v>
      </c>
      <c r="P29" s="141"/>
      <c r="Q29" s="141"/>
      <c r="R29" s="141"/>
      <c r="S29" s="141"/>
      <c r="T29" s="141"/>
      <c r="U29" s="141"/>
      <c r="V29" s="141"/>
      <c r="W29" s="141"/>
      <c r="X29" s="141"/>
      <c r="Y29" s="142"/>
      <c r="AA29" s="428" t="str">
        <f>AB26&amp;AB29</f>
        <v>170 Mount Pleasant NCF before DS</v>
      </c>
      <c r="AB29" s="259" t="s">
        <v>132</v>
      </c>
      <c r="AC29" s="176">
        <f>'Property-Level CF'!BB14</f>
        <v>623299</v>
      </c>
      <c r="AD29" s="176">
        <f>'Property-Level CF'!BC14</f>
        <v>779615</v>
      </c>
      <c r="AE29" s="176">
        <f>'Property-Level CF'!BD14</f>
        <v>862384</v>
      </c>
      <c r="AF29" s="176">
        <f>'Property-Level CF'!BE14</f>
        <v>869405</v>
      </c>
      <c r="AG29" s="176">
        <f>'Property-Level CF'!BF14</f>
        <v>876356</v>
      </c>
      <c r="AH29" s="176">
        <f>'Property-Level CF'!BG14</f>
        <v>883681</v>
      </c>
      <c r="AI29" s="176">
        <f>'Property-Level CF'!BH14</f>
        <v>941057</v>
      </c>
      <c r="AJ29" s="176">
        <f>'Property-Level CF'!BI14</f>
        <v>958687</v>
      </c>
      <c r="AK29" s="176">
        <f>'Property-Level CF'!BJ14</f>
        <v>965870</v>
      </c>
      <c r="AL29" s="177">
        <f>'Property-Level CF'!BK14</f>
        <v>972095</v>
      </c>
    </row>
    <row r="30" spans="2:38" ht="13.5" thickBot="1" x14ac:dyDescent="0.35">
      <c r="B30" s="125" t="s">
        <v>153</v>
      </c>
      <c r="C30" s="193"/>
      <c r="D30" s="191">
        <f>'Portfolio-Level CF'!AC11</f>
        <v>2772962.6006040932</v>
      </c>
      <c r="E30" s="191">
        <f>'Portfolio-Level CF'!AD11</f>
        <v>2772962.6006040932</v>
      </c>
      <c r="F30" s="191">
        <f>'Portfolio-Level CF'!AE11</f>
        <v>2772962.6006040932</v>
      </c>
      <c r="G30" s="191">
        <f>'Portfolio-Level CF'!AF11</f>
        <v>2772962.6006040932</v>
      </c>
      <c r="H30" s="191">
        <f>'Portfolio-Level CF'!AG11</f>
        <v>2772962.6006040932</v>
      </c>
      <c r="I30" s="191">
        <f>'Portfolio-Level CF'!AH11</f>
        <v>2772962.6006040932</v>
      </c>
      <c r="J30" s="191">
        <f>'Portfolio-Level CF'!AI11</f>
        <v>2772962.6006040932</v>
      </c>
      <c r="K30" s="191">
        <f>'Portfolio-Level CF'!AJ11</f>
        <v>2772962.6006040932</v>
      </c>
      <c r="L30" s="191">
        <f>'Portfolio-Level CF'!AK11</f>
        <v>2772962.6006040932</v>
      </c>
      <c r="M30" s="192">
        <f>'Portfolio-Level CF'!AL11</f>
        <v>2772962.6006040932</v>
      </c>
      <c r="AA30" s="428"/>
      <c r="AB30" s="259" t="s">
        <v>142</v>
      </c>
      <c r="AC30" s="176">
        <f>'Property-Level CF'!BB30</f>
        <v>376017.6240830305</v>
      </c>
      <c r="AD30" s="176">
        <f>'Property-Level CF'!BC30</f>
        <v>376017.6240830305</v>
      </c>
      <c r="AE30" s="176">
        <f>'Property-Level CF'!BD30</f>
        <v>376017.6240830305</v>
      </c>
      <c r="AF30" s="176">
        <f>'Property-Level CF'!BE30</f>
        <v>376017.6240830305</v>
      </c>
      <c r="AG30" s="176">
        <f>'Property-Level CF'!BF30</f>
        <v>376017.6240830305</v>
      </c>
      <c r="AH30" s="176">
        <f>'Property-Level CF'!BG30</f>
        <v>376017.6240830305</v>
      </c>
      <c r="AI30" s="176">
        <f>'Property-Level CF'!BH30</f>
        <v>376017.6240830305</v>
      </c>
      <c r="AJ30" s="176">
        <f>'Property-Level CF'!BI30</f>
        <v>376017.6240830305</v>
      </c>
      <c r="AK30" s="176">
        <f>'Property-Level CF'!BJ30</f>
        <v>376017.6240830305</v>
      </c>
      <c r="AL30" s="177">
        <f>'Property-Level CF'!BK30</f>
        <v>376017.6240830305</v>
      </c>
    </row>
    <row r="31" spans="2:38" ht="13.5" thickBot="1" x14ac:dyDescent="0.35">
      <c r="B31" s="125" t="s">
        <v>154</v>
      </c>
      <c r="C31" s="193"/>
      <c r="D31" s="208">
        <f t="shared" ref="D31:M31" si="21">D10/D30</f>
        <v>1.8342537324131021</v>
      </c>
      <c r="E31" s="208">
        <f t="shared" si="21"/>
        <v>1.9689396455655683</v>
      </c>
      <c r="F31" s="208">
        <f t="shared" si="21"/>
        <v>2.0842470066999534</v>
      </c>
      <c r="G31" s="208">
        <f t="shared" si="21"/>
        <v>2.1151504166418444</v>
      </c>
      <c r="H31" s="208">
        <f t="shared" si="21"/>
        <v>2.1623324449791532</v>
      </c>
      <c r="I31" s="208">
        <f t="shared" si="21"/>
        <v>2.1743538837078034</v>
      </c>
      <c r="J31" s="208">
        <f t="shared" si="21"/>
        <v>2.2278850780945079</v>
      </c>
      <c r="K31" s="208">
        <f t="shared" si="21"/>
        <v>2.276927210855467</v>
      </c>
      <c r="L31" s="208">
        <f t="shared" si="21"/>
        <v>2.3028291108610253</v>
      </c>
      <c r="M31" s="209">
        <f t="shared" si="21"/>
        <v>2.3487363293616528</v>
      </c>
      <c r="O31" s="512" t="s">
        <v>155</v>
      </c>
      <c r="P31" s="513"/>
      <c r="Q31" s="513"/>
      <c r="R31" s="513"/>
      <c r="S31" s="513"/>
      <c r="T31" s="513"/>
      <c r="U31" s="513"/>
      <c r="V31" s="513"/>
      <c r="W31" s="513"/>
      <c r="X31" s="513"/>
      <c r="Y31" s="514"/>
      <c r="AA31" s="428"/>
      <c r="AB31" s="259" t="s">
        <v>136</v>
      </c>
      <c r="AC31" s="176">
        <f t="shared" ref="AC31:AL31" si="22">AC29-AC30</f>
        <v>247281.3759169695</v>
      </c>
      <c r="AD31" s="176">
        <f t="shared" si="22"/>
        <v>403597.3759169695</v>
      </c>
      <c r="AE31" s="176">
        <f t="shared" si="22"/>
        <v>486366.3759169695</v>
      </c>
      <c r="AF31" s="176">
        <f t="shared" si="22"/>
        <v>493387.3759169695</v>
      </c>
      <c r="AG31" s="176">
        <f t="shared" si="22"/>
        <v>500338.3759169695</v>
      </c>
      <c r="AH31" s="176">
        <f t="shared" si="22"/>
        <v>507663.3759169695</v>
      </c>
      <c r="AI31" s="176">
        <f t="shared" si="22"/>
        <v>565039.3759169695</v>
      </c>
      <c r="AJ31" s="176">
        <f t="shared" si="22"/>
        <v>582669.3759169695</v>
      </c>
      <c r="AK31" s="176">
        <f t="shared" si="22"/>
        <v>589852.3759169695</v>
      </c>
      <c r="AL31" s="177">
        <f t="shared" si="22"/>
        <v>596077.3759169695</v>
      </c>
    </row>
    <row r="32" spans="2:38" ht="13.5" thickBot="1" x14ac:dyDescent="0.35">
      <c r="B32" s="125"/>
      <c r="C32" s="193"/>
      <c r="D32" s="208"/>
      <c r="E32" s="208"/>
      <c r="F32" s="208"/>
      <c r="G32" s="208"/>
      <c r="H32" s="208"/>
      <c r="I32" s="208"/>
      <c r="J32" s="208"/>
      <c r="K32" s="208"/>
      <c r="L32" s="208"/>
      <c r="M32" s="209"/>
      <c r="O32" s="3" t="s">
        <v>11</v>
      </c>
      <c r="P32" s="287" t="str">
        <f>P16</f>
        <v>Year 1</v>
      </c>
      <c r="Q32" s="287" t="str">
        <f t="shared" ref="Q32:Y32" si="23">Q16</f>
        <v>Year 2</v>
      </c>
      <c r="R32" s="287" t="str">
        <f t="shared" si="23"/>
        <v>Year 3</v>
      </c>
      <c r="S32" s="287" t="str">
        <f t="shared" si="23"/>
        <v>Year 4</v>
      </c>
      <c r="T32" s="287" t="str">
        <f t="shared" si="23"/>
        <v>Year 5</v>
      </c>
      <c r="U32" s="287" t="str">
        <f t="shared" si="23"/>
        <v>Year 6</v>
      </c>
      <c r="V32" s="287" t="str">
        <f t="shared" si="23"/>
        <v>Year 7</v>
      </c>
      <c r="W32" s="287" t="str">
        <f t="shared" si="23"/>
        <v>Year 8</v>
      </c>
      <c r="X32" s="287" t="str">
        <f t="shared" si="23"/>
        <v>Year 9</v>
      </c>
      <c r="Y32" s="288" t="str">
        <f t="shared" si="23"/>
        <v>Year 10</v>
      </c>
      <c r="AA32" s="145">
        <v>4</v>
      </c>
      <c r="AB32" s="427" t="s">
        <v>156</v>
      </c>
      <c r="AC32" s="113"/>
      <c r="AD32" s="113"/>
      <c r="AE32" s="113"/>
      <c r="AF32" s="113"/>
      <c r="AG32" s="113"/>
      <c r="AH32" s="113"/>
      <c r="AI32" s="113"/>
      <c r="AJ32" s="113"/>
      <c r="AK32" s="113"/>
      <c r="AL32" s="114"/>
    </row>
    <row r="33" spans="2:38" x14ac:dyDescent="0.3">
      <c r="B33" s="125" t="s">
        <v>157</v>
      </c>
      <c r="C33" s="193"/>
      <c r="D33" s="191">
        <f>D23-D29</f>
        <v>32318261.290594995</v>
      </c>
      <c r="E33" s="191">
        <f t="shared" ref="E33:L33" si="24">E23-E29</f>
        <v>33578329.985876426</v>
      </c>
      <c r="F33" s="191">
        <f t="shared" si="24"/>
        <v>39426898.44868733</v>
      </c>
      <c r="G33" s="191">
        <f t="shared" si="24"/>
        <v>41052337.498075202</v>
      </c>
      <c r="H33" s="191">
        <f t="shared" si="24"/>
        <v>43422246.200620919</v>
      </c>
      <c r="I33" s="191">
        <f t="shared" si="24"/>
        <v>44176301.657818809</v>
      </c>
      <c r="J33" s="191">
        <f t="shared" si="24"/>
        <v>46911363.073228285</v>
      </c>
      <c r="K33" s="191">
        <f t="shared" si="24"/>
        <v>49379158.318451136</v>
      </c>
      <c r="L33" s="191">
        <f t="shared" si="24"/>
        <v>50763991.31975174</v>
      </c>
      <c r="M33" s="192">
        <f>M15-M29</f>
        <v>53073558.305458814</v>
      </c>
      <c r="O33" s="289">
        <v>0.05</v>
      </c>
      <c r="P33" s="277">
        <f>('Portfolio-Level CF'!D10/$O33)*(1-'Portfolio-Level CF'!$AC$52)</f>
        <v>97809875.909999996</v>
      </c>
      <c r="Q33" s="277">
        <f>('Portfolio-Level CF'!E10/$O33)*(1-'Portfolio-Level CF'!$AC$52)</f>
        <v>104991877.08</v>
      </c>
      <c r="R33" s="277">
        <f>('Portfolio-Level CF'!F10/$O33)*(1-'Portfolio-Level CF'!$AC$52)</f>
        <v>111140534.97</v>
      </c>
      <c r="S33" s="277">
        <f>('Portfolio-Level CF'!G10/$O33)*(1-'Portfolio-Level CF'!$AC$52)</f>
        <v>112788430.59</v>
      </c>
      <c r="T33" s="277">
        <f>('Portfolio-Level CF'!H10/$O33)*(1-'Portfolio-Level CF'!$AC$52)</f>
        <v>115304368.41</v>
      </c>
      <c r="U33" s="277">
        <f>('Portfolio-Level CF'!I10/$O33)*(1-'Portfolio-Level CF'!$AC$52)</f>
        <v>115945400.46000001</v>
      </c>
      <c r="V33" s="277">
        <f>('Portfolio-Level CF'!J10/$O33)*(1-'Portfolio-Level CF'!$AC$52)</f>
        <v>118799901.66</v>
      </c>
      <c r="W33" s="277">
        <f>('Portfolio-Level CF'!K10/$O33)*(1-'Portfolio-Level CF'!$AC$52)</f>
        <v>121415027.82000001</v>
      </c>
      <c r="X33" s="277">
        <f>('Portfolio-Level CF'!L10/$O33)*(1-'Portfolio-Level CF'!$AC$52)</f>
        <v>122796222.57000001</v>
      </c>
      <c r="Y33" s="273">
        <f>('Portfolio-Level CF'!M10/$O33)*(1-'Portfolio-Level CF'!$AC$52)</f>
        <v>125244182.34</v>
      </c>
      <c r="AA33" s="428" t="str">
        <f>AB32&amp;AB33</f>
        <v>2 Riverview EGR</v>
      </c>
      <c r="AB33" s="259" t="s">
        <v>129</v>
      </c>
      <c r="AC33" s="132">
        <f>'Property-Level CF'!CA9</f>
        <v>1885346</v>
      </c>
      <c r="AD33" s="132">
        <f>'Property-Level CF'!CB9</f>
        <v>1921877</v>
      </c>
      <c r="AE33" s="132">
        <f>'Property-Level CF'!CC9</f>
        <v>1959053</v>
      </c>
      <c r="AF33" s="132">
        <f>'Property-Level CF'!CD9</f>
        <v>1997206</v>
      </c>
      <c r="AG33" s="132">
        <f>'Property-Level CF'!CE9</f>
        <v>2036006</v>
      </c>
      <c r="AH33" s="132">
        <f>'Property-Level CF'!CF9</f>
        <v>2075650</v>
      </c>
      <c r="AI33" s="132">
        <f>'Property-Level CF'!CG9</f>
        <v>2115923</v>
      </c>
      <c r="AJ33" s="132">
        <f>'Property-Level CF'!CH9</f>
        <v>2156964</v>
      </c>
      <c r="AK33" s="132">
        <f>'Property-Level CF'!CI9</f>
        <v>2199540</v>
      </c>
      <c r="AL33" s="133">
        <f>'Property-Level CF'!CJ9</f>
        <v>2244371</v>
      </c>
    </row>
    <row r="34" spans="2:38" x14ac:dyDescent="0.3">
      <c r="B34" s="154" t="s">
        <v>158</v>
      </c>
      <c r="C34" s="193"/>
      <c r="D34" s="191">
        <f t="shared" ref="D34:M34" si="25">D33+$C$39</f>
        <v>-3994391.8449050039</v>
      </c>
      <c r="E34" s="191">
        <f t="shared" si="25"/>
        <v>-2734323.1496235728</v>
      </c>
      <c r="F34" s="191">
        <f t="shared" si="25"/>
        <v>3114245.313187331</v>
      </c>
      <c r="G34" s="191">
        <f t="shared" si="25"/>
        <v>4739684.3625752032</v>
      </c>
      <c r="H34" s="191">
        <f t="shared" si="25"/>
        <v>7109593.0651209205</v>
      </c>
      <c r="I34" s="191">
        <f t="shared" si="25"/>
        <v>7863648.5223188102</v>
      </c>
      <c r="J34" s="191">
        <f t="shared" si="25"/>
        <v>10598709.937728286</v>
      </c>
      <c r="K34" s="191">
        <f t="shared" si="25"/>
        <v>13066505.182951137</v>
      </c>
      <c r="L34" s="191">
        <f t="shared" si="25"/>
        <v>14451338.184251741</v>
      </c>
      <c r="M34" s="192">
        <f t="shared" si="25"/>
        <v>16760905.169958815</v>
      </c>
      <c r="O34" s="289">
        <f>Summary!L10</f>
        <v>5.1247526448362724E-2</v>
      </c>
      <c r="P34" s="277">
        <f>('Portfolio-Level CF'!D10/$O34)*(1-'Portfolio-Level CF'!$AC$52)</f>
        <v>95428875</v>
      </c>
      <c r="Q34" s="277">
        <f>('Portfolio-Level CF'!E10/$O34)*(1-'Portfolio-Level CF'!$AC$52)</f>
        <v>102436043.60670009</v>
      </c>
      <c r="R34" s="277">
        <f>('Portfolio-Level CF'!F10/$O34)*(1-'Portfolio-Level CF'!$AC$52)</f>
        <v>108435023.76840158</v>
      </c>
      <c r="S34" s="277">
        <f>('Portfolio-Level CF'!G10/$O34)*(1-'Portfolio-Level CF'!$AC$52)</f>
        <v>110042804.41090773</v>
      </c>
      <c r="T34" s="277">
        <f>('Portfolio-Level CF'!H10/$O34)*(1-'Portfolio-Level CF'!$AC$52)</f>
        <v>112497496.36812353</v>
      </c>
      <c r="U34" s="277">
        <f>('Portfolio-Level CF'!I10/$O34)*(1-'Portfolio-Level CF'!$AC$52)</f>
        <v>113122923.67596239</v>
      </c>
      <c r="V34" s="277">
        <f>('Portfolio-Level CF'!J10/$O34)*(1-'Portfolio-Level CF'!$AC$52)</f>
        <v>115907937.31254855</v>
      </c>
      <c r="W34" s="277">
        <f>('Portfolio-Level CF'!K10/$O34)*(1-'Portfolio-Level CF'!$AC$52)</f>
        <v>118459403.05269019</v>
      </c>
      <c r="X34" s="277">
        <f>('Portfolio-Level CF'!L10/$O34)*(1-'Portfolio-Level CF'!$AC$52)</f>
        <v>119806975.16565031</v>
      </c>
      <c r="Y34" s="273">
        <f>('Portfolio-Level CF'!M10/$O34)*(1-'Portfolio-Level CF'!$AC$52)</f>
        <v>122195343.87303229</v>
      </c>
      <c r="AA34" s="428" t="str">
        <f>AB32&amp;AB34</f>
        <v>2 Riverview NOI</v>
      </c>
      <c r="AB34" s="259" t="s">
        <v>130</v>
      </c>
      <c r="AC34" s="132">
        <f>'Property-Level CF'!CA10</f>
        <v>1354228</v>
      </c>
      <c r="AD34" s="132">
        <f>'Property-Level CF'!CB10</f>
        <v>1377820</v>
      </c>
      <c r="AE34" s="132">
        <f>'Property-Level CF'!CC10</f>
        <v>1401741</v>
      </c>
      <c r="AF34" s="132">
        <f>'Property-Level CF'!CD10</f>
        <v>1426308</v>
      </c>
      <c r="AG34" s="132">
        <f>'Property-Level CF'!CE10</f>
        <v>1451191</v>
      </c>
      <c r="AH34" s="132">
        <f>'Property-Level CF'!CF10</f>
        <v>1476575</v>
      </c>
      <c r="AI34" s="132">
        <f>'Property-Level CF'!CG10</f>
        <v>1502242</v>
      </c>
      <c r="AJ34" s="132">
        <f>'Property-Level CF'!CH10</f>
        <v>1528321</v>
      </c>
      <c r="AK34" s="132">
        <f>'Property-Level CF'!CI10</f>
        <v>1555544</v>
      </c>
      <c r="AL34" s="133">
        <f>'Property-Level CF'!CJ10</f>
        <v>1584598</v>
      </c>
    </row>
    <row r="35" spans="2:38" x14ac:dyDescent="0.3">
      <c r="B35" s="145"/>
      <c r="C35" s="193"/>
      <c r="D35" s="191"/>
      <c r="E35" s="191"/>
      <c r="F35" s="191"/>
      <c r="G35" s="191"/>
      <c r="H35" s="191"/>
      <c r="I35" s="191"/>
      <c r="J35" s="191"/>
      <c r="K35" s="191"/>
      <c r="L35" s="191"/>
      <c r="M35" s="192"/>
      <c r="O35" s="289">
        <v>5.5E-2</v>
      </c>
      <c r="P35" s="277">
        <f>('Portfolio-Level CF'!D10/$O35)*(1-'Portfolio-Level CF'!$AC$52)</f>
        <v>88918069.009090915</v>
      </c>
      <c r="Q35" s="277">
        <f>('Portfolio-Level CF'!E10/$O35)*(1-'Portfolio-Level CF'!$AC$52)</f>
        <v>95447160.981818184</v>
      </c>
      <c r="R35" s="277">
        <f>('Portfolio-Level CF'!F10/$O35)*(1-'Portfolio-Level CF'!$AC$52)</f>
        <v>101036849.97272727</v>
      </c>
      <c r="S35" s="277">
        <f>('Portfolio-Level CF'!G10/$O35)*(1-'Portfolio-Level CF'!$AC$52)</f>
        <v>102534936.90000001</v>
      </c>
      <c r="T35" s="277">
        <f>('Portfolio-Level CF'!H10/$O35)*(1-'Portfolio-Level CF'!$AC$52)</f>
        <v>104822153.10000001</v>
      </c>
      <c r="U35" s="277">
        <f>('Portfolio-Level CF'!I10/$O35)*(1-'Portfolio-Level CF'!$AC$52)</f>
        <v>105404909.50909092</v>
      </c>
      <c r="V35" s="277">
        <f>('Portfolio-Level CF'!J10/$O35)*(1-'Portfolio-Level CF'!$AC$52)</f>
        <v>107999910.60000001</v>
      </c>
      <c r="W35" s="277">
        <f>('Portfolio-Level CF'!K10/$O35)*(1-'Portfolio-Level CF'!$AC$52)</f>
        <v>110377298.01818182</v>
      </c>
      <c r="X35" s="277">
        <f>('Portfolio-Level CF'!L10/$O35)*(1-'Portfolio-Level CF'!$AC$52)</f>
        <v>111632929.60909091</v>
      </c>
      <c r="Y35" s="273">
        <f>('Portfolio-Level CF'!M10/$O35)*(1-'Portfolio-Level CF'!$AC$52)</f>
        <v>113858347.58181819</v>
      </c>
      <c r="AA35" s="428" t="str">
        <f>AB32&amp;AB35</f>
        <v>2 Riverview NCF before DS</v>
      </c>
      <c r="AB35" s="259" t="s">
        <v>132</v>
      </c>
      <c r="AC35" s="132">
        <f>'Property-Level CF'!CA14</f>
        <v>1332627.5</v>
      </c>
      <c r="AD35" s="132">
        <f>'Property-Level CF'!CB14</f>
        <v>1356219.5</v>
      </c>
      <c r="AE35" s="132">
        <f>'Property-Level CF'!CC14</f>
        <v>1380140.5</v>
      </c>
      <c r="AF35" s="132">
        <f>'Property-Level CF'!CD14</f>
        <v>1404707.5</v>
      </c>
      <c r="AG35" s="132">
        <f>'Property-Level CF'!CE14</f>
        <v>1429590.5</v>
      </c>
      <c r="AH35" s="132">
        <f>'Property-Level CF'!CF14</f>
        <v>1454974.5</v>
      </c>
      <c r="AI35" s="132">
        <f>'Property-Level CF'!CG14</f>
        <v>1480641.5</v>
      </c>
      <c r="AJ35" s="132">
        <f>'Property-Level CF'!CH14</f>
        <v>1506720.5</v>
      </c>
      <c r="AK35" s="132">
        <f>'Property-Level CF'!CI14</f>
        <v>1533943.5</v>
      </c>
      <c r="AL35" s="133">
        <f>'Property-Level CF'!CJ14</f>
        <v>1562997.5</v>
      </c>
    </row>
    <row r="36" spans="2:38" x14ac:dyDescent="0.3">
      <c r="B36" s="125" t="s">
        <v>159</v>
      </c>
      <c r="C36" s="193"/>
      <c r="D36" s="191">
        <f t="shared" ref="D36:L36" si="26">D16-D30</f>
        <v>2213642.8993959068</v>
      </c>
      <c r="E36" s="191">
        <f t="shared" si="26"/>
        <v>2541590.8993959068</v>
      </c>
      <c r="F36" s="191">
        <f t="shared" si="26"/>
        <v>2853221.8993959068</v>
      </c>
      <c r="G36" s="191">
        <f t="shared" si="26"/>
        <v>2686619.8993959068</v>
      </c>
      <c r="H36" s="191">
        <f t="shared" si="26"/>
        <v>3124412.8993959068</v>
      </c>
      <c r="I36" s="191">
        <f t="shared" si="26"/>
        <v>3157747.8993959068</v>
      </c>
      <c r="J36" s="191">
        <f t="shared" si="26"/>
        <v>2858394.8993959068</v>
      </c>
      <c r="K36" s="191">
        <f t="shared" si="26"/>
        <v>3442179.8993959068</v>
      </c>
      <c r="L36" s="191">
        <f t="shared" si="26"/>
        <v>3035150.8993959068</v>
      </c>
      <c r="M36" s="192">
        <f>M14-M30</f>
        <v>3195014.8993959068</v>
      </c>
      <c r="O36" s="289">
        <v>5.7500000000000002E-2</v>
      </c>
      <c r="P36" s="277">
        <f>('Portfolio-Level CF'!D10/$O36)*(1-'Portfolio-Level CF'!$AC$52)</f>
        <v>85052066.008695647</v>
      </c>
      <c r="Q36" s="277">
        <f>('Portfolio-Level CF'!E10/$O36)*(1-'Portfolio-Level CF'!$AC$52)</f>
        <v>91297284.4173913</v>
      </c>
      <c r="R36" s="277">
        <f>('Portfolio-Level CF'!F10/$O36)*(1-'Portfolio-Level CF'!$AC$52)</f>
        <v>96643943.452173918</v>
      </c>
      <c r="S36" s="277">
        <f>('Portfolio-Level CF'!G10/$O36)*(1-'Portfolio-Level CF'!$AC$52)</f>
        <v>98076896.165217385</v>
      </c>
      <c r="T36" s="277">
        <f>('Portfolio-Level CF'!H10/$O36)*(1-'Portfolio-Level CF'!$AC$52)</f>
        <v>100264668.18260869</v>
      </c>
      <c r="U36" s="277">
        <f>('Portfolio-Level CF'!I10/$O36)*(1-'Portfolio-Level CF'!$AC$52)</f>
        <v>100822087.35652174</v>
      </c>
      <c r="V36" s="277">
        <f>('Portfolio-Level CF'!J10/$O36)*(1-'Portfolio-Level CF'!$AC$52)</f>
        <v>103304262.31304348</v>
      </c>
      <c r="W36" s="277">
        <f>('Portfolio-Level CF'!K10/$O36)*(1-'Portfolio-Level CF'!$AC$52)</f>
        <v>105578285.06086956</v>
      </c>
      <c r="X36" s="277">
        <f>('Portfolio-Level CF'!L10/$O36)*(1-'Portfolio-Level CF'!$AC$52)</f>
        <v>106779323.97391304</v>
      </c>
      <c r="Y36" s="273">
        <f>('Portfolio-Level CF'!M10/$O36)*(1-'Portfolio-Level CF'!$AC$52)</f>
        <v>108907984.64347826</v>
      </c>
      <c r="AA36" s="428"/>
      <c r="AB36" s="259" t="s">
        <v>142</v>
      </c>
      <c r="AC36" s="132">
        <f>'Property-Level CF'!CA30</f>
        <v>717495.77811855369</v>
      </c>
      <c r="AD36" s="132">
        <f t="shared" ref="AD36:AL36" si="27">AC36</f>
        <v>717495.77811855369</v>
      </c>
      <c r="AE36" s="132">
        <f t="shared" si="27"/>
        <v>717495.77811855369</v>
      </c>
      <c r="AF36" s="132">
        <f t="shared" si="27"/>
        <v>717495.77811855369</v>
      </c>
      <c r="AG36" s="132">
        <f t="shared" si="27"/>
        <v>717495.77811855369</v>
      </c>
      <c r="AH36" s="132">
        <f t="shared" si="27"/>
        <v>717495.77811855369</v>
      </c>
      <c r="AI36" s="132">
        <f t="shared" si="27"/>
        <v>717495.77811855369</v>
      </c>
      <c r="AJ36" s="132">
        <f t="shared" si="27"/>
        <v>717495.77811855369</v>
      </c>
      <c r="AK36" s="132">
        <f t="shared" si="27"/>
        <v>717495.77811855369</v>
      </c>
      <c r="AL36" s="133">
        <f t="shared" si="27"/>
        <v>717495.77811855369</v>
      </c>
    </row>
    <row r="37" spans="2:38" ht="13.5" thickBot="1" x14ac:dyDescent="0.35">
      <c r="B37" s="207" t="s">
        <v>160</v>
      </c>
      <c r="C37" s="193"/>
      <c r="D37" s="143"/>
      <c r="E37" s="191"/>
      <c r="F37" s="191"/>
      <c r="G37" s="191"/>
      <c r="H37" s="191"/>
      <c r="I37" s="191"/>
      <c r="J37" s="191"/>
      <c r="K37" s="191"/>
      <c r="L37" s="191"/>
      <c r="M37" s="195">
        <f>M15-M29</f>
        <v>53073558.305458814</v>
      </c>
      <c r="O37" s="290">
        <v>0.06</v>
      </c>
      <c r="P37" s="278">
        <f>('Portfolio-Level CF'!D10/$O37)*(1-'Portfolio-Level CF'!$AC$52)</f>
        <v>81508229.924999997</v>
      </c>
      <c r="Q37" s="278">
        <f>('Portfolio-Level CF'!E10/$O37)*(1-'Portfolio-Level CF'!$AC$52)</f>
        <v>87493230.900000006</v>
      </c>
      <c r="R37" s="278">
        <f>('Portfolio-Level CF'!F10/$O37)*(1-'Portfolio-Level CF'!$AC$52)</f>
        <v>92617112.475000009</v>
      </c>
      <c r="S37" s="278">
        <f>('Portfolio-Level CF'!G10/$O37)*(1-'Portfolio-Level CF'!$AC$52)</f>
        <v>93990358.825000018</v>
      </c>
      <c r="T37" s="278">
        <f>('Portfolio-Level CF'!H10/$O37)*(1-'Portfolio-Level CF'!$AC$52)</f>
        <v>96086973.674999997</v>
      </c>
      <c r="U37" s="278">
        <f>('Portfolio-Level CF'!I10/$O37)*(1-'Portfolio-Level CF'!$AC$52)</f>
        <v>96621167.050000012</v>
      </c>
      <c r="V37" s="278">
        <f>('Portfolio-Level CF'!J10/$O37)*(1-'Portfolio-Level CF'!$AC$52)</f>
        <v>98999918.050000012</v>
      </c>
      <c r="W37" s="278">
        <f>('Portfolio-Level CF'!K10/$O37)*(1-'Portfolio-Level CF'!$AC$52)</f>
        <v>101179189.85000001</v>
      </c>
      <c r="X37" s="278">
        <f>('Portfolio-Level CF'!L10/$O37)*(1-'Portfolio-Level CF'!$AC$52)</f>
        <v>102330185.47500001</v>
      </c>
      <c r="Y37" s="279">
        <f>('Portfolio-Level CF'!M10/$O37)*(1-'Portfolio-Level CF'!$AC$52)</f>
        <v>104370151.95</v>
      </c>
      <c r="AA37" s="428"/>
      <c r="AB37" s="259" t="s">
        <v>136</v>
      </c>
      <c r="AC37" s="132">
        <f t="shared" ref="AC37:AL37" si="28">AC35-AC36</f>
        <v>615131.72188144631</v>
      </c>
      <c r="AD37" s="132">
        <f t="shared" si="28"/>
        <v>638723.72188144631</v>
      </c>
      <c r="AE37" s="132">
        <f t="shared" si="28"/>
        <v>662644.72188144631</v>
      </c>
      <c r="AF37" s="132">
        <f t="shared" si="28"/>
        <v>687211.72188144631</v>
      </c>
      <c r="AG37" s="132">
        <f t="shared" si="28"/>
        <v>712094.72188144631</v>
      </c>
      <c r="AH37" s="132">
        <f t="shared" si="28"/>
        <v>737478.72188144631</v>
      </c>
      <c r="AI37" s="132">
        <f t="shared" si="28"/>
        <v>763145.72188144631</v>
      </c>
      <c r="AJ37" s="132">
        <f t="shared" si="28"/>
        <v>789224.72188144631</v>
      </c>
      <c r="AK37" s="132">
        <f t="shared" si="28"/>
        <v>816447.72188144631</v>
      </c>
      <c r="AL37" s="133">
        <f t="shared" si="28"/>
        <v>845501.72188144631</v>
      </c>
    </row>
    <row r="38" spans="2:38" ht="13.5" thickBot="1" x14ac:dyDescent="0.35">
      <c r="B38" s="207" t="s">
        <v>162</v>
      </c>
      <c r="C38" s="193"/>
      <c r="D38" s="191">
        <f>C39*Summary!C10</f>
        <v>-90781.632838749996</v>
      </c>
      <c r="E38" s="191">
        <f>D38</f>
        <v>-90781.632838749996</v>
      </c>
      <c r="F38" s="191">
        <f t="shared" ref="F38:M38" si="29">E38</f>
        <v>-90781.632838749996</v>
      </c>
      <c r="G38" s="191">
        <f t="shared" si="29"/>
        <v>-90781.632838749996</v>
      </c>
      <c r="H38" s="191">
        <f t="shared" si="29"/>
        <v>-90781.632838749996</v>
      </c>
      <c r="I38" s="191">
        <f t="shared" si="29"/>
        <v>-90781.632838749996</v>
      </c>
      <c r="J38" s="191">
        <f t="shared" si="29"/>
        <v>-90781.632838749996</v>
      </c>
      <c r="K38" s="191">
        <f t="shared" si="29"/>
        <v>-90781.632838749996</v>
      </c>
      <c r="L38" s="191">
        <f t="shared" si="29"/>
        <v>-90781.632838749996</v>
      </c>
      <c r="M38" s="192">
        <f t="shared" si="29"/>
        <v>-90781.632838749996</v>
      </c>
      <c r="AA38" s="145">
        <v>5</v>
      </c>
      <c r="AB38" s="427" t="s">
        <v>161</v>
      </c>
      <c r="AC38" s="113"/>
      <c r="AD38" s="113"/>
      <c r="AE38" s="113"/>
      <c r="AF38" s="113"/>
      <c r="AG38" s="113"/>
      <c r="AH38" s="113"/>
      <c r="AI38" s="113"/>
      <c r="AJ38" s="113"/>
      <c r="AK38" s="113"/>
      <c r="AL38" s="114"/>
    </row>
    <row r="39" spans="2:38" ht="15" customHeight="1" thickBot="1" x14ac:dyDescent="0.35">
      <c r="B39" s="206" t="s">
        <v>163</v>
      </c>
      <c r="C39" s="199">
        <f>(C16*(1-Summary!C15))</f>
        <v>-36312653.135499999</v>
      </c>
      <c r="D39" s="210">
        <f>D36+D37+D38</f>
        <v>2122861.266557157</v>
      </c>
      <c r="E39" s="210">
        <f t="shared" ref="E39:M39" si="30">E36+E37+E38</f>
        <v>2450809.266557157</v>
      </c>
      <c r="F39" s="210">
        <f t="shared" si="30"/>
        <v>2762440.266557157</v>
      </c>
      <c r="G39" s="210">
        <f t="shared" si="30"/>
        <v>2595838.266557157</v>
      </c>
      <c r="H39" s="210">
        <f t="shared" si="30"/>
        <v>3033631.266557157</v>
      </c>
      <c r="I39" s="210">
        <f t="shared" si="30"/>
        <v>3066966.266557157</v>
      </c>
      <c r="J39" s="210">
        <f t="shared" si="30"/>
        <v>2767613.266557157</v>
      </c>
      <c r="K39" s="210">
        <f t="shared" si="30"/>
        <v>3351398.266557157</v>
      </c>
      <c r="L39" s="210">
        <f t="shared" si="30"/>
        <v>2944369.266557157</v>
      </c>
      <c r="M39" s="211">
        <f t="shared" si="30"/>
        <v>56177791.572015971</v>
      </c>
      <c r="O39" s="512" t="s">
        <v>164</v>
      </c>
      <c r="P39" s="513"/>
      <c r="Q39" s="513"/>
      <c r="R39" s="513"/>
      <c r="S39" s="513"/>
      <c r="T39" s="513"/>
      <c r="U39" s="513"/>
      <c r="V39" s="513"/>
      <c r="W39" s="513"/>
      <c r="X39" s="513"/>
      <c r="Y39" s="514"/>
      <c r="AA39" s="428" t="str">
        <f>AB38&amp;AB39</f>
        <v>226 White StEGR</v>
      </c>
      <c r="AB39" s="259" t="s">
        <v>129</v>
      </c>
      <c r="AC39" s="132">
        <f>'Property-Level CF'!CZ9</f>
        <v>810031</v>
      </c>
      <c r="AD39" s="132">
        <f>'Property-Level CF'!DA9</f>
        <v>827265</v>
      </c>
      <c r="AE39" s="132">
        <f>'Property-Level CF'!DB9</f>
        <v>844869</v>
      </c>
      <c r="AF39" s="132">
        <f>'Property-Level CF'!DC9</f>
        <v>862852</v>
      </c>
      <c r="AG39" s="132">
        <f>'Property-Level CF'!DD9</f>
        <v>881222</v>
      </c>
      <c r="AH39" s="132">
        <f>'Property-Level CF'!DE9</f>
        <v>899987</v>
      </c>
      <c r="AI39" s="132">
        <f>'Property-Level CF'!DF9</f>
        <v>919155</v>
      </c>
      <c r="AJ39" s="132">
        <f>'Property-Level CF'!DG9</f>
        <v>938737</v>
      </c>
      <c r="AK39" s="132">
        <f>'Property-Level CF'!DH9</f>
        <v>958740</v>
      </c>
      <c r="AL39" s="133">
        <f>'Property-Level CF'!DI9</f>
        <v>979173</v>
      </c>
    </row>
    <row r="40" spans="2:38" ht="13.5" thickBot="1" x14ac:dyDescent="0.35">
      <c r="B40" s="145"/>
      <c r="C40" s="193"/>
      <c r="D40" s="191"/>
      <c r="E40" s="191"/>
      <c r="F40" s="191"/>
      <c r="G40" s="191"/>
      <c r="H40" s="191"/>
      <c r="I40" s="191"/>
      <c r="J40" s="191"/>
      <c r="K40" s="191"/>
      <c r="L40" s="191"/>
      <c r="M40" s="192"/>
      <c r="O40" s="3" t="s">
        <v>11</v>
      </c>
      <c r="P40" s="287" t="str">
        <f>P32</f>
        <v>Year 1</v>
      </c>
      <c r="Q40" s="287" t="str">
        <f t="shared" ref="Q40:Y40" si="31">Q32</f>
        <v>Year 2</v>
      </c>
      <c r="R40" s="287" t="str">
        <f t="shared" si="31"/>
        <v>Year 3</v>
      </c>
      <c r="S40" s="287" t="str">
        <f t="shared" si="31"/>
        <v>Year 4</v>
      </c>
      <c r="T40" s="287" t="str">
        <f t="shared" si="31"/>
        <v>Year 5</v>
      </c>
      <c r="U40" s="287" t="str">
        <f t="shared" si="31"/>
        <v>Year 6</v>
      </c>
      <c r="V40" s="287" t="str">
        <f t="shared" si="31"/>
        <v>Year 7</v>
      </c>
      <c r="W40" s="287" t="str">
        <f t="shared" si="31"/>
        <v>Year 8</v>
      </c>
      <c r="X40" s="287" t="str">
        <f t="shared" si="31"/>
        <v>Year 9</v>
      </c>
      <c r="Y40" s="288" t="str">
        <f t="shared" si="31"/>
        <v>Year 10</v>
      </c>
      <c r="AA40" s="428" t="str">
        <f>AB38&amp;AB40</f>
        <v>226 White StNOI</v>
      </c>
      <c r="AB40" s="259" t="s">
        <v>130</v>
      </c>
      <c r="AC40" s="132">
        <f>'Property-Level CF'!CZ10</f>
        <v>584129</v>
      </c>
      <c r="AD40" s="132">
        <f>'Property-Level CF'!DA10</f>
        <v>595812</v>
      </c>
      <c r="AE40" s="132">
        <f>'Property-Level CF'!DB10</f>
        <v>607728</v>
      </c>
      <c r="AF40" s="132">
        <f>'Property-Level CF'!DC10</f>
        <v>619882</v>
      </c>
      <c r="AG40" s="132">
        <f>'Property-Level CF'!DD10</f>
        <v>632280</v>
      </c>
      <c r="AH40" s="132">
        <f>'Property-Level CF'!DE10</f>
        <v>644926</v>
      </c>
      <c r="AI40" s="132">
        <f>'Property-Level CF'!DF10</f>
        <v>657824</v>
      </c>
      <c r="AJ40" s="132">
        <f>'Property-Level CF'!DG10</f>
        <v>670981</v>
      </c>
      <c r="AK40" s="132">
        <f>'Property-Level CF'!DH10</f>
        <v>684400</v>
      </c>
      <c r="AL40" s="133">
        <f>'Property-Level CF'!DI10</f>
        <v>698088</v>
      </c>
    </row>
    <row r="41" spans="2:38" x14ac:dyDescent="0.3">
      <c r="B41" s="125" t="s">
        <v>165</v>
      </c>
      <c r="C41" s="193"/>
      <c r="D41" s="143">
        <f t="shared" ref="D41:M41" si="32">(D14-D30+D38)/-$C$39</f>
        <v>5.846064892685586E-2</v>
      </c>
      <c r="E41" s="143">
        <f t="shared" si="32"/>
        <v>6.7491881064487558E-2</v>
      </c>
      <c r="F41" s="143">
        <f t="shared" si="32"/>
        <v>7.6073765699497684E-2</v>
      </c>
      <c r="G41" s="143">
        <f t="shared" si="32"/>
        <v>7.1485778163078148E-2</v>
      </c>
      <c r="H41" s="143">
        <f t="shared" si="32"/>
        <v>8.3541988938049164E-2</v>
      </c>
      <c r="I41" s="143">
        <f t="shared" si="32"/>
        <v>8.4459988509041975E-2</v>
      </c>
      <c r="J41" s="143">
        <f t="shared" si="32"/>
        <v>7.621622293005853E-2</v>
      </c>
      <c r="K41" s="143">
        <f t="shared" si="32"/>
        <v>9.2292850485242037E-2</v>
      </c>
      <c r="L41" s="143">
        <f t="shared" si="32"/>
        <v>8.1083837514441509E-2</v>
      </c>
      <c r="M41" s="144">
        <f t="shared" si="32"/>
        <v>8.5486269895338349E-2</v>
      </c>
      <c r="O41" s="291">
        <f>O33</f>
        <v>0.05</v>
      </c>
      <c r="P41" s="328">
        <f>((P33-Summary!$C$17)+D39)</f>
        <v>32494952.782057151</v>
      </c>
      <c r="Q41" s="328">
        <f>((Q33-Summary!$C$17)+E39)</f>
        <v>40004901.952057153</v>
      </c>
      <c r="R41" s="328">
        <f>((R33-Summary!$C$17)+F39)</f>
        <v>46465190.842057154</v>
      </c>
      <c r="S41" s="328">
        <f>((S33-Summary!$C$17)+G39)</f>
        <v>47946484.462057158</v>
      </c>
      <c r="T41" s="328">
        <f>((T33-Summary!$C$17)+H39)</f>
        <v>50900215.282057151</v>
      </c>
      <c r="U41" s="328">
        <f>((U33-Summary!$C$17)+I39)</f>
        <v>51574582.332057163</v>
      </c>
      <c r="V41" s="328">
        <f>((V33-Summary!$C$17)+J39)</f>
        <v>54129730.532057151</v>
      </c>
      <c r="W41" s="328">
        <f>((W33-Summary!$C$17)+K39)</f>
        <v>57328641.692057163</v>
      </c>
      <c r="X41" s="328">
        <f>((X33-Summary!$C$17)+L39)</f>
        <v>58302807.442057163</v>
      </c>
      <c r="Y41" s="329">
        <f>((Y33-Summary!$C$17))+$M$39-$M$37</f>
        <v>60910631.212057158</v>
      </c>
      <c r="AA41" s="428" t="str">
        <f>AB38&amp;AB41</f>
        <v>226 White StNCF before DS</v>
      </c>
      <c r="AB41" s="259" t="s">
        <v>132</v>
      </c>
      <c r="AC41" s="132">
        <f>'Property-Level CF'!CZ14</f>
        <v>571054</v>
      </c>
      <c r="AD41" s="132">
        <f>'Property-Level CF'!DA14</f>
        <v>582737</v>
      </c>
      <c r="AE41" s="132">
        <f>'Property-Level CF'!DB14</f>
        <v>594653</v>
      </c>
      <c r="AF41" s="132">
        <f>'Property-Level CF'!DC14</f>
        <v>606807</v>
      </c>
      <c r="AG41" s="132">
        <f>'Property-Level CF'!DD14</f>
        <v>619205</v>
      </c>
      <c r="AH41" s="132">
        <f>'Property-Level CF'!DE14</f>
        <v>631851</v>
      </c>
      <c r="AI41" s="132">
        <f>'Property-Level CF'!DF14</f>
        <v>644749</v>
      </c>
      <c r="AJ41" s="132">
        <f>'Property-Level CF'!DG14</f>
        <v>657906</v>
      </c>
      <c r="AK41" s="132">
        <f>'Property-Level CF'!DH14</f>
        <v>671325</v>
      </c>
      <c r="AL41" s="133">
        <f>'Property-Level CF'!DI14</f>
        <v>685013</v>
      </c>
    </row>
    <row r="42" spans="2:38" x14ac:dyDescent="0.3">
      <c r="B42" s="125" t="s">
        <v>63</v>
      </c>
      <c r="C42" s="193"/>
      <c r="D42" s="143">
        <f>AVERAGE($D$41:D41)</f>
        <v>5.846064892685586E-2</v>
      </c>
      <c r="E42" s="143">
        <f>AVERAGE($D$41:E41)</f>
        <v>6.2976264995671716E-2</v>
      </c>
      <c r="F42" s="143">
        <f>AVERAGE($D$41:F41)</f>
        <v>6.7342098563613714E-2</v>
      </c>
      <c r="G42" s="143">
        <f>AVERAGE($D$41:G41)</f>
        <v>6.8378018463479823E-2</v>
      </c>
      <c r="H42" s="143">
        <f>AVERAGE($D$41:H41)</f>
        <v>7.1410812558393683E-2</v>
      </c>
      <c r="I42" s="143">
        <f>AVERAGE($D$41:I41)</f>
        <v>7.3585675216835067E-2</v>
      </c>
      <c r="J42" s="143">
        <f>AVERAGE($D$41:J41)</f>
        <v>7.3961467747295576E-2</v>
      </c>
      <c r="K42" s="143">
        <f>AVERAGE($D$41:K41)</f>
        <v>7.625289058953888E-2</v>
      </c>
      <c r="L42" s="143">
        <f>AVERAGE($D$41:L41)</f>
        <v>7.6789662470083619E-2</v>
      </c>
      <c r="M42" s="144">
        <f>AVERAGE($D$41:M41)</f>
        <v>7.7659323212609085E-2</v>
      </c>
      <c r="O42" s="289">
        <f>O34</f>
        <v>5.1247526448362724E-2</v>
      </c>
      <c r="P42" s="277">
        <f>((P34-Summary!$C$17)+D39)</f>
        <v>30113951.872057155</v>
      </c>
      <c r="Q42" s="277">
        <f>((Q34-Summary!$C$17)+E39)</f>
        <v>37449068.478757247</v>
      </c>
      <c r="R42" s="277">
        <f>((R34-Summary!$C$17)+F39)</f>
        <v>43759679.640458733</v>
      </c>
      <c r="S42" s="277">
        <f>((S34-Summary!$C$17)+G39)</f>
        <v>45200858.282964885</v>
      </c>
      <c r="T42" s="277">
        <f>((T34-Summary!$C$17)+H39)</f>
        <v>48093343.240180686</v>
      </c>
      <c r="U42" s="277">
        <f>((U34-Summary!$C$17)+I39)</f>
        <v>48752105.548019543</v>
      </c>
      <c r="V42" s="277">
        <f>((V34-Summary!$C$17)+J39)</f>
        <v>51237766.184605703</v>
      </c>
      <c r="W42" s="277">
        <f>((W34-Summary!$C$17)+K39)</f>
        <v>54373016.924747348</v>
      </c>
      <c r="X42" s="277">
        <f>((X34-Summary!$C$17)+L39)</f>
        <v>55313560.037707463</v>
      </c>
      <c r="Y42" s="273">
        <f>((Y34-Summary!$C$17))+$M$39-$M$37</f>
        <v>57861792.745089442</v>
      </c>
      <c r="AA42" s="428"/>
      <c r="AB42" s="259" t="s">
        <v>142</v>
      </c>
      <c r="AC42" s="132">
        <f>'Property-Level CF'!CZ30</f>
        <v>303697.98041985225</v>
      </c>
      <c r="AD42" s="132">
        <f t="shared" ref="AD42:AL42" si="33">AC42</f>
        <v>303697.98041985225</v>
      </c>
      <c r="AE42" s="132">
        <f t="shared" si="33"/>
        <v>303697.98041985225</v>
      </c>
      <c r="AF42" s="132">
        <f t="shared" si="33"/>
        <v>303697.98041985225</v>
      </c>
      <c r="AG42" s="132">
        <f t="shared" si="33"/>
        <v>303697.98041985225</v>
      </c>
      <c r="AH42" s="132">
        <f t="shared" si="33"/>
        <v>303697.98041985225</v>
      </c>
      <c r="AI42" s="132">
        <f t="shared" si="33"/>
        <v>303697.98041985225</v>
      </c>
      <c r="AJ42" s="132">
        <f t="shared" si="33"/>
        <v>303697.98041985225</v>
      </c>
      <c r="AK42" s="132">
        <f t="shared" si="33"/>
        <v>303697.98041985225</v>
      </c>
      <c r="AL42" s="133">
        <f t="shared" si="33"/>
        <v>303697.98041985225</v>
      </c>
    </row>
    <row r="43" spans="2:38" x14ac:dyDescent="0.3">
      <c r="B43" s="145"/>
      <c r="C43" s="193"/>
      <c r="D43" s="281"/>
      <c r="E43" s="191"/>
      <c r="F43" s="191"/>
      <c r="G43" s="191"/>
      <c r="H43" s="191"/>
      <c r="I43" s="191"/>
      <c r="J43" s="191"/>
      <c r="K43" s="191"/>
      <c r="L43" s="191"/>
      <c r="M43" s="192"/>
      <c r="O43" s="289">
        <f>O35</f>
        <v>5.5E-2</v>
      </c>
      <c r="P43" s="277">
        <f>((P35-Summary!$C$17)+D39)</f>
        <v>23603145.88114807</v>
      </c>
      <c r="Q43" s="277">
        <f>((Q35-Summary!$C$17)+E39)</f>
        <v>30460185.853875339</v>
      </c>
      <c r="R43" s="277">
        <f>((R35-Summary!$C$17)+F39)</f>
        <v>36361505.844784424</v>
      </c>
      <c r="S43" s="277">
        <f>((S35-Summary!$C$17)+G39)</f>
        <v>37692990.772057161</v>
      </c>
      <c r="T43" s="277">
        <f>((T35-Summary!$C$17)+H39)</f>
        <v>40417999.972057164</v>
      </c>
      <c r="U43" s="277">
        <f>((U35-Summary!$C$17)+I39)</f>
        <v>41034091.38114807</v>
      </c>
      <c r="V43" s="277">
        <f>((V35-Summary!$C$17)+J39)</f>
        <v>43329739.472057164</v>
      </c>
      <c r="W43" s="277">
        <f>((W35-Summary!$C$17)+K39)</f>
        <v>46290911.890238971</v>
      </c>
      <c r="X43" s="277">
        <f>((X35-Summary!$C$17)+L39)</f>
        <v>47139514.481148064</v>
      </c>
      <c r="Y43" s="273">
        <f>((Y35-Summary!$C$17))+$M$39-$M$37</f>
        <v>49524796.453875348</v>
      </c>
      <c r="AA43" s="428"/>
      <c r="AB43" s="259" t="s">
        <v>136</v>
      </c>
      <c r="AC43" s="132">
        <f t="shared" ref="AC43:AL43" si="34">AC41-AC42</f>
        <v>267356.01958014775</v>
      </c>
      <c r="AD43" s="132">
        <f t="shared" si="34"/>
        <v>279039.01958014775</v>
      </c>
      <c r="AE43" s="132">
        <f t="shared" si="34"/>
        <v>290955.01958014775</v>
      </c>
      <c r="AF43" s="132">
        <f t="shared" si="34"/>
        <v>303109.01958014775</v>
      </c>
      <c r="AG43" s="132">
        <f t="shared" si="34"/>
        <v>315507.01958014775</v>
      </c>
      <c r="AH43" s="132">
        <f t="shared" si="34"/>
        <v>328153.01958014775</v>
      </c>
      <c r="AI43" s="132">
        <f t="shared" si="34"/>
        <v>341051.01958014775</v>
      </c>
      <c r="AJ43" s="132">
        <f t="shared" si="34"/>
        <v>354208.01958014775</v>
      </c>
      <c r="AK43" s="132">
        <f t="shared" si="34"/>
        <v>367627.01958014775</v>
      </c>
      <c r="AL43" s="133">
        <f t="shared" si="34"/>
        <v>381315.01958014775</v>
      </c>
    </row>
    <row r="44" spans="2:38" x14ac:dyDescent="0.3">
      <c r="B44" s="125" t="s">
        <v>61</v>
      </c>
      <c r="C44" s="193"/>
      <c r="D44" s="143">
        <f t="shared" ref="D44:M44" si="35">P17</f>
        <v>-5.1539351073144224E-2</v>
      </c>
      <c r="E44" s="143">
        <f t="shared" si="35"/>
        <v>2.574767682433321E-2</v>
      </c>
      <c r="F44" s="143">
        <f t="shared" si="35"/>
        <v>9.2909389493065486E-2</v>
      </c>
      <c r="G44" s="143">
        <f t="shared" si="35"/>
        <v>9.6104456676097572E-2</v>
      </c>
      <c r="H44" s="143">
        <f t="shared" si="35"/>
        <v>0.10227762011571562</v>
      </c>
      <c r="I44" s="143">
        <f t="shared" si="35"/>
        <v>0.10024718569857782</v>
      </c>
      <c r="J44" s="143">
        <f t="shared" si="35"/>
        <v>0.10306124626990099</v>
      </c>
      <c r="K44" s="143">
        <f t="shared" si="35"/>
        <v>0.10513440449168443</v>
      </c>
      <c r="L44" s="143">
        <f t="shared" si="35"/>
        <v>0.10363349688426338</v>
      </c>
      <c r="M44" s="144">
        <f t="shared" si="35"/>
        <v>0.10385786908591887</v>
      </c>
      <c r="O44" s="289">
        <f>O36</f>
        <v>5.7500000000000002E-2</v>
      </c>
      <c r="P44" s="277">
        <f>((P36-Summary!$C$17)+D39)</f>
        <v>19737142.880752802</v>
      </c>
      <c r="Q44" s="277">
        <f>((Q36-Summary!$C$17)+E39)</f>
        <v>26310309.289448455</v>
      </c>
      <c r="R44" s="277">
        <f>((R36-Summary!$C$17)+F39)</f>
        <v>31968599.324231073</v>
      </c>
      <c r="S44" s="277">
        <f>((S36-Summary!$C$17)+G39)</f>
        <v>33234950.037274539</v>
      </c>
      <c r="T44" s="277">
        <f>((T36-Summary!$C$17)+H39)</f>
        <v>35860515.054665849</v>
      </c>
      <c r="U44" s="277">
        <f>((U36-Summary!$C$17)+I39)</f>
        <v>36451269.228578895</v>
      </c>
      <c r="V44" s="277">
        <f>((V36-Summary!$C$17)+J39)</f>
        <v>38634091.18510063</v>
      </c>
      <c r="W44" s="277">
        <f>((W36-Summary!$C$17)+K39)</f>
        <v>41491898.932926714</v>
      </c>
      <c r="X44" s="277">
        <f>((X36-Summary!$C$17)+L39)</f>
        <v>42285908.845970199</v>
      </c>
      <c r="Y44" s="273">
        <f>((Y36-Summary!$C$17))+$M$39-$M$37</f>
        <v>44574433.515535414</v>
      </c>
      <c r="AA44" s="145">
        <v>6</v>
      </c>
      <c r="AB44" s="427" t="s">
        <v>166</v>
      </c>
      <c r="AC44" s="113"/>
      <c r="AD44" s="113"/>
      <c r="AE44" s="113"/>
      <c r="AF44" s="113"/>
      <c r="AG44" s="113"/>
      <c r="AH44" s="113"/>
      <c r="AI44" s="113"/>
      <c r="AJ44" s="113"/>
      <c r="AK44" s="113"/>
      <c r="AL44" s="114"/>
    </row>
    <row r="45" spans="2:38" ht="13.5" thickBot="1" x14ac:dyDescent="0.35">
      <c r="B45" s="126" t="s">
        <v>167</v>
      </c>
      <c r="C45" s="212"/>
      <c r="D45" s="213">
        <f>((SUM($D$39:D39)+(D23-Summary!$I$30))/-P18)</f>
        <v>0.94846064892685578</v>
      </c>
      <c r="E45" s="213">
        <f>((SUM($D$39:E39)+(E23-Summary!$I$30))/-Q18)</f>
        <v>1.050653070615007</v>
      </c>
      <c r="F45" s="213">
        <f>((SUM($D$39:F39)+(F23-Summary!$I$30))/-R18)</f>
        <v>1.2877882834356247</v>
      </c>
      <c r="G45" s="213">
        <f>((SUM($D$39:G39)+(G23-Summary!$I$30))/-S18)</f>
        <v>1.4040363939824749</v>
      </c>
      <c r="H45" s="213">
        <f>((SUM($D$39:H39)+(H23-Summary!$I$30))/-T18)</f>
        <v>1.5528423748877991</v>
      </c>
      <c r="I45" s="213">
        <f>((SUM($D$39:I39)+(I23-Summary!$I$30))/-U18)</f>
        <v>1.6580680027012495</v>
      </c>
      <c r="J45" s="213">
        <f>((SUM($D$39:J39)+(J23-Summary!$I$30))/-V18)</f>
        <v>1.8096040158213458</v>
      </c>
      <c r="K45" s="213">
        <f>((SUM($D$39:K39)+(K23-Summary!$I$30))/-W18)</f>
        <v>1.9698565176164031</v>
      </c>
      <c r="L45" s="213">
        <f>((SUM($D$39:L39)+(L23-Summary!$I$30))/-X18)</f>
        <v>2.0890767313447536</v>
      </c>
      <c r="M45" s="214">
        <f>((SUM($D$39:M39)-(M37)+(M15-Summary!$I$30))/-Y18)</f>
        <v>2.2381652661885925</v>
      </c>
      <c r="O45" s="290">
        <f>O37</f>
        <v>0.06</v>
      </c>
      <c r="P45" s="278">
        <f>((P37-Summary!$C$17)+D39)</f>
        <v>16193306.797057152</v>
      </c>
      <c r="Q45" s="278">
        <f>((Q37-Summary!$C$17)+E39)</f>
        <v>22506255.772057161</v>
      </c>
      <c r="R45" s="278">
        <f>((R37-Summary!$C$17)+F39)</f>
        <v>27941768.347057164</v>
      </c>
      <c r="S45" s="278">
        <f>((S37-Summary!$C$17)+G39)</f>
        <v>29148412.697057173</v>
      </c>
      <c r="T45" s="278">
        <f>((T37-Summary!$C$17)+H39)</f>
        <v>31682820.547057152</v>
      </c>
      <c r="U45" s="278">
        <f>((U37-Summary!$C$17)+I39)</f>
        <v>32250348.922057167</v>
      </c>
      <c r="V45" s="278">
        <f>((V37-Summary!$C$17)+J39)</f>
        <v>34329746.922057167</v>
      </c>
      <c r="W45" s="278">
        <f>((W37-Summary!$C$17)+K39)</f>
        <v>37092803.722057164</v>
      </c>
      <c r="X45" s="278">
        <f>((X37-Summary!$C$17)+L39)</f>
        <v>37836770.347057164</v>
      </c>
      <c r="Y45" s="279">
        <f>((Y37-Summary!$C$17))+$M$39-$M$37</f>
        <v>40036600.822057158</v>
      </c>
      <c r="AA45" s="428" t="str">
        <f>AB44&amp;AB45</f>
        <v>40 ORREGR</v>
      </c>
      <c r="AB45" s="259" t="s">
        <v>129</v>
      </c>
      <c r="AC45" s="132">
        <f>'Property-Level CF'!DY9</f>
        <v>1701092</v>
      </c>
      <c r="AD45" s="132">
        <f>'Property-Level CF'!DZ9</f>
        <v>1736951</v>
      </c>
      <c r="AE45" s="132">
        <f>'Property-Level CF'!EA9</f>
        <v>1773282</v>
      </c>
      <c r="AF45" s="132">
        <f>'Property-Level CF'!EB9</f>
        <v>1810584</v>
      </c>
      <c r="AG45" s="132">
        <f>'Property-Level CF'!EC9</f>
        <v>1848680</v>
      </c>
      <c r="AH45" s="132">
        <f>'Property-Level CF'!ED9</f>
        <v>1887630</v>
      </c>
      <c r="AI45" s="132">
        <f>'Property-Level CF'!EE9</f>
        <v>1927203</v>
      </c>
      <c r="AJ45" s="132">
        <f>'Property-Level CF'!EF9</f>
        <v>1967953</v>
      </c>
      <c r="AK45" s="132">
        <f>'Property-Level CF'!EG9</f>
        <v>2009209</v>
      </c>
      <c r="AL45" s="133">
        <f>'Property-Level CF'!EH9</f>
        <v>2051472</v>
      </c>
    </row>
    <row r="46" spans="2:38" ht="13.5" thickBot="1" x14ac:dyDescent="0.35">
      <c r="D46" s="116"/>
      <c r="E46" s="306"/>
      <c r="F46" s="306"/>
      <c r="G46" s="306"/>
      <c r="H46" s="306"/>
      <c r="I46" s="306"/>
      <c r="J46" s="306"/>
      <c r="K46" s="306"/>
      <c r="L46" s="306"/>
      <c r="M46" s="306"/>
      <c r="AA46" s="428" t="str">
        <f>AB44&amp;AB46</f>
        <v>40 ORRNOI</v>
      </c>
      <c r="AB46" s="259" t="s">
        <v>130</v>
      </c>
      <c r="AC46" s="132">
        <f>'Property-Level CF'!DY10</f>
        <v>1311547</v>
      </c>
      <c r="AD46" s="132">
        <f>'Property-Level CF'!DZ10</f>
        <v>1337880</v>
      </c>
      <c r="AE46" s="132">
        <f>'Property-Level CF'!EA10</f>
        <v>1364462</v>
      </c>
      <c r="AF46" s="132">
        <f>'Property-Level CF'!EB10</f>
        <v>1391768</v>
      </c>
      <c r="AG46" s="132">
        <f>'Property-Level CF'!EC10</f>
        <v>1419623</v>
      </c>
      <c r="AH46" s="132">
        <f>'Property-Level CF'!ED10</f>
        <v>1448080</v>
      </c>
      <c r="AI46" s="132">
        <f>'Property-Level CF'!EE10</f>
        <v>1476908</v>
      </c>
      <c r="AJ46" s="132">
        <f>'Property-Level CF'!EF10</f>
        <v>1506639</v>
      </c>
      <c r="AK46" s="132">
        <f>'Property-Level CF'!EG10</f>
        <v>1536617</v>
      </c>
      <c r="AL46" s="133">
        <f>'Property-Level CF'!EH10</f>
        <v>1567320</v>
      </c>
    </row>
    <row r="47" spans="2:38" ht="13.5" thickBot="1" x14ac:dyDescent="0.35">
      <c r="B47" s="2" t="s">
        <v>108</v>
      </c>
      <c r="C47" s="280"/>
      <c r="D47" s="280"/>
      <c r="E47" s="280"/>
      <c r="F47" s="280"/>
      <c r="G47" s="280"/>
      <c r="H47" s="280"/>
      <c r="I47" s="280"/>
      <c r="J47" s="280"/>
      <c r="K47" s="280"/>
      <c r="L47" s="280"/>
      <c r="M47" s="242"/>
      <c r="O47" s="512" t="s">
        <v>168</v>
      </c>
      <c r="P47" s="513"/>
      <c r="Q47" s="513"/>
      <c r="R47" s="513"/>
      <c r="S47" s="513"/>
      <c r="T47" s="513"/>
      <c r="U47" s="513"/>
      <c r="V47" s="513"/>
      <c r="W47" s="513"/>
      <c r="X47" s="513"/>
      <c r="Y47" s="514"/>
      <c r="AA47" s="428" t="str">
        <f>AB44&amp;AB47</f>
        <v>40 ORRNCF before DS</v>
      </c>
      <c r="AB47" s="259" t="s">
        <v>132</v>
      </c>
      <c r="AC47" s="132">
        <f>'Property-Level CF'!DY14</f>
        <v>1290193.5</v>
      </c>
      <c r="AD47" s="132">
        <f>'Property-Level CF'!DZ14</f>
        <v>1316526.5</v>
      </c>
      <c r="AE47" s="132">
        <f>'Property-Level CF'!EA14</f>
        <v>1343108.5</v>
      </c>
      <c r="AF47" s="132">
        <f>'Property-Level CF'!EB14</f>
        <v>1370414.5</v>
      </c>
      <c r="AG47" s="132">
        <f>'Property-Level CF'!EC14</f>
        <v>1398269.5</v>
      </c>
      <c r="AH47" s="132">
        <f>'Property-Level CF'!ED14</f>
        <v>1426726.5</v>
      </c>
      <c r="AI47" s="132">
        <f>'Property-Level CF'!EE14</f>
        <v>1455554.5</v>
      </c>
      <c r="AJ47" s="132">
        <f>'Property-Level CF'!EF14</f>
        <v>1485285.5</v>
      </c>
      <c r="AK47" s="132">
        <f>'Property-Level CF'!EG14</f>
        <v>1515263.5</v>
      </c>
      <c r="AL47" s="133">
        <f>'Property-Level CF'!EH14</f>
        <v>1545966.5</v>
      </c>
    </row>
    <row r="48" spans="2:38" ht="13.5" thickBot="1" x14ac:dyDescent="0.35">
      <c r="B48" s="180" t="s">
        <v>169</v>
      </c>
      <c r="C48" s="181"/>
      <c r="D48" s="181"/>
      <c r="E48" s="181"/>
      <c r="F48" s="181"/>
      <c r="G48" s="181"/>
      <c r="H48" s="181"/>
      <c r="I48" s="181"/>
      <c r="J48" s="181"/>
      <c r="K48" s="181"/>
      <c r="L48" s="181"/>
      <c r="M48" s="182"/>
      <c r="O48" s="3" t="s">
        <v>11</v>
      </c>
      <c r="P48" s="287" t="str">
        <f>P40</f>
        <v>Year 1</v>
      </c>
      <c r="Q48" s="287" t="str">
        <f t="shared" ref="Q48:Y48" si="36">Q40</f>
        <v>Year 2</v>
      </c>
      <c r="R48" s="287" t="str">
        <f t="shared" si="36"/>
        <v>Year 3</v>
      </c>
      <c r="S48" s="287" t="str">
        <f t="shared" si="36"/>
        <v>Year 4</v>
      </c>
      <c r="T48" s="287" t="str">
        <f t="shared" si="36"/>
        <v>Year 5</v>
      </c>
      <c r="U48" s="287" t="str">
        <f t="shared" si="36"/>
        <v>Year 6</v>
      </c>
      <c r="V48" s="287" t="str">
        <f t="shared" si="36"/>
        <v>Year 7</v>
      </c>
      <c r="W48" s="287" t="str">
        <f t="shared" si="36"/>
        <v>Year 8</v>
      </c>
      <c r="X48" s="287" t="str">
        <f t="shared" si="36"/>
        <v>Year 9</v>
      </c>
      <c r="Y48" s="288" t="str">
        <f t="shared" si="36"/>
        <v>Year 10</v>
      </c>
      <c r="AA48" s="428"/>
      <c r="AB48" s="259" t="s">
        <v>142</v>
      </c>
      <c r="AC48" s="132">
        <f>'Property-Level CF'!DY30</f>
        <v>724033.63616170746</v>
      </c>
      <c r="AD48" s="132">
        <f t="shared" ref="AD48:AL48" si="37">AC48</f>
        <v>724033.63616170746</v>
      </c>
      <c r="AE48" s="132">
        <f t="shared" si="37"/>
        <v>724033.63616170746</v>
      </c>
      <c r="AF48" s="132">
        <f t="shared" si="37"/>
        <v>724033.63616170746</v>
      </c>
      <c r="AG48" s="132">
        <f t="shared" si="37"/>
        <v>724033.63616170746</v>
      </c>
      <c r="AH48" s="132">
        <f t="shared" si="37"/>
        <v>724033.63616170746</v>
      </c>
      <c r="AI48" s="132">
        <f t="shared" si="37"/>
        <v>724033.63616170746</v>
      </c>
      <c r="AJ48" s="132">
        <f t="shared" si="37"/>
        <v>724033.63616170746</v>
      </c>
      <c r="AK48" s="132">
        <f t="shared" si="37"/>
        <v>724033.63616170746</v>
      </c>
      <c r="AL48" s="133">
        <f t="shared" si="37"/>
        <v>724033.63616170746</v>
      </c>
    </row>
    <row r="49" spans="2:38" ht="13.5" thickBot="1" x14ac:dyDescent="0.35">
      <c r="B49" s="165"/>
      <c r="C49" s="285" t="str">
        <f>C5</f>
        <v>Year 0</v>
      </c>
      <c r="D49" s="285" t="str">
        <f t="shared" ref="D49:M49" si="38">D5</f>
        <v>Year 1</v>
      </c>
      <c r="E49" s="285" t="str">
        <f t="shared" si="38"/>
        <v>Year 2</v>
      </c>
      <c r="F49" s="285" t="str">
        <f t="shared" si="38"/>
        <v>Year 3</v>
      </c>
      <c r="G49" s="285" t="str">
        <f t="shared" si="38"/>
        <v>Year 4</v>
      </c>
      <c r="H49" s="285" t="str">
        <f t="shared" si="38"/>
        <v>Year 5</v>
      </c>
      <c r="I49" s="285" t="str">
        <f t="shared" si="38"/>
        <v>Year 6</v>
      </c>
      <c r="J49" s="285" t="str">
        <f t="shared" si="38"/>
        <v>Year 7</v>
      </c>
      <c r="K49" s="285" t="str">
        <f t="shared" si="38"/>
        <v>Year 8</v>
      </c>
      <c r="L49" s="285" t="str">
        <f t="shared" si="38"/>
        <v>Year 9</v>
      </c>
      <c r="M49" s="286" t="str">
        <f t="shared" si="38"/>
        <v>Year 10</v>
      </c>
      <c r="O49" s="291">
        <f>O41</f>
        <v>0.05</v>
      </c>
      <c r="P49" s="333">
        <f>IRR(($C$39:C39,P41))</f>
        <v>-0.10513416189109515</v>
      </c>
      <c r="Q49" s="333">
        <f>IRR(($C39:D39,Q41))</f>
        <v>7.9246425666708031E-2</v>
      </c>
      <c r="R49" s="333">
        <f>IRR(($C39:E39,R41))</f>
        <v>0.12657539878718715</v>
      </c>
      <c r="S49" s="333">
        <f>IRR(($C39:F39,S41))</f>
        <v>0.11977907354997663</v>
      </c>
      <c r="T49" s="333">
        <f>IRR(($C39:G39,T41))</f>
        <v>0.12023852079998254</v>
      </c>
      <c r="U49" s="333">
        <f>IRR(($C39:H39,U41))</f>
        <v>0.11402894976860534</v>
      </c>
      <c r="V49" s="333">
        <f>IRR(($C39:I39,V41))</f>
        <v>0.11425016300580904</v>
      </c>
      <c r="W49" s="333">
        <f>IRR(($C39:J39,W41))</f>
        <v>0.11444325801469057</v>
      </c>
      <c r="X49" s="333">
        <f>IRR(($C39:K39,X41))</f>
        <v>0.11143172769839005</v>
      </c>
      <c r="Y49" s="334">
        <f>IRR(($C39:L39,Y41))</f>
        <v>0.11058477234007658</v>
      </c>
      <c r="AA49" s="429"/>
      <c r="AB49" s="264" t="s">
        <v>136</v>
      </c>
      <c r="AC49" s="163">
        <f t="shared" ref="AC49:AL49" si="39">AC47-AC48</f>
        <v>566159.86383829254</v>
      </c>
      <c r="AD49" s="163">
        <f t="shared" si="39"/>
        <v>592492.86383829254</v>
      </c>
      <c r="AE49" s="163">
        <f t="shared" si="39"/>
        <v>619074.86383829254</v>
      </c>
      <c r="AF49" s="163">
        <f t="shared" si="39"/>
        <v>646380.86383829254</v>
      </c>
      <c r="AG49" s="163">
        <f t="shared" si="39"/>
        <v>674235.86383829254</v>
      </c>
      <c r="AH49" s="163">
        <f t="shared" si="39"/>
        <v>702692.86383829254</v>
      </c>
      <c r="AI49" s="163">
        <f t="shared" si="39"/>
        <v>731520.86383829254</v>
      </c>
      <c r="AJ49" s="163">
        <f t="shared" si="39"/>
        <v>761251.86383829254</v>
      </c>
      <c r="AK49" s="163">
        <f t="shared" si="39"/>
        <v>791229.86383829254</v>
      </c>
      <c r="AL49" s="164">
        <f t="shared" si="39"/>
        <v>821932.86383829254</v>
      </c>
    </row>
    <row r="50" spans="2:38" ht="13.5" thickBot="1" x14ac:dyDescent="0.35">
      <c r="B50" s="124" t="s">
        <v>125</v>
      </c>
      <c r="C50" s="122">
        <f>C6</f>
        <v>44377</v>
      </c>
      <c r="D50" s="122">
        <f t="shared" ref="D50:M50" si="40">D6</f>
        <v>44742</v>
      </c>
      <c r="E50" s="122">
        <f t="shared" si="40"/>
        <v>45107</v>
      </c>
      <c r="F50" s="122">
        <f t="shared" si="40"/>
        <v>45473</v>
      </c>
      <c r="G50" s="122">
        <f t="shared" si="40"/>
        <v>45838</v>
      </c>
      <c r="H50" s="122">
        <f t="shared" si="40"/>
        <v>46203</v>
      </c>
      <c r="I50" s="122">
        <f t="shared" si="40"/>
        <v>46568</v>
      </c>
      <c r="J50" s="122">
        <f t="shared" si="40"/>
        <v>46934</v>
      </c>
      <c r="K50" s="122">
        <f t="shared" si="40"/>
        <v>47299</v>
      </c>
      <c r="L50" s="122">
        <f t="shared" si="40"/>
        <v>47664</v>
      </c>
      <c r="M50" s="123">
        <f t="shared" si="40"/>
        <v>48029</v>
      </c>
      <c r="O50" s="289">
        <f>O42</f>
        <v>5.1247526448362724E-2</v>
      </c>
      <c r="P50" s="335">
        <f>IRR(($C$39:C39,P42))</f>
        <v>-0.17070361783570331</v>
      </c>
      <c r="Q50" s="335">
        <f>IRR(($C$39:D39,Q42))</f>
        <v>4.5178015553216877E-2</v>
      </c>
      <c r="R50" s="335">
        <f>IRR(($C$39:E39,R42))</f>
        <v>0.10552149189475779</v>
      </c>
      <c r="S50" s="335">
        <f>IRR(($C$39:F39,S42))</f>
        <v>0.10484153251431438</v>
      </c>
      <c r="T50" s="335">
        <f>IRR(($C$39:G39,T42))</f>
        <v>0.10903915688051113</v>
      </c>
      <c r="U50" s="335">
        <f>IRR(($C$39:H39,U42))</f>
        <v>0.10515315470343456</v>
      </c>
      <c r="V50" s="335">
        <f>IRR(($C$39:I39,V42))</f>
        <v>0.10706388682297319</v>
      </c>
      <c r="W50" s="335">
        <f>IRR(($C$39:J39,W42))</f>
        <v>0.10852845344101492</v>
      </c>
      <c r="X50" s="335">
        <f>IRR(($C$39:K39,X42))</f>
        <v>0.10641339029628227</v>
      </c>
      <c r="Y50" s="336">
        <f>IRR(($C$39:L39,Y42))</f>
        <v>0.10629851701379933</v>
      </c>
      <c r="AC50" s="430"/>
      <c r="AD50" s="430"/>
      <c r="AE50" s="430"/>
      <c r="AF50" s="430"/>
      <c r="AG50" s="430"/>
      <c r="AH50" s="430"/>
      <c r="AI50" s="430"/>
      <c r="AJ50" s="430"/>
      <c r="AK50" s="430"/>
      <c r="AL50" s="430"/>
    </row>
    <row r="51" spans="2:38" x14ac:dyDescent="0.3">
      <c r="B51" s="153"/>
      <c r="C51" s="155"/>
      <c r="D51" s="283"/>
      <c r="E51" s="283"/>
      <c r="F51" s="283"/>
      <c r="G51" s="283"/>
      <c r="H51" s="283"/>
      <c r="I51" s="283"/>
      <c r="J51" s="283"/>
      <c r="K51" s="283"/>
      <c r="L51" s="283"/>
      <c r="M51" s="284"/>
      <c r="O51" s="289">
        <f>O43</f>
        <v>5.5E-2</v>
      </c>
      <c r="P51" s="335">
        <f>IRR(($C$39:C39,P43))</f>
        <v>-0.35000216610245016</v>
      </c>
      <c r="Q51" s="335">
        <f>IRR(($C$39:D39,Q43))</f>
        <v>-5.4426073662489194E-2</v>
      </c>
      <c r="R51" s="335">
        <f>IRR(($C$39:E39,R43))</f>
        <v>4.3230654286561476E-2</v>
      </c>
      <c r="S51" s="335">
        <f>IRR(($C$39:F39,S43))</f>
        <v>6.0375896411728247E-2</v>
      </c>
      <c r="T51" s="335">
        <f>IRR(($C$39:G39,T43))</f>
        <v>7.5692468114189948E-2</v>
      </c>
      <c r="U51" s="335">
        <f>IRR(($C$39:H39,U43))</f>
        <v>7.8715836860410837E-2</v>
      </c>
      <c r="V51" s="335">
        <f>IRR(($C$39:I39,V43))</f>
        <v>8.5700551726807683E-2</v>
      </c>
      <c r="W51" s="335">
        <f>IRR(($C$39:J39,W43))</f>
        <v>9.0996738824091095E-2</v>
      </c>
      <c r="X51" s="335">
        <f>IRR(($C$39:K39,X43))</f>
        <v>9.1562910318524482E-2</v>
      </c>
      <c r="Y51" s="336">
        <f>IRR(($C$39:L39,Y43))</f>
        <v>9.3647045050905486E-2</v>
      </c>
      <c r="AA51" s="431"/>
      <c r="AB51" s="432"/>
      <c r="AC51" s="433"/>
      <c r="AD51" s="433"/>
      <c r="AE51" s="433"/>
      <c r="AF51" s="433"/>
      <c r="AG51" s="433"/>
      <c r="AH51" s="433"/>
      <c r="AI51" s="433"/>
      <c r="AJ51" s="433"/>
      <c r="AK51" s="433"/>
      <c r="AL51" s="433"/>
    </row>
    <row r="52" spans="2:38" x14ac:dyDescent="0.3">
      <c r="B52" s="190" t="s">
        <v>170</v>
      </c>
      <c r="C52" s="155"/>
      <c r="D52" s="221">
        <f>(D36+D38)*Summary!$C$22</f>
        <v>106143.06332785786</v>
      </c>
      <c r="E52" s="221">
        <f>(E36+E38)*Summary!$C$22</f>
        <v>122540.46332785785</v>
      </c>
      <c r="F52" s="221">
        <f>(F36+F38)*Summary!$C$22</f>
        <v>138122.01332785786</v>
      </c>
      <c r="G52" s="221">
        <f>(G36+G38)*Summary!$C$22</f>
        <v>129791.91332785785</v>
      </c>
      <c r="H52" s="221">
        <f>(H36+H38)*Summary!$C$22</f>
        <v>151681.56332785785</v>
      </c>
      <c r="I52" s="221">
        <f>(I36+I38)*Summary!$C$22</f>
        <v>153348.31332785785</v>
      </c>
      <c r="J52" s="221">
        <f>(J36+J38)*Summary!$C$22</f>
        <v>138380.66332785785</v>
      </c>
      <c r="K52" s="221">
        <f>(K36+K38)*Summary!$C$22</f>
        <v>167569.91332785785</v>
      </c>
      <c r="L52" s="221">
        <f>(L36+L38)*Summary!$C$22</f>
        <v>147218.46332785787</v>
      </c>
      <c r="M52" s="247">
        <f>(M36+M38)*Summary!$C$22</f>
        <v>155211.66332785785</v>
      </c>
      <c r="O52" s="289">
        <f>O44</f>
        <v>5.7500000000000002E-2</v>
      </c>
      <c r="P52" s="335">
        <f>IRR(($C$39:C39,P44))</f>
        <v>-0.45646651575956143</v>
      </c>
      <c r="Q52" s="335">
        <f>IRR(($C$39:D39,Q44))</f>
        <v>-0.11906329208467448</v>
      </c>
      <c r="R52" s="335">
        <f>IRR(($C$39:E39,R44))</f>
        <v>2.2405798297029378E-3</v>
      </c>
      <c r="S52" s="335">
        <f>IRR(($C$39:F39,S44))</f>
        <v>3.0899358540786404E-2</v>
      </c>
      <c r="T52" s="335">
        <f>IRR(($C$39:G39,T44))</f>
        <v>5.3595927467739779E-2</v>
      </c>
      <c r="U52" s="335">
        <f>IRR(($C$39:H39,U44))</f>
        <v>6.1196768767638909E-2</v>
      </c>
      <c r="V52" s="335">
        <f>IRR(($C$39:I39,V44))</f>
        <v>7.1586412822999268E-2</v>
      </c>
      <c r="W52" s="335">
        <f>IRR(($C$39:J39,W44))</f>
        <v>7.9463605076148802E-2</v>
      </c>
      <c r="X52" s="335">
        <f>IRR(($C$39:K39,X44))</f>
        <v>8.1816499620187777E-2</v>
      </c>
      <c r="Y52" s="336">
        <f>IRR(($C$39:L39,Y44))</f>
        <v>8.5373772365029632E-2</v>
      </c>
      <c r="AA52" s="431"/>
      <c r="AB52" s="115" t="s">
        <v>23</v>
      </c>
      <c r="AC52" s="498">
        <f>2.25%+0.75%+0.85%</f>
        <v>3.85E-2</v>
      </c>
      <c r="AD52" s="433"/>
      <c r="AE52" s="433"/>
      <c r="AF52" s="433"/>
      <c r="AG52" s="433"/>
      <c r="AH52" s="433"/>
      <c r="AI52" s="433"/>
      <c r="AJ52" s="433"/>
      <c r="AK52" s="433"/>
      <c r="AL52" s="433"/>
    </row>
    <row r="53" spans="2:38" ht="13.5" thickBot="1" x14ac:dyDescent="0.35">
      <c r="B53" s="207" t="s">
        <v>171</v>
      </c>
      <c r="C53" s="155"/>
      <c r="D53" s="221">
        <f t="shared" ref="D53:M53" si="41">-D38</f>
        <v>90781.632838749996</v>
      </c>
      <c r="E53" s="221">
        <f t="shared" si="41"/>
        <v>90781.632838749996</v>
      </c>
      <c r="F53" s="221">
        <f t="shared" si="41"/>
        <v>90781.632838749996</v>
      </c>
      <c r="G53" s="221">
        <f t="shared" si="41"/>
        <v>90781.632838749996</v>
      </c>
      <c r="H53" s="221">
        <f t="shared" si="41"/>
        <v>90781.632838749996</v>
      </c>
      <c r="I53" s="221">
        <f t="shared" si="41"/>
        <v>90781.632838749996</v>
      </c>
      <c r="J53" s="221">
        <f t="shared" si="41"/>
        <v>90781.632838749996</v>
      </c>
      <c r="K53" s="221">
        <f t="shared" si="41"/>
        <v>90781.632838749996</v>
      </c>
      <c r="L53" s="221">
        <f t="shared" si="41"/>
        <v>90781.632838749996</v>
      </c>
      <c r="M53" s="247">
        <f t="shared" si="41"/>
        <v>90781.632838749996</v>
      </c>
      <c r="O53" s="290">
        <f>O45</f>
        <v>0.06</v>
      </c>
      <c r="P53" s="337">
        <f>IRR(($C$39:C39,P45))</f>
        <v>-0.55405883627857966</v>
      </c>
      <c r="Q53" s="337">
        <f>IRR(($C$39:D39,Q45))</f>
        <v>-0.18295915477660363</v>
      </c>
      <c r="R53" s="337">
        <f>IRR(($C$39:E39,R45))</f>
        <v>-3.868238993683204E-2</v>
      </c>
      <c r="S53" s="337">
        <f>IRR(($C$39:F39,S45))</f>
        <v>1.3070837417490377E-3</v>
      </c>
      <c r="T53" s="337">
        <f>IRR(($C$39:G39,T45))</f>
        <v>3.1438557838807668E-2</v>
      </c>
      <c r="U53" s="337">
        <f>IRR(($C$39:H39,U45))</f>
        <v>4.3636133766293383E-2</v>
      </c>
      <c r="V53" s="337">
        <f>IRR(($C$39:I39,V45))</f>
        <v>5.748170108828754E-2</v>
      </c>
      <c r="W53" s="337">
        <f>IRR(($C$39:J39,W45))</f>
        <v>6.7984940700214214E-2</v>
      </c>
      <c r="X53" s="337">
        <f>IRR(($C$39:K39,X45))</f>
        <v>7.2137509455303617E-2</v>
      </c>
      <c r="Y53" s="338">
        <f>IRR(($C$39:L39,Y45))</f>
        <v>7.7184684079856014E-2</v>
      </c>
      <c r="AA53" s="431"/>
      <c r="AB53" s="432"/>
      <c r="AC53" s="433"/>
      <c r="AD53" s="433"/>
      <c r="AE53" s="433"/>
      <c r="AF53" s="433"/>
      <c r="AG53" s="433"/>
      <c r="AH53" s="433"/>
      <c r="AI53" s="433"/>
      <c r="AJ53" s="433"/>
      <c r="AK53" s="433"/>
      <c r="AL53" s="433"/>
    </row>
    <row r="54" spans="2:38" ht="15" customHeight="1" thickBot="1" x14ac:dyDescent="0.35">
      <c r="B54" s="206" t="s">
        <v>172</v>
      </c>
      <c r="C54" s="210">
        <f>C39*Summary!C22</f>
        <v>-1815632.656775</v>
      </c>
      <c r="D54" s="210">
        <f t="shared" ref="D54:M54" si="42">SUM(D52:D53)</f>
        <v>196924.69616660784</v>
      </c>
      <c r="E54" s="210">
        <f t="shared" si="42"/>
        <v>213322.09616660787</v>
      </c>
      <c r="F54" s="210">
        <f t="shared" si="42"/>
        <v>228903.64616660785</v>
      </c>
      <c r="G54" s="210">
        <f t="shared" si="42"/>
        <v>220573.54616660785</v>
      </c>
      <c r="H54" s="210">
        <f t="shared" si="42"/>
        <v>242463.19616660784</v>
      </c>
      <c r="I54" s="210">
        <f t="shared" si="42"/>
        <v>244129.94616660784</v>
      </c>
      <c r="J54" s="210">
        <f t="shared" si="42"/>
        <v>229162.29616660785</v>
      </c>
      <c r="K54" s="210">
        <f t="shared" si="42"/>
        <v>258351.54616660785</v>
      </c>
      <c r="L54" s="210">
        <f t="shared" si="42"/>
        <v>238000.09616660787</v>
      </c>
      <c r="M54" s="211">
        <f t="shared" si="42"/>
        <v>245993.29616660785</v>
      </c>
      <c r="AC54" s="430"/>
      <c r="AD54" s="430"/>
      <c r="AE54" s="430"/>
      <c r="AF54" s="430"/>
      <c r="AG54" s="430"/>
      <c r="AH54" s="430"/>
      <c r="AI54" s="430"/>
      <c r="AJ54" s="430"/>
      <c r="AK54" s="430"/>
      <c r="AL54" s="430"/>
    </row>
    <row r="55" spans="2:38" ht="13.5" thickBot="1" x14ac:dyDescent="0.35">
      <c r="B55" s="145"/>
      <c r="C55" s="155"/>
      <c r="D55" s="155"/>
      <c r="E55" s="155"/>
      <c r="F55" s="155"/>
      <c r="G55" s="155"/>
      <c r="H55" s="155"/>
      <c r="I55" s="155"/>
      <c r="J55" s="155"/>
      <c r="K55" s="155"/>
      <c r="L55" s="155"/>
      <c r="M55" s="158"/>
      <c r="O55" s="512" t="s">
        <v>173</v>
      </c>
      <c r="P55" s="513"/>
      <c r="Q55" s="513"/>
      <c r="R55" s="513"/>
      <c r="S55" s="513"/>
      <c r="T55" s="513"/>
      <c r="U55" s="513"/>
      <c r="V55" s="513"/>
      <c r="W55" s="513"/>
      <c r="X55" s="513"/>
      <c r="Y55" s="514"/>
      <c r="AA55" s="431"/>
      <c r="AB55" s="432"/>
      <c r="AC55" s="433"/>
      <c r="AD55" s="433"/>
      <c r="AE55" s="433"/>
      <c r="AF55" s="433"/>
      <c r="AG55" s="433"/>
      <c r="AH55" s="433"/>
      <c r="AI55" s="433"/>
      <c r="AJ55" s="433"/>
      <c r="AK55" s="433"/>
      <c r="AL55" s="433"/>
    </row>
    <row r="56" spans="2:38" ht="13.5" thickBot="1" x14ac:dyDescent="0.35">
      <c r="B56" s="145"/>
      <c r="C56" s="155"/>
      <c r="D56" s="221">
        <f>C54</f>
        <v>-1815632.656775</v>
      </c>
      <c r="E56" s="221">
        <f>C54</f>
        <v>-1815632.656775</v>
      </c>
      <c r="F56" s="221">
        <f t="shared" ref="F56:M56" si="43">E56</f>
        <v>-1815632.656775</v>
      </c>
      <c r="G56" s="221">
        <f t="shared" si="43"/>
        <v>-1815632.656775</v>
      </c>
      <c r="H56" s="221">
        <f t="shared" si="43"/>
        <v>-1815632.656775</v>
      </c>
      <c r="I56" s="221">
        <f t="shared" si="43"/>
        <v>-1815632.656775</v>
      </c>
      <c r="J56" s="221">
        <f t="shared" si="43"/>
        <v>-1815632.656775</v>
      </c>
      <c r="K56" s="221">
        <f t="shared" si="43"/>
        <v>-1815632.656775</v>
      </c>
      <c r="L56" s="221">
        <f t="shared" si="43"/>
        <v>-1815632.656775</v>
      </c>
      <c r="M56" s="247">
        <f t="shared" si="43"/>
        <v>-1815632.656775</v>
      </c>
      <c r="O56" s="3" t="s">
        <v>11</v>
      </c>
      <c r="P56" s="287" t="str">
        <f>P48</f>
        <v>Year 1</v>
      </c>
      <c r="Q56" s="287" t="str">
        <f t="shared" ref="Q56:Y56" si="44">Q48</f>
        <v>Year 2</v>
      </c>
      <c r="R56" s="287" t="str">
        <f t="shared" si="44"/>
        <v>Year 3</v>
      </c>
      <c r="S56" s="287" t="str">
        <f t="shared" si="44"/>
        <v>Year 4</v>
      </c>
      <c r="T56" s="287" t="str">
        <f t="shared" si="44"/>
        <v>Year 5</v>
      </c>
      <c r="U56" s="287" t="str">
        <f t="shared" si="44"/>
        <v>Year 6</v>
      </c>
      <c r="V56" s="287" t="str">
        <f t="shared" si="44"/>
        <v>Year 7</v>
      </c>
      <c r="W56" s="287" t="str">
        <f t="shared" si="44"/>
        <v>Year 8</v>
      </c>
      <c r="X56" s="287" t="str">
        <f t="shared" si="44"/>
        <v>Year 9</v>
      </c>
      <c r="Y56" s="288" t="str">
        <f t="shared" si="44"/>
        <v>Year 10</v>
      </c>
      <c r="AA56" s="431"/>
      <c r="AB56" s="432"/>
      <c r="AC56" s="433"/>
      <c r="AD56" s="433"/>
      <c r="AE56" s="433"/>
      <c r="AF56" s="433"/>
      <c r="AG56" s="433"/>
      <c r="AH56" s="433"/>
      <c r="AI56" s="433"/>
      <c r="AJ56" s="433"/>
      <c r="AK56" s="433"/>
      <c r="AL56" s="433"/>
    </row>
    <row r="57" spans="2:38" x14ac:dyDescent="0.3">
      <c r="B57" s="145"/>
      <c r="C57" s="155"/>
      <c r="D57" s="221">
        <f>D54+(D33*Summary!C22)</f>
        <v>1812837.7606963576</v>
      </c>
      <c r="E57" s="221">
        <f>D54</f>
        <v>196924.69616660784</v>
      </c>
      <c r="F57" s="221">
        <f>E57</f>
        <v>196924.69616660784</v>
      </c>
      <c r="G57" s="221">
        <f t="shared" ref="G57:M57" si="45">F57</f>
        <v>196924.69616660784</v>
      </c>
      <c r="H57" s="221">
        <f t="shared" si="45"/>
        <v>196924.69616660784</v>
      </c>
      <c r="I57" s="221">
        <f t="shared" si="45"/>
        <v>196924.69616660784</v>
      </c>
      <c r="J57" s="221">
        <f t="shared" si="45"/>
        <v>196924.69616660784</v>
      </c>
      <c r="K57" s="221">
        <f t="shared" si="45"/>
        <v>196924.69616660784</v>
      </c>
      <c r="L57" s="221">
        <f t="shared" si="45"/>
        <v>196924.69616660784</v>
      </c>
      <c r="M57" s="247">
        <f t="shared" si="45"/>
        <v>196924.69616660784</v>
      </c>
      <c r="O57" s="291">
        <f>O33</f>
        <v>0.05</v>
      </c>
      <c r="P57" s="117">
        <f>((P33-Summary!$C$17)*Summary!$C$22)+D$54</f>
        <v>1715529.2719416076</v>
      </c>
      <c r="Q57" s="117">
        <f>((Q33-Summary!$C$17)*Summary!$C$22)+E$54</f>
        <v>2091026.7304416078</v>
      </c>
      <c r="R57" s="117">
        <f>((R33-Summary!$C$17)*Summary!$C$22)+F$54</f>
        <v>2414041.1749416078</v>
      </c>
      <c r="S57" s="117">
        <f>((S33-Summary!$C$17)*Summary!$C$22)+G$54</f>
        <v>2488105.8559416076</v>
      </c>
      <c r="T57" s="117">
        <f>((T33-Summary!$C$17)*Summary!$C$22)+H$54</f>
        <v>2635792.3969416078</v>
      </c>
      <c r="U57" s="117">
        <f>((U33-Summary!$C$17)*Summary!$C$22)+I$54</f>
        <v>2669510.7494416083</v>
      </c>
      <c r="V57" s="117">
        <f>((V33-Summary!$C$17)*Summary!$C$22)+J$54</f>
        <v>2797268.1594416075</v>
      </c>
      <c r="W57" s="117">
        <f>((W33-Summary!$C$17)*Summary!$C$22)+K$54</f>
        <v>2957213.7174416082</v>
      </c>
      <c r="X57" s="117">
        <f>((X33-Summary!$C$17)*Summary!$C$22)+L$54</f>
        <v>3005922.0049416083</v>
      </c>
      <c r="Y57" s="339">
        <f>((Y33-Summary!$C$17)*Summary!$C$22)+M$54</f>
        <v>3136313.193441608</v>
      </c>
      <c r="AA57" s="431"/>
      <c r="AB57" s="432"/>
      <c r="AC57" s="433"/>
      <c r="AD57" s="433"/>
      <c r="AE57" s="433"/>
      <c r="AF57" s="433"/>
      <c r="AG57" s="433"/>
      <c r="AH57" s="433"/>
      <c r="AI57" s="433"/>
      <c r="AJ57" s="433"/>
      <c r="AK57" s="433"/>
      <c r="AL57" s="433"/>
    </row>
    <row r="58" spans="2:38" x14ac:dyDescent="0.3">
      <c r="B58" s="145"/>
      <c r="C58" s="155"/>
      <c r="D58" s="155"/>
      <c r="E58" s="221">
        <f>E54+(E33*Summary!C22)</f>
        <v>1892238.5954604293</v>
      </c>
      <c r="F58" s="221">
        <f>E54</f>
        <v>213322.09616660787</v>
      </c>
      <c r="G58" s="221">
        <f>F58</f>
        <v>213322.09616660787</v>
      </c>
      <c r="H58" s="221">
        <f t="shared" ref="H58:M58" si="46">G58</f>
        <v>213322.09616660787</v>
      </c>
      <c r="I58" s="221">
        <f t="shared" si="46"/>
        <v>213322.09616660787</v>
      </c>
      <c r="J58" s="221">
        <f t="shared" si="46"/>
        <v>213322.09616660787</v>
      </c>
      <c r="K58" s="221">
        <f t="shared" si="46"/>
        <v>213322.09616660787</v>
      </c>
      <c r="L58" s="221">
        <f t="shared" si="46"/>
        <v>213322.09616660787</v>
      </c>
      <c r="M58" s="247">
        <f t="shared" si="46"/>
        <v>213322.09616660787</v>
      </c>
      <c r="O58" s="289">
        <f>O34</f>
        <v>5.1247526448362724E-2</v>
      </c>
      <c r="P58" s="117">
        <f>(P34-Summary!$C$17)*Summary!$C$22+D$54</f>
        <v>1596479.2264416078</v>
      </c>
      <c r="Q58" s="117">
        <f>(Q34-Summary!$C$17)*Summary!$C$22+E$54</f>
        <v>1963235.0567766125</v>
      </c>
      <c r="R58" s="117">
        <f>(R34-Summary!$C$17)*Summary!$C$22+F$54</f>
        <v>2278765.6148616867</v>
      </c>
      <c r="S58" s="117">
        <f>(S34-Summary!$C$17)*Summary!$C$22+G$54</f>
        <v>2350824.5469869943</v>
      </c>
      <c r="T58" s="117">
        <f>(T34-Summary!$C$17)*Summary!$C$22+H$54</f>
        <v>2495448.7948477846</v>
      </c>
      <c r="U58" s="117">
        <f>(U34-Summary!$C$17)*Summary!$C$22+I$54</f>
        <v>2528386.9102397272</v>
      </c>
      <c r="V58" s="117">
        <f>(V34-Summary!$C$17)*Summary!$C$22+J$54</f>
        <v>2652669.942069035</v>
      </c>
      <c r="W58" s="117">
        <f>(W34-Summary!$C$17)*Summary!$C$22+K$54</f>
        <v>2809432.4790761173</v>
      </c>
      <c r="X58" s="117">
        <f>(X34-Summary!$C$17)*Summary!$C$22+L$54</f>
        <v>2856459.6347241234</v>
      </c>
      <c r="Y58" s="339">
        <f>(Y34-Summary!$C$17)*Summary!$C$22+M$54</f>
        <v>2983871.2700932221</v>
      </c>
      <c r="AC58" s="430"/>
      <c r="AD58" s="430"/>
      <c r="AE58" s="430"/>
      <c r="AF58" s="430"/>
      <c r="AG58" s="430"/>
      <c r="AH58" s="430"/>
      <c r="AI58" s="430"/>
      <c r="AJ58" s="430"/>
      <c r="AK58" s="430"/>
      <c r="AL58" s="430"/>
    </row>
    <row r="59" spans="2:38" x14ac:dyDescent="0.3">
      <c r="B59" s="145"/>
      <c r="C59" s="155"/>
      <c r="D59" s="155"/>
      <c r="E59" s="221"/>
      <c r="F59" s="221">
        <f>F54+(F33*Summary!C22)</f>
        <v>2200248.5686009745</v>
      </c>
      <c r="G59" s="221">
        <f>F54</f>
        <v>228903.64616660785</v>
      </c>
      <c r="H59" s="221">
        <f>G59</f>
        <v>228903.64616660785</v>
      </c>
      <c r="I59" s="221">
        <f t="shared" ref="I59:M59" si="47">H59</f>
        <v>228903.64616660785</v>
      </c>
      <c r="J59" s="221">
        <f t="shared" si="47"/>
        <v>228903.64616660785</v>
      </c>
      <c r="K59" s="221">
        <f t="shared" si="47"/>
        <v>228903.64616660785</v>
      </c>
      <c r="L59" s="221">
        <f t="shared" si="47"/>
        <v>228903.64616660785</v>
      </c>
      <c r="M59" s="247">
        <f t="shared" si="47"/>
        <v>228903.64616660785</v>
      </c>
      <c r="O59" s="289">
        <f>O35</f>
        <v>5.5E-2</v>
      </c>
      <c r="P59" s="117">
        <f>(P35-Summary!$C$17)*Summary!$C$22+D$54</f>
        <v>1270938.9268961535</v>
      </c>
      <c r="Q59" s="117">
        <f>(Q35-Summary!$C$17)*Summary!$C$22+E$54</f>
        <v>1613790.925532517</v>
      </c>
      <c r="R59" s="117">
        <f>(R35-Summary!$C$17)*Summary!$C$22+F$54</f>
        <v>1908856.9250779711</v>
      </c>
      <c r="S59" s="117">
        <f>(S35-Summary!$C$17)*Summary!$C$22+G$54</f>
        <v>1975431.1714416081</v>
      </c>
      <c r="T59" s="117">
        <f>(T35-Summary!$C$17)*Summary!$C$22+H$54</f>
        <v>2111681.6314416085</v>
      </c>
      <c r="U59" s="117">
        <f>(U35-Summary!$C$17)*Summary!$C$22+I$54</f>
        <v>2142486.2018961539</v>
      </c>
      <c r="V59" s="117">
        <f>(V35-Summary!$C$17)*Summary!$C$22+J$54</f>
        <v>2257268.6064416082</v>
      </c>
      <c r="W59" s="117">
        <f>(W35-Summary!$C$17)*Summary!$C$22+K$54</f>
        <v>2405327.2273506983</v>
      </c>
      <c r="X59" s="117">
        <f>(X35-Summary!$C$17)*Summary!$C$22+L$54</f>
        <v>2447757.3568961532</v>
      </c>
      <c r="Y59" s="339">
        <f>(Y35-Summary!$C$17)*Summary!$C$22+M$54</f>
        <v>2567021.4555325173</v>
      </c>
      <c r="AA59" s="431"/>
      <c r="AB59" s="432"/>
      <c r="AC59" s="433"/>
      <c r="AD59" s="433"/>
      <c r="AE59" s="433"/>
      <c r="AF59" s="433"/>
      <c r="AG59" s="433"/>
      <c r="AH59" s="433"/>
      <c r="AI59" s="433"/>
      <c r="AJ59" s="433"/>
      <c r="AK59" s="433"/>
      <c r="AL59" s="433"/>
    </row>
    <row r="60" spans="2:38" x14ac:dyDescent="0.3">
      <c r="B60" s="145"/>
      <c r="C60" s="155"/>
      <c r="D60" s="155"/>
      <c r="E60" s="221"/>
      <c r="F60" s="221"/>
      <c r="G60" s="221">
        <f>G54+(G33*Summary!C22)</f>
        <v>2273190.421070368</v>
      </c>
      <c r="H60" s="221">
        <f>G54</f>
        <v>220573.54616660785</v>
      </c>
      <c r="I60" s="221">
        <f>H60</f>
        <v>220573.54616660785</v>
      </c>
      <c r="J60" s="221">
        <f t="shared" ref="J60:M60" si="48">I60</f>
        <v>220573.54616660785</v>
      </c>
      <c r="K60" s="221">
        <f t="shared" si="48"/>
        <v>220573.54616660785</v>
      </c>
      <c r="L60" s="221">
        <f t="shared" si="48"/>
        <v>220573.54616660785</v>
      </c>
      <c r="M60" s="247">
        <f t="shared" si="48"/>
        <v>220573.54616660785</v>
      </c>
      <c r="O60" s="289">
        <f>O36</f>
        <v>5.7500000000000002E-2</v>
      </c>
      <c r="P60" s="117">
        <f>(P36-Summary!$C$17)*Summary!$C$22+D$54</f>
        <v>1077638.7768763902</v>
      </c>
      <c r="Q60" s="117">
        <f>(Q36-Summary!$C$17)*Summary!$C$22+E$54</f>
        <v>1406297.0973111729</v>
      </c>
      <c r="R60" s="117">
        <f>(R36-Summary!$C$17)*Summary!$C$22+F$54</f>
        <v>1689211.5990503039</v>
      </c>
      <c r="S60" s="117">
        <f>(S36-Summary!$C$17)*Summary!$C$22+G$54</f>
        <v>1752529.1347024771</v>
      </c>
      <c r="T60" s="117">
        <f>(T36-Summary!$C$17)*Summary!$C$22+H$54</f>
        <v>1883807.3855720425</v>
      </c>
      <c r="U60" s="117">
        <f>(U36-Summary!$C$17)*Summary!$C$22+I$54</f>
        <v>1913345.0942676947</v>
      </c>
      <c r="V60" s="117">
        <f>(V36-Summary!$C$17)*Summary!$C$22+J$54</f>
        <v>2022486.1920937817</v>
      </c>
      <c r="W60" s="117">
        <f>(W36-Summary!$C$17)*Summary!$C$22+K$54</f>
        <v>2165376.5794850858</v>
      </c>
      <c r="X60" s="117">
        <f>(X36-Summary!$C$17)*Summary!$C$22+L$54</f>
        <v>2205077.0751372599</v>
      </c>
      <c r="Y60" s="339">
        <f>(Y36-Summary!$C$17)*Summary!$C$22+M$54</f>
        <v>2319503.3086155206</v>
      </c>
      <c r="AA60" s="431"/>
      <c r="AB60" s="432"/>
      <c r="AC60" s="433"/>
      <c r="AD60" s="433"/>
      <c r="AE60" s="433"/>
      <c r="AF60" s="433"/>
      <c r="AG60" s="433"/>
      <c r="AH60" s="433"/>
      <c r="AI60" s="433"/>
      <c r="AJ60" s="433"/>
      <c r="AK60" s="433"/>
      <c r="AL60" s="433"/>
    </row>
    <row r="61" spans="2:38" ht="13.5" thickBot="1" x14ac:dyDescent="0.35">
      <c r="B61" s="145"/>
      <c r="C61" s="155"/>
      <c r="D61" s="155"/>
      <c r="E61" s="221"/>
      <c r="F61" s="221"/>
      <c r="G61" s="221"/>
      <c r="H61" s="221">
        <f>H54+(H33*Summary!C22)</f>
        <v>2413575.5061976542</v>
      </c>
      <c r="I61" s="221">
        <f>H54</f>
        <v>242463.19616660784</v>
      </c>
      <c r="J61" s="221">
        <f>I61</f>
        <v>242463.19616660784</v>
      </c>
      <c r="K61" s="221">
        <f t="shared" ref="K61:M61" si="49">J61</f>
        <v>242463.19616660784</v>
      </c>
      <c r="L61" s="221">
        <f t="shared" si="49"/>
        <v>242463.19616660784</v>
      </c>
      <c r="M61" s="247">
        <f t="shared" si="49"/>
        <v>242463.19616660784</v>
      </c>
      <c r="O61" s="290">
        <f>O37</f>
        <v>0.06</v>
      </c>
      <c r="P61" s="340">
        <f>(P37-Summary!$C$17)*Summary!$C$22+D$54</f>
        <v>900446.97269160766</v>
      </c>
      <c r="Q61" s="340">
        <f>(Q37-Summary!$C$17)*Summary!$C$22+E$54</f>
        <v>1216094.4214416081</v>
      </c>
      <c r="R61" s="340">
        <f>(R37-Summary!$C$17)*Summary!$C$22+F$54</f>
        <v>1487870.0501916083</v>
      </c>
      <c r="S61" s="340">
        <f>(S37-Summary!$C$17)*Summary!$C$22+G$54</f>
        <v>1548202.2676916088</v>
      </c>
      <c r="T61" s="340">
        <f>(T37-Summary!$C$17)*Summary!$C$22+H$54</f>
        <v>1674922.6601916077</v>
      </c>
      <c r="U61" s="340">
        <f>(U37-Summary!$C$17)*Summary!$C$22+I$54</f>
        <v>1703299.0789416083</v>
      </c>
      <c r="V61" s="340">
        <f>(V37-Summary!$C$17)*Summary!$C$22+J$54</f>
        <v>1807268.9789416085</v>
      </c>
      <c r="W61" s="340">
        <f>(W37-Summary!$C$17)*Summary!$C$22+K$54</f>
        <v>1945421.8189416083</v>
      </c>
      <c r="X61" s="340">
        <f>(X37-Summary!$C$17)*Summary!$C$22+L$54</f>
        <v>1982620.1501916084</v>
      </c>
      <c r="Y61" s="341">
        <f>(Y37-Summary!$C$17)*Summary!$C$22+M$54</f>
        <v>2092611.6739416081</v>
      </c>
      <c r="AA61" s="431"/>
      <c r="AB61" s="432"/>
      <c r="AC61" s="433"/>
      <c r="AD61" s="433"/>
      <c r="AE61" s="433"/>
      <c r="AF61" s="433"/>
      <c r="AG61" s="433"/>
      <c r="AH61" s="433"/>
      <c r="AI61" s="433"/>
      <c r="AJ61" s="433"/>
      <c r="AK61" s="433"/>
      <c r="AL61" s="433"/>
    </row>
    <row r="62" spans="2:38" ht="15" customHeight="1" thickBot="1" x14ac:dyDescent="0.35">
      <c r="B62" s="145"/>
      <c r="C62" s="155"/>
      <c r="D62" s="155"/>
      <c r="E62" s="221"/>
      <c r="F62" s="221"/>
      <c r="G62" s="221"/>
      <c r="H62" s="221"/>
      <c r="I62" s="221">
        <f>I54+(I33*Summary!C22)</f>
        <v>2452945.0290575484</v>
      </c>
      <c r="J62" s="221">
        <f>I54</f>
        <v>244129.94616660784</v>
      </c>
      <c r="K62" s="221">
        <f>J62</f>
        <v>244129.94616660784</v>
      </c>
      <c r="L62" s="221">
        <f t="shared" ref="L62:M62" si="50">K62</f>
        <v>244129.94616660784</v>
      </c>
      <c r="M62" s="247">
        <f t="shared" si="50"/>
        <v>244129.94616660784</v>
      </c>
      <c r="AC62" s="430"/>
      <c r="AD62" s="430"/>
      <c r="AE62" s="430"/>
      <c r="AF62" s="430"/>
      <c r="AG62" s="430"/>
      <c r="AH62" s="430"/>
      <c r="AI62" s="430"/>
      <c r="AJ62" s="430"/>
      <c r="AK62" s="430"/>
      <c r="AL62" s="430"/>
    </row>
    <row r="63" spans="2:38" ht="15" customHeight="1" thickBot="1" x14ac:dyDescent="0.35">
      <c r="B63" s="145"/>
      <c r="C63" s="155"/>
      <c r="D63" s="155"/>
      <c r="E63" s="221"/>
      <c r="F63" s="221"/>
      <c r="G63" s="221"/>
      <c r="H63" s="221"/>
      <c r="I63" s="221"/>
      <c r="J63" s="221">
        <f>J54+(J33*Summary!C22)</f>
        <v>2574730.4498280222</v>
      </c>
      <c r="K63" s="221">
        <f>J54</f>
        <v>229162.29616660785</v>
      </c>
      <c r="L63" s="221">
        <f>J54</f>
        <v>229162.29616660785</v>
      </c>
      <c r="M63" s="247">
        <f>L63</f>
        <v>229162.29616660785</v>
      </c>
      <c r="O63" s="512" t="s">
        <v>174</v>
      </c>
      <c r="P63" s="513"/>
      <c r="Q63" s="513"/>
      <c r="R63" s="513"/>
      <c r="S63" s="513"/>
      <c r="T63" s="513"/>
      <c r="U63" s="513"/>
      <c r="V63" s="513"/>
      <c r="W63" s="513"/>
      <c r="X63" s="513"/>
      <c r="Y63" s="514"/>
      <c r="AA63" s="431"/>
      <c r="AB63" s="432"/>
      <c r="AC63" s="433"/>
      <c r="AD63" s="433"/>
      <c r="AE63" s="433"/>
      <c r="AF63" s="433"/>
      <c r="AG63" s="433"/>
      <c r="AH63" s="433"/>
      <c r="AI63" s="433"/>
      <c r="AJ63" s="433"/>
      <c r="AK63" s="433"/>
      <c r="AL63" s="433"/>
    </row>
    <row r="64" spans="2:38" ht="13.5" thickBot="1" x14ac:dyDescent="0.35">
      <c r="B64" s="145"/>
      <c r="C64" s="155"/>
      <c r="D64" s="155"/>
      <c r="E64" s="221"/>
      <c r="F64" s="221"/>
      <c r="G64" s="221"/>
      <c r="H64" s="221"/>
      <c r="I64" s="221"/>
      <c r="J64" s="221"/>
      <c r="K64" s="221">
        <f>K54+(K33*Summary!C22)</f>
        <v>2727309.4620891646</v>
      </c>
      <c r="L64" s="221">
        <f>K54</f>
        <v>258351.54616660785</v>
      </c>
      <c r="M64" s="247">
        <f>L64</f>
        <v>258351.54616660785</v>
      </c>
      <c r="O64" s="3" t="s">
        <v>11</v>
      </c>
      <c r="P64" s="287" t="str">
        <f>P56</f>
        <v>Year 1</v>
      </c>
      <c r="Q64" s="287" t="str">
        <f t="shared" ref="Q64:Y64" si="51">Q56</f>
        <v>Year 2</v>
      </c>
      <c r="R64" s="287" t="str">
        <f t="shared" si="51"/>
        <v>Year 3</v>
      </c>
      <c r="S64" s="287" t="str">
        <f t="shared" si="51"/>
        <v>Year 4</v>
      </c>
      <c r="T64" s="287" t="str">
        <f t="shared" si="51"/>
        <v>Year 5</v>
      </c>
      <c r="U64" s="287" t="str">
        <f t="shared" si="51"/>
        <v>Year 6</v>
      </c>
      <c r="V64" s="287" t="str">
        <f t="shared" si="51"/>
        <v>Year 7</v>
      </c>
      <c r="W64" s="287" t="str">
        <f t="shared" si="51"/>
        <v>Year 8</v>
      </c>
      <c r="X64" s="287" t="str">
        <f t="shared" si="51"/>
        <v>Year 9</v>
      </c>
      <c r="Y64" s="288" t="str">
        <f t="shared" si="51"/>
        <v>Year 10</v>
      </c>
      <c r="AA64" s="431"/>
      <c r="AB64" s="432"/>
      <c r="AC64" s="433"/>
      <c r="AD64" s="433"/>
      <c r="AE64" s="433"/>
      <c r="AF64" s="433"/>
      <c r="AG64" s="433"/>
      <c r="AH64" s="433"/>
      <c r="AI64" s="433"/>
      <c r="AJ64" s="433"/>
      <c r="AK64" s="433"/>
      <c r="AL64" s="433"/>
    </row>
    <row r="65" spans="2:38" x14ac:dyDescent="0.3">
      <c r="B65" s="145"/>
      <c r="C65" s="155"/>
      <c r="D65" s="155"/>
      <c r="E65" s="221"/>
      <c r="F65" s="221"/>
      <c r="G65" s="221"/>
      <c r="H65" s="221"/>
      <c r="I65" s="221"/>
      <c r="J65" s="221"/>
      <c r="K65" s="221"/>
      <c r="L65" s="221">
        <f>L54+(L33*Summary!C22)</f>
        <v>2776199.6621541949</v>
      </c>
      <c r="M65" s="247">
        <f>L54</f>
        <v>238000.09616660787</v>
      </c>
      <c r="O65" s="291">
        <f>O33</f>
        <v>0.05</v>
      </c>
      <c r="P65" s="292">
        <f>IRR(($C54:C54,P57))</f>
        <v>-5.5134161891095435E-2</v>
      </c>
      <c r="Q65" s="292">
        <f>IRR(($C54:D54,Q57))</f>
        <v>0.12876293402411765</v>
      </c>
      <c r="R65" s="292">
        <f>IRR(($C54:E54,R57))</f>
        <v>0.17371154746865591</v>
      </c>
      <c r="S65" s="292">
        <f>IRR(($C54:F54,S57))</f>
        <v>0.16612041921452825</v>
      </c>
      <c r="T65" s="292">
        <f>IRR(($C54:G54,T57))</f>
        <v>0.16551430659046962</v>
      </c>
      <c r="U65" s="292">
        <f>IRR(($C54:H54,U57))</f>
        <v>0.15895381543756915</v>
      </c>
      <c r="V65" s="292">
        <f>IRR(($C54:I54,V57))</f>
        <v>0.1583671366394257</v>
      </c>
      <c r="W65" s="292">
        <f>IRR(($C54:J54,W57))</f>
        <v>0.15776833203656726</v>
      </c>
      <c r="X65" s="292">
        <f>IRR(($C54:K54,X57))</f>
        <v>0.15448561343094336</v>
      </c>
      <c r="Y65" s="293">
        <f>IRR(($C54:L54,Y57))</f>
        <v>0.15313073687633838</v>
      </c>
      <c r="AA65" s="431"/>
      <c r="AB65" s="432"/>
      <c r="AC65" s="433"/>
      <c r="AD65" s="433"/>
      <c r="AE65" s="433"/>
      <c r="AF65" s="433"/>
      <c r="AG65" s="433"/>
      <c r="AH65" s="433"/>
      <c r="AI65" s="433"/>
      <c r="AJ65" s="433"/>
      <c r="AK65" s="433"/>
      <c r="AL65" s="433"/>
    </row>
    <row r="66" spans="2:38" x14ac:dyDescent="0.3">
      <c r="B66" s="145"/>
      <c r="C66" s="155"/>
      <c r="D66" s="155"/>
      <c r="E66" s="221"/>
      <c r="F66" s="221"/>
      <c r="G66" s="221"/>
      <c r="H66" s="221"/>
      <c r="I66" s="221"/>
      <c r="J66" s="221"/>
      <c r="K66" s="221"/>
      <c r="L66" s="221"/>
      <c r="M66" s="247">
        <f>M54+(M33*Summary!C22)</f>
        <v>2899671.2114395485</v>
      </c>
      <c r="O66" s="289">
        <f>O34</f>
        <v>5.1247526448362724E-2</v>
      </c>
      <c r="P66" s="282">
        <f>IRR(($C54:C54,P58))</f>
        <v>-0.12070361783570338</v>
      </c>
      <c r="Q66" s="282">
        <f>IRR(($C54:D54,Q58))</f>
        <v>9.5496970070519716E-2</v>
      </c>
      <c r="R66" s="282">
        <f>IRR(($C54:E54,R58))</f>
        <v>0.153532486701492</v>
      </c>
      <c r="S66" s="282">
        <f>IRR(($C54:F54,S58))</f>
        <v>0.15210249435274936</v>
      </c>
      <c r="T66" s="282">
        <f>IRR(($C54:G54,T58))</f>
        <v>0.15520567554414288</v>
      </c>
      <c r="U66" s="282">
        <f>IRR(($C54:H54,U58))</f>
        <v>0.15095988449323205</v>
      </c>
      <c r="V66" s="282">
        <f>IRR(($C54:I54,V58))</f>
        <v>0.15201822631375794</v>
      </c>
      <c r="W66" s="282">
        <f>IRR(($C54:J54,W58))</f>
        <v>0.15263830852839111</v>
      </c>
      <c r="X66" s="282">
        <f>IRR(($C54:K54,X58))</f>
        <v>0.15022578905852835</v>
      </c>
      <c r="Y66" s="294">
        <f>IRR(($C54:L54,Y58))</f>
        <v>0.14956278644020626</v>
      </c>
      <c r="AC66" s="430"/>
      <c r="AD66" s="430"/>
      <c r="AE66" s="430"/>
      <c r="AF66" s="430"/>
      <c r="AG66" s="430"/>
      <c r="AH66" s="430"/>
      <c r="AI66" s="430"/>
      <c r="AJ66" s="430"/>
      <c r="AK66" s="430"/>
      <c r="AL66" s="430"/>
    </row>
    <row r="67" spans="2:38" x14ac:dyDescent="0.3">
      <c r="B67" s="145"/>
      <c r="C67" s="155"/>
      <c r="D67" s="155"/>
      <c r="E67" s="221"/>
      <c r="F67" s="221"/>
      <c r="G67" s="221"/>
      <c r="H67" s="221"/>
      <c r="I67" s="221"/>
      <c r="J67" s="221"/>
      <c r="K67" s="221"/>
      <c r="L67" s="221"/>
      <c r="M67" s="247"/>
      <c r="O67" s="289">
        <f>O35</f>
        <v>5.5E-2</v>
      </c>
      <c r="P67" s="282">
        <f>IRR(($C54:C54,P59))</f>
        <v>-0.30000216610245023</v>
      </c>
      <c r="Q67" s="282">
        <f>IRR(($C54:D54,Q59))</f>
        <v>-1.4328114257086133E-3</v>
      </c>
      <c r="R67" s="282">
        <f>IRR(($C54:E54,R59))</f>
        <v>9.4108922554509755E-2</v>
      </c>
      <c r="S67" s="282">
        <f>IRR(($C54:F54,S59))</f>
        <v>0.11063577359948629</v>
      </c>
      <c r="T67" s="282">
        <f>IRR(($C54:G54,T59))</f>
        <v>0.12473655045020005</v>
      </c>
      <c r="U67" s="282">
        <f>IRR(($C54:H54,U59))</f>
        <v>0.12735606754410833</v>
      </c>
      <c r="V67" s="282">
        <f>IRR(($C54:I54,V59))</f>
        <v>0.1333244384452732</v>
      </c>
      <c r="W67" s="282">
        <f>IRR(($C54:J54,W59))</f>
        <v>0.13758733420867553</v>
      </c>
      <c r="X67" s="282">
        <f>IRR(($C54:K54,X59))</f>
        <v>0.13776041331472033</v>
      </c>
      <c r="Y67" s="294">
        <f>IRR(($C54:L54,Y59))</f>
        <v>0.13915541643946505</v>
      </c>
      <c r="AA67" s="431"/>
      <c r="AB67" s="432"/>
      <c r="AC67" s="433"/>
      <c r="AD67" s="433"/>
      <c r="AE67" s="433"/>
      <c r="AF67" s="433"/>
      <c r="AG67" s="433"/>
      <c r="AH67" s="433"/>
      <c r="AI67" s="433"/>
      <c r="AJ67" s="433"/>
      <c r="AK67" s="433"/>
      <c r="AL67" s="433"/>
    </row>
    <row r="68" spans="2:38" x14ac:dyDescent="0.3">
      <c r="B68" s="125" t="s">
        <v>61</v>
      </c>
      <c r="C68" s="155"/>
      <c r="D68" s="127">
        <f t="shared" ref="D68:M68" si="52">IRR(D56:D66)</f>
        <v>-1.5393510731445126E-3</v>
      </c>
      <c r="E68" s="127">
        <f t="shared" si="52"/>
        <v>7.6547960905037904E-2</v>
      </c>
      <c r="F68" s="127">
        <f t="shared" si="52"/>
        <v>0.14146599065541432</v>
      </c>
      <c r="G68" s="127">
        <f t="shared" si="52"/>
        <v>0.14392279671484709</v>
      </c>
      <c r="H68" s="127">
        <f t="shared" si="52"/>
        <v>0.1489995728901099</v>
      </c>
      <c r="I68" s="127">
        <f t="shared" si="52"/>
        <v>0.14655575446991165</v>
      </c>
      <c r="J68" s="127">
        <f t="shared" si="52"/>
        <v>0.14849475931198097</v>
      </c>
      <c r="K68" s="127">
        <f t="shared" si="52"/>
        <v>0.14970609763163489</v>
      </c>
      <c r="L68" s="127">
        <f t="shared" si="52"/>
        <v>0.14787609108807764</v>
      </c>
      <c r="M68" s="138">
        <f t="shared" si="52"/>
        <v>0.14754039092428206</v>
      </c>
      <c r="O68" s="289">
        <f>O36</f>
        <v>5.7500000000000002E-2</v>
      </c>
      <c r="P68" s="282">
        <f>IRR(($C54:C54,P60))</f>
        <v>-0.40646651575956139</v>
      </c>
      <c r="Q68" s="282">
        <f>IRR(($C54:D54,Q60))</f>
        <v>-6.4015582925774139E-2</v>
      </c>
      <c r="R68" s="282">
        <f>IRR(($C54:E54,R60))</f>
        <v>5.5268166045398637E-2</v>
      </c>
      <c r="S68" s="282">
        <f>IRR(($C54:F54,S60))</f>
        <v>8.3390962005980507E-2</v>
      </c>
      <c r="T68" s="282">
        <f>IRR(($C54:G54,T60))</f>
        <v>0.10475331074415828</v>
      </c>
      <c r="U68" s="282">
        <f>IRR(($C54:H54,U60))</f>
        <v>0.1119023160517747</v>
      </c>
      <c r="V68" s="282">
        <f>IRR(($C54:I54,V60))</f>
        <v>0.12113527870615748</v>
      </c>
      <c r="W68" s="282">
        <f>IRR(($C54:J54,W60))</f>
        <v>0.12782243839176188</v>
      </c>
      <c r="X68" s="282">
        <f>IRR(($C54:K54,X60))</f>
        <v>0.12970202402621167</v>
      </c>
      <c r="Y68" s="294">
        <f>IRR(($C54:L54,Y60))</f>
        <v>0.13245663106168926</v>
      </c>
      <c r="AA68" s="431"/>
      <c r="AB68" s="432"/>
      <c r="AC68" s="433"/>
      <c r="AD68" s="433"/>
      <c r="AE68" s="433"/>
      <c r="AF68" s="433"/>
      <c r="AG68" s="433"/>
      <c r="AH68" s="433"/>
      <c r="AI68" s="433"/>
      <c r="AJ68" s="433"/>
      <c r="AK68" s="433"/>
      <c r="AL68" s="433"/>
    </row>
    <row r="69" spans="2:38" ht="13.5" thickBot="1" x14ac:dyDescent="0.35">
      <c r="B69" s="252" t="s">
        <v>167</v>
      </c>
      <c r="C69" s="231"/>
      <c r="D69" s="200">
        <f>(SUM(D57:D66)-SUM($D$53:D53))/-D56</f>
        <v>0.94846064892685567</v>
      </c>
      <c r="E69" s="200">
        <f>(SUM(E57:E66)-SUM($D$53:E53))/-E56</f>
        <v>1.050653070615007</v>
      </c>
      <c r="F69" s="200">
        <f>(SUM(F57:F66)-SUM($D$53:F53))/-F56</f>
        <v>1.2877882834356249</v>
      </c>
      <c r="G69" s="200">
        <f>(SUM(G57:G66)-SUM($D$53:G53))/-G56</f>
        <v>1.4040363939824749</v>
      </c>
      <c r="H69" s="200">
        <f>(SUM(H57:H66)-SUM($D$53:H53))/-H56</f>
        <v>1.5528423748877993</v>
      </c>
      <c r="I69" s="200">
        <f>(SUM(I57:I66)-SUM($D$53:I53))/-I56</f>
        <v>1.6580680027012495</v>
      </c>
      <c r="J69" s="200">
        <f>(SUM(J57:J66)-SUM($D$53:J53))/-J56</f>
        <v>1.809604015821346</v>
      </c>
      <c r="K69" s="200">
        <f>(SUM(K57:K66)-SUM($D$53:K53))/-K56</f>
        <v>1.9698565176164029</v>
      </c>
      <c r="L69" s="200">
        <f>(SUM(L57:L66)-SUM($D$53:L53))/-L56</f>
        <v>2.0890767313447536</v>
      </c>
      <c r="M69" s="201">
        <f>(SUM(M57:M66)-SUM($D$53:M53))/-M56</f>
        <v>2.2381652661885925</v>
      </c>
      <c r="O69" s="290">
        <f>O37</f>
        <v>0.06</v>
      </c>
      <c r="P69" s="295">
        <f>IRR(($C54:C54,P61))</f>
        <v>-0.50405883627857961</v>
      </c>
      <c r="Q69" s="295">
        <f>IRR(($C54:D54,Q61))</f>
        <v>-0.12556730243389425</v>
      </c>
      <c r="R69" s="295">
        <f>IRR(($C54:E54,R61))</f>
        <v>1.6737500479155232E-2</v>
      </c>
      <c r="S69" s="295">
        <f>IRR(($C54:F54,S61))</f>
        <v>5.6264981864780017E-2</v>
      </c>
      <c r="T69" s="295">
        <f>IRR(($C54:G54,T61))</f>
        <v>8.4902165825453624E-2</v>
      </c>
      <c r="U69" s="295">
        <f>IRR(($C54:H54,U61))</f>
        <v>9.6579729555526628E-2</v>
      </c>
      <c r="V69" s="295">
        <f>IRR(($C54:I54,V61))</f>
        <v>0.10909597895282541</v>
      </c>
      <c r="W69" s="295">
        <f>IRR(($C54:J54,W61))</f>
        <v>0.11822118650137203</v>
      </c>
      <c r="X69" s="295">
        <f>IRR(($C54:K54,X61))</f>
        <v>0.1218039220534628</v>
      </c>
      <c r="Y69" s="296">
        <f>IRR(($C54:L54,Y61))</f>
        <v>0.12591591168781879</v>
      </c>
      <c r="AA69" s="431"/>
      <c r="AB69" s="432"/>
      <c r="AC69" s="433"/>
      <c r="AD69" s="433"/>
      <c r="AE69" s="433"/>
      <c r="AF69" s="433"/>
      <c r="AG69" s="433"/>
      <c r="AH69" s="433"/>
      <c r="AI69" s="433"/>
      <c r="AJ69" s="433"/>
      <c r="AK69" s="433"/>
      <c r="AL69" s="433"/>
    </row>
    <row r="70" spans="2:38" x14ac:dyDescent="0.3">
      <c r="AC70" s="430"/>
      <c r="AD70" s="430"/>
      <c r="AE70" s="430"/>
      <c r="AF70" s="430"/>
      <c r="AG70" s="430"/>
      <c r="AH70" s="430"/>
      <c r="AI70" s="430"/>
      <c r="AJ70" s="430"/>
      <c r="AK70" s="430"/>
      <c r="AL70" s="430"/>
    </row>
    <row r="71" spans="2:38" x14ac:dyDescent="0.3">
      <c r="G71" s="306"/>
      <c r="AA71" s="431"/>
      <c r="AB71" s="432"/>
      <c r="AC71" s="433"/>
      <c r="AD71" s="433"/>
      <c r="AE71" s="433"/>
      <c r="AF71" s="433"/>
      <c r="AG71" s="433"/>
      <c r="AH71" s="433"/>
      <c r="AI71" s="433"/>
      <c r="AJ71" s="433"/>
      <c r="AK71" s="433"/>
      <c r="AL71" s="433"/>
    </row>
    <row r="72" spans="2:38" x14ac:dyDescent="0.3">
      <c r="E72" s="117"/>
      <c r="AA72" s="431"/>
      <c r="AB72" s="432"/>
      <c r="AC72" s="433"/>
      <c r="AD72" s="433"/>
      <c r="AE72" s="433"/>
      <c r="AF72" s="433"/>
      <c r="AG72" s="433"/>
      <c r="AH72" s="433"/>
      <c r="AI72" s="433"/>
      <c r="AJ72" s="433"/>
      <c r="AK72" s="433"/>
      <c r="AL72" s="433"/>
    </row>
    <row r="73" spans="2:38" x14ac:dyDescent="0.3">
      <c r="AA73" s="431"/>
      <c r="AB73" s="432"/>
      <c r="AC73" s="433"/>
      <c r="AD73" s="433"/>
      <c r="AE73" s="433"/>
      <c r="AF73" s="433"/>
      <c r="AG73" s="433"/>
      <c r="AH73" s="433"/>
      <c r="AI73" s="433"/>
      <c r="AJ73" s="433"/>
      <c r="AK73" s="433"/>
      <c r="AL73" s="433"/>
    </row>
    <row r="74" spans="2:38" x14ac:dyDescent="0.3">
      <c r="N74" s="117"/>
      <c r="AC74" s="430"/>
      <c r="AD74" s="430"/>
      <c r="AE74" s="430"/>
      <c r="AF74" s="430"/>
      <c r="AG74" s="430"/>
      <c r="AH74" s="430"/>
      <c r="AI74" s="430"/>
      <c r="AJ74" s="430"/>
      <c r="AK74" s="430"/>
      <c r="AL74" s="430"/>
    </row>
    <row r="75" spans="2:38" x14ac:dyDescent="0.3">
      <c r="AA75" s="431"/>
      <c r="AB75" s="432"/>
      <c r="AC75" s="433"/>
      <c r="AD75" s="433"/>
      <c r="AE75" s="433"/>
      <c r="AF75" s="433"/>
      <c r="AG75" s="433"/>
      <c r="AH75" s="433"/>
      <c r="AI75" s="433"/>
      <c r="AJ75" s="433"/>
      <c r="AK75" s="433"/>
      <c r="AL75" s="433"/>
    </row>
    <row r="76" spans="2:38" x14ac:dyDescent="0.3">
      <c r="AA76" s="431"/>
      <c r="AB76" s="432"/>
      <c r="AC76" s="433"/>
      <c r="AD76" s="433"/>
      <c r="AE76" s="433"/>
      <c r="AF76" s="433"/>
      <c r="AG76" s="433"/>
      <c r="AH76" s="433"/>
      <c r="AI76" s="433"/>
      <c r="AJ76" s="433"/>
      <c r="AK76" s="433"/>
      <c r="AL76" s="433"/>
    </row>
    <row r="77" spans="2:38" x14ac:dyDescent="0.3">
      <c r="AA77" s="431"/>
      <c r="AB77" s="432"/>
      <c r="AC77" s="433"/>
      <c r="AD77" s="433"/>
      <c r="AE77" s="433"/>
      <c r="AF77" s="433"/>
      <c r="AG77" s="433"/>
      <c r="AH77" s="433"/>
      <c r="AI77" s="433"/>
      <c r="AJ77" s="433"/>
      <c r="AK77" s="433"/>
      <c r="AL77" s="433"/>
    </row>
    <row r="78" spans="2:38" x14ac:dyDescent="0.3">
      <c r="AC78" s="430"/>
      <c r="AD78" s="430"/>
      <c r="AE78" s="430"/>
      <c r="AF78" s="430"/>
      <c r="AG78" s="430"/>
      <c r="AH78" s="430"/>
      <c r="AI78" s="430"/>
      <c r="AJ78" s="430"/>
      <c r="AK78" s="430"/>
      <c r="AL78" s="430"/>
    </row>
    <row r="79" spans="2:38" x14ac:dyDescent="0.3">
      <c r="AA79" s="431"/>
      <c r="AB79" s="432"/>
      <c r="AC79" s="433"/>
      <c r="AD79" s="433"/>
      <c r="AE79" s="433"/>
      <c r="AF79" s="433"/>
      <c r="AG79" s="433"/>
      <c r="AH79" s="433"/>
      <c r="AI79" s="433"/>
      <c r="AJ79" s="433"/>
      <c r="AK79" s="433"/>
      <c r="AL79" s="433"/>
    </row>
    <row r="80" spans="2:38" x14ac:dyDescent="0.3">
      <c r="AA80" s="431"/>
      <c r="AB80" s="432"/>
      <c r="AC80" s="433"/>
      <c r="AD80" s="433"/>
      <c r="AE80" s="433"/>
      <c r="AF80" s="433"/>
      <c r="AG80" s="433"/>
      <c r="AH80" s="433"/>
      <c r="AI80" s="433"/>
      <c r="AJ80" s="433"/>
      <c r="AK80" s="433"/>
      <c r="AL80" s="433"/>
    </row>
    <row r="81" spans="14:38" x14ac:dyDescent="0.3">
      <c r="AA81" s="431"/>
      <c r="AB81" s="432"/>
      <c r="AC81" s="433"/>
      <c r="AD81" s="433"/>
      <c r="AE81" s="433"/>
      <c r="AF81" s="433"/>
      <c r="AG81" s="433"/>
      <c r="AH81" s="433"/>
      <c r="AI81" s="433"/>
      <c r="AJ81" s="433"/>
      <c r="AK81" s="433"/>
      <c r="AL81" s="433"/>
    </row>
    <row r="82" spans="14:38" x14ac:dyDescent="0.3">
      <c r="N82" s="282"/>
      <c r="AC82" s="430"/>
      <c r="AD82" s="430"/>
      <c r="AE82" s="430"/>
      <c r="AF82" s="430"/>
      <c r="AG82" s="430"/>
      <c r="AH82" s="430"/>
      <c r="AI82" s="430"/>
      <c r="AJ82" s="430"/>
      <c r="AK82" s="430"/>
      <c r="AL82" s="430"/>
    </row>
    <row r="83" spans="14:38" ht="15" customHeight="1" x14ac:dyDescent="0.3">
      <c r="AA83" s="431"/>
      <c r="AB83" s="432"/>
      <c r="AC83" s="433"/>
      <c r="AD83" s="433"/>
      <c r="AE83" s="433"/>
      <c r="AF83" s="433"/>
      <c r="AG83" s="433"/>
      <c r="AH83" s="433"/>
      <c r="AI83" s="433"/>
      <c r="AJ83" s="433"/>
      <c r="AK83" s="433"/>
      <c r="AL83" s="433"/>
    </row>
    <row r="84" spans="14:38" ht="15" customHeight="1" x14ac:dyDescent="0.3">
      <c r="AA84" s="431"/>
      <c r="AB84" s="432"/>
      <c r="AC84" s="433"/>
      <c r="AD84" s="433"/>
      <c r="AE84" s="433"/>
      <c r="AF84" s="433"/>
      <c r="AG84" s="433"/>
      <c r="AH84" s="433"/>
      <c r="AI84" s="433"/>
      <c r="AJ84" s="433"/>
      <c r="AK84" s="433"/>
      <c r="AL84" s="433"/>
    </row>
    <row r="85" spans="14:38" ht="14.5" customHeight="1" x14ac:dyDescent="0.3">
      <c r="AA85" s="431"/>
      <c r="AB85" s="432"/>
      <c r="AC85" s="433"/>
      <c r="AD85" s="433"/>
      <c r="AE85" s="433"/>
      <c r="AF85" s="433"/>
      <c r="AG85" s="433"/>
      <c r="AH85" s="433"/>
      <c r="AI85" s="433"/>
      <c r="AJ85" s="433"/>
      <c r="AK85" s="433"/>
      <c r="AL85" s="433"/>
    </row>
    <row r="86" spans="14:38" ht="14.5" customHeight="1" x14ac:dyDescent="0.3">
      <c r="AC86" s="430"/>
      <c r="AD86" s="430"/>
      <c r="AE86" s="430"/>
      <c r="AF86" s="430"/>
      <c r="AG86" s="430"/>
      <c r="AH86" s="430"/>
      <c r="AI86" s="430"/>
      <c r="AJ86" s="430"/>
      <c r="AK86" s="430"/>
      <c r="AL86" s="430"/>
    </row>
    <row r="87" spans="14:38" ht="14.5" customHeight="1" x14ac:dyDescent="0.3">
      <c r="AA87" s="431"/>
      <c r="AB87" s="432"/>
      <c r="AC87" s="433"/>
      <c r="AD87" s="433"/>
      <c r="AE87" s="433"/>
      <c r="AF87" s="433"/>
      <c r="AG87" s="433"/>
      <c r="AH87" s="433"/>
      <c r="AI87" s="433"/>
      <c r="AJ87" s="433"/>
      <c r="AK87" s="433"/>
      <c r="AL87" s="433"/>
    </row>
    <row r="88" spans="14:38" ht="14.5" customHeight="1" x14ac:dyDescent="0.3">
      <c r="AA88" s="431"/>
      <c r="AB88" s="432"/>
      <c r="AC88" s="433"/>
      <c r="AD88" s="433"/>
      <c r="AE88" s="433"/>
      <c r="AF88" s="433"/>
      <c r="AG88" s="433"/>
      <c r="AH88" s="433"/>
      <c r="AI88" s="433"/>
      <c r="AJ88" s="433"/>
      <c r="AK88" s="433"/>
      <c r="AL88" s="433"/>
    </row>
    <row r="89" spans="14:38" ht="15" customHeight="1" x14ac:dyDescent="0.3">
      <c r="AA89" s="431"/>
      <c r="AB89" s="432"/>
      <c r="AC89" s="433"/>
      <c r="AD89" s="433"/>
      <c r="AE89" s="433"/>
      <c r="AF89" s="433"/>
      <c r="AG89" s="433"/>
      <c r="AH89" s="433"/>
      <c r="AI89" s="433"/>
      <c r="AJ89" s="433"/>
      <c r="AK89" s="433"/>
      <c r="AL89" s="433"/>
    </row>
    <row r="90" spans="14:38" x14ac:dyDescent="0.3">
      <c r="AC90" s="430"/>
      <c r="AD90" s="430"/>
      <c r="AE90" s="430"/>
      <c r="AF90" s="430"/>
      <c r="AG90" s="430"/>
      <c r="AH90" s="430"/>
      <c r="AI90" s="430"/>
      <c r="AJ90" s="430"/>
      <c r="AK90" s="430"/>
      <c r="AL90" s="430"/>
    </row>
    <row r="91" spans="14:38" x14ac:dyDescent="0.3">
      <c r="AA91" s="431"/>
      <c r="AB91" s="432"/>
      <c r="AC91" s="433"/>
      <c r="AD91" s="433"/>
      <c r="AE91" s="433"/>
      <c r="AF91" s="433"/>
      <c r="AG91" s="433"/>
      <c r="AH91" s="433"/>
      <c r="AI91" s="433"/>
      <c r="AJ91" s="433"/>
      <c r="AK91" s="433"/>
      <c r="AL91" s="433"/>
    </row>
    <row r="92" spans="14:38" x14ac:dyDescent="0.3">
      <c r="AA92" s="431"/>
      <c r="AB92" s="432"/>
      <c r="AC92" s="433"/>
      <c r="AD92" s="433"/>
      <c r="AE92" s="433"/>
      <c r="AF92" s="433"/>
      <c r="AG92" s="433"/>
      <c r="AH92" s="433"/>
      <c r="AI92" s="433"/>
      <c r="AJ92" s="433"/>
      <c r="AK92" s="433"/>
      <c r="AL92" s="433"/>
    </row>
    <row r="93" spans="14:38" x14ac:dyDescent="0.3">
      <c r="AA93" s="431"/>
      <c r="AB93" s="432"/>
      <c r="AC93" s="433"/>
      <c r="AD93" s="433"/>
      <c r="AE93" s="433"/>
      <c r="AF93" s="433"/>
      <c r="AG93" s="433"/>
      <c r="AH93" s="433"/>
      <c r="AI93" s="433"/>
      <c r="AJ93" s="433"/>
      <c r="AK93" s="433"/>
      <c r="AL93" s="433"/>
    </row>
    <row r="94" spans="14:38" x14ac:dyDescent="0.3">
      <c r="AC94" s="430"/>
      <c r="AD94" s="430"/>
      <c r="AE94" s="430"/>
      <c r="AF94" s="430"/>
      <c r="AG94" s="430"/>
      <c r="AH94" s="430"/>
      <c r="AI94" s="430"/>
      <c r="AJ94" s="430"/>
      <c r="AK94" s="430"/>
      <c r="AL94" s="430"/>
    </row>
    <row r="95" spans="14:38" x14ac:dyDescent="0.3">
      <c r="AA95" s="431"/>
      <c r="AB95" s="432"/>
      <c r="AC95" s="433"/>
      <c r="AD95" s="433"/>
      <c r="AE95" s="433"/>
      <c r="AF95" s="433"/>
      <c r="AG95" s="433"/>
      <c r="AH95" s="433"/>
      <c r="AI95" s="433"/>
      <c r="AJ95" s="433"/>
      <c r="AK95" s="433"/>
      <c r="AL95" s="433"/>
    </row>
    <row r="96" spans="14:38" x14ac:dyDescent="0.3">
      <c r="AA96" s="431"/>
      <c r="AB96" s="432"/>
      <c r="AC96" s="433"/>
      <c r="AD96" s="433"/>
      <c r="AE96" s="433"/>
      <c r="AF96" s="433"/>
      <c r="AG96" s="433"/>
      <c r="AH96" s="433"/>
      <c r="AI96" s="433"/>
      <c r="AJ96" s="433"/>
      <c r="AK96" s="433"/>
      <c r="AL96" s="433"/>
    </row>
    <row r="97" spans="27:38" x14ac:dyDescent="0.3">
      <c r="AA97" s="431"/>
      <c r="AB97" s="432"/>
      <c r="AC97" s="433"/>
      <c r="AD97" s="433"/>
      <c r="AE97" s="433"/>
      <c r="AF97" s="433"/>
      <c r="AG97" s="433"/>
      <c r="AH97" s="433"/>
      <c r="AI97" s="433"/>
      <c r="AJ97" s="433"/>
      <c r="AK97" s="433"/>
      <c r="AL97" s="433"/>
    </row>
    <row r="98" spans="27:38" x14ac:dyDescent="0.3">
      <c r="AC98" s="430"/>
      <c r="AD98" s="430"/>
      <c r="AE98" s="430"/>
      <c r="AF98" s="430"/>
      <c r="AG98" s="430"/>
      <c r="AH98" s="430"/>
      <c r="AI98" s="430"/>
      <c r="AJ98" s="430"/>
      <c r="AK98" s="430"/>
      <c r="AL98" s="430"/>
    </row>
    <row r="99" spans="27:38" x14ac:dyDescent="0.3">
      <c r="AA99" s="431"/>
      <c r="AB99" s="432"/>
      <c r="AC99" s="433"/>
      <c r="AD99" s="433"/>
      <c r="AE99" s="433"/>
      <c r="AF99" s="433"/>
      <c r="AG99" s="433"/>
      <c r="AH99" s="433"/>
      <c r="AI99" s="433"/>
      <c r="AJ99" s="433"/>
      <c r="AK99" s="433"/>
      <c r="AL99" s="433"/>
    </row>
    <row r="100" spans="27:38" x14ac:dyDescent="0.3">
      <c r="AA100" s="431"/>
      <c r="AB100" s="432"/>
      <c r="AC100" s="433"/>
      <c r="AD100" s="433"/>
      <c r="AE100" s="433"/>
      <c r="AF100" s="433"/>
      <c r="AG100" s="433"/>
      <c r="AH100" s="433"/>
      <c r="AI100" s="433"/>
      <c r="AJ100" s="433"/>
      <c r="AK100" s="433"/>
      <c r="AL100" s="433"/>
    </row>
    <row r="101" spans="27:38" x14ac:dyDescent="0.3">
      <c r="AA101" s="431"/>
      <c r="AB101" s="432"/>
      <c r="AC101" s="433"/>
      <c r="AD101" s="433"/>
      <c r="AE101" s="433"/>
      <c r="AF101" s="433"/>
      <c r="AG101" s="433"/>
      <c r="AH101" s="433"/>
      <c r="AI101" s="433"/>
      <c r="AJ101" s="433"/>
      <c r="AK101" s="433"/>
      <c r="AL101" s="433"/>
    </row>
    <row r="102" spans="27:38" x14ac:dyDescent="0.3">
      <c r="AC102" s="430"/>
      <c r="AD102" s="430"/>
      <c r="AE102" s="430"/>
      <c r="AF102" s="430"/>
      <c r="AG102" s="430"/>
      <c r="AH102" s="430"/>
      <c r="AI102" s="430"/>
      <c r="AJ102" s="430"/>
      <c r="AK102" s="430"/>
      <c r="AL102" s="430"/>
    </row>
    <row r="103" spans="27:38" x14ac:dyDescent="0.3">
      <c r="AA103" s="431"/>
      <c r="AB103" s="432"/>
      <c r="AC103" s="433"/>
      <c r="AD103" s="433"/>
      <c r="AE103" s="433"/>
      <c r="AF103" s="433"/>
      <c r="AG103" s="433"/>
      <c r="AH103" s="433"/>
      <c r="AI103" s="433"/>
      <c r="AJ103" s="433"/>
      <c r="AK103" s="433"/>
      <c r="AL103" s="433"/>
    </row>
    <row r="104" spans="27:38" x14ac:dyDescent="0.3">
      <c r="AA104" s="431"/>
      <c r="AB104" s="432"/>
      <c r="AC104" s="433"/>
      <c r="AD104" s="433"/>
      <c r="AE104" s="433"/>
      <c r="AF104" s="433"/>
      <c r="AG104" s="433"/>
      <c r="AH104" s="433"/>
      <c r="AI104" s="433"/>
      <c r="AJ104" s="433"/>
      <c r="AK104" s="433"/>
      <c r="AL104" s="433"/>
    </row>
    <row r="105" spans="27:38" x14ac:dyDescent="0.3">
      <c r="AA105" s="431"/>
      <c r="AB105" s="432"/>
      <c r="AC105" s="433"/>
      <c r="AD105" s="433"/>
      <c r="AE105" s="433"/>
      <c r="AF105" s="433"/>
      <c r="AG105" s="433"/>
      <c r="AH105" s="433"/>
      <c r="AI105" s="433"/>
      <c r="AJ105" s="433"/>
      <c r="AK105" s="433"/>
      <c r="AL105" s="433"/>
    </row>
    <row r="106" spans="27:38" x14ac:dyDescent="0.3">
      <c r="AC106" s="430"/>
      <c r="AD106" s="430"/>
      <c r="AE106" s="430"/>
      <c r="AF106" s="430"/>
      <c r="AG106" s="430"/>
      <c r="AH106" s="430"/>
      <c r="AI106" s="430"/>
      <c r="AJ106" s="430"/>
      <c r="AK106" s="430"/>
      <c r="AL106" s="430"/>
    </row>
    <row r="107" spans="27:38" x14ac:dyDescent="0.3">
      <c r="AA107" s="431"/>
      <c r="AB107" s="432"/>
      <c r="AC107" s="433"/>
      <c r="AD107" s="433"/>
      <c r="AE107" s="433"/>
      <c r="AF107" s="433"/>
      <c r="AG107" s="433"/>
      <c r="AH107" s="433"/>
      <c r="AI107" s="433"/>
      <c r="AJ107" s="433"/>
      <c r="AK107" s="433"/>
      <c r="AL107" s="433"/>
    </row>
    <row r="108" spans="27:38" x14ac:dyDescent="0.3">
      <c r="AA108" s="431"/>
      <c r="AB108" s="432"/>
      <c r="AC108" s="433"/>
      <c r="AD108" s="433"/>
      <c r="AE108" s="433"/>
      <c r="AF108" s="433"/>
      <c r="AG108" s="433"/>
      <c r="AH108" s="433"/>
      <c r="AI108" s="433"/>
      <c r="AJ108" s="433"/>
      <c r="AK108" s="433"/>
      <c r="AL108" s="433"/>
    </row>
    <row r="109" spans="27:38" x14ac:dyDescent="0.3">
      <c r="AA109" s="431"/>
      <c r="AB109" s="432"/>
      <c r="AC109" s="433"/>
      <c r="AD109" s="433"/>
      <c r="AE109" s="433"/>
      <c r="AF109" s="433"/>
      <c r="AG109" s="433"/>
      <c r="AH109" s="433"/>
      <c r="AI109" s="433"/>
      <c r="AJ109" s="433"/>
      <c r="AK109" s="433"/>
      <c r="AL109" s="433"/>
    </row>
    <row r="110" spans="27:38" x14ac:dyDescent="0.3">
      <c r="AC110" s="430"/>
      <c r="AD110" s="430"/>
      <c r="AE110" s="430"/>
      <c r="AF110" s="430"/>
      <c r="AG110" s="430"/>
      <c r="AH110" s="430"/>
      <c r="AI110" s="430"/>
      <c r="AJ110" s="430"/>
      <c r="AK110" s="430"/>
      <c r="AL110" s="430"/>
    </row>
    <row r="111" spans="27:38" x14ac:dyDescent="0.3">
      <c r="AA111" s="431"/>
      <c r="AB111" s="432"/>
      <c r="AC111" s="433"/>
      <c r="AD111" s="433"/>
      <c r="AE111" s="433"/>
      <c r="AF111" s="433"/>
      <c r="AG111" s="433"/>
      <c r="AH111" s="433"/>
      <c r="AI111" s="433"/>
      <c r="AJ111" s="433"/>
      <c r="AK111" s="433"/>
      <c r="AL111" s="433"/>
    </row>
    <row r="112" spans="27:38" x14ac:dyDescent="0.3">
      <c r="AA112" s="431"/>
      <c r="AB112" s="432"/>
      <c r="AC112" s="433"/>
      <c r="AD112" s="433"/>
      <c r="AE112" s="433"/>
      <c r="AF112" s="433"/>
      <c r="AG112" s="433"/>
      <c r="AH112" s="433"/>
      <c r="AI112" s="433"/>
      <c r="AJ112" s="433"/>
      <c r="AK112" s="433"/>
      <c r="AL112" s="433"/>
    </row>
    <row r="113" spans="27:38" x14ac:dyDescent="0.3">
      <c r="AA113" s="431"/>
      <c r="AB113" s="432"/>
      <c r="AC113" s="433"/>
      <c r="AD113" s="433"/>
      <c r="AE113" s="433"/>
      <c r="AF113" s="433"/>
      <c r="AG113" s="433"/>
      <c r="AH113" s="433"/>
      <c r="AI113" s="433"/>
      <c r="AJ113" s="433"/>
      <c r="AK113" s="433"/>
      <c r="AL113" s="433"/>
    </row>
    <row r="114" spans="27:38" x14ac:dyDescent="0.3">
      <c r="AC114" s="430"/>
      <c r="AD114" s="430"/>
      <c r="AE114" s="430"/>
      <c r="AF114" s="430"/>
      <c r="AG114" s="430"/>
      <c r="AH114" s="430"/>
      <c r="AI114" s="430"/>
      <c r="AJ114" s="430"/>
      <c r="AK114" s="430"/>
      <c r="AL114" s="430"/>
    </row>
    <row r="115" spans="27:38" x14ac:dyDescent="0.3">
      <c r="AA115" s="431"/>
      <c r="AB115" s="432"/>
      <c r="AC115" s="433"/>
      <c r="AD115" s="433"/>
      <c r="AE115" s="433"/>
      <c r="AF115" s="433"/>
      <c r="AG115" s="433"/>
      <c r="AH115" s="433"/>
      <c r="AI115" s="433"/>
      <c r="AJ115" s="433"/>
      <c r="AK115" s="433"/>
      <c r="AL115" s="433"/>
    </row>
    <row r="116" spans="27:38" x14ac:dyDescent="0.3">
      <c r="AA116" s="431"/>
      <c r="AB116" s="432"/>
      <c r="AC116" s="433"/>
      <c r="AD116" s="433"/>
      <c r="AE116" s="433"/>
      <c r="AF116" s="433"/>
      <c r="AG116" s="433"/>
      <c r="AH116" s="433"/>
      <c r="AI116" s="433"/>
      <c r="AJ116" s="433"/>
      <c r="AK116" s="433"/>
      <c r="AL116" s="433"/>
    </row>
    <row r="117" spans="27:38" x14ac:dyDescent="0.3">
      <c r="AA117" s="431"/>
      <c r="AB117" s="432"/>
      <c r="AC117" s="433"/>
      <c r="AD117" s="433"/>
      <c r="AE117" s="433"/>
      <c r="AF117" s="433"/>
      <c r="AG117" s="433"/>
      <c r="AH117" s="433"/>
      <c r="AI117" s="433"/>
      <c r="AJ117" s="433"/>
      <c r="AK117" s="433"/>
      <c r="AL117" s="433"/>
    </row>
    <row r="118" spans="27:38" x14ac:dyDescent="0.3">
      <c r="AC118" s="430"/>
      <c r="AD118" s="430"/>
      <c r="AE118" s="430"/>
      <c r="AF118" s="430"/>
      <c r="AG118" s="430"/>
      <c r="AH118" s="430"/>
      <c r="AI118" s="430"/>
      <c r="AJ118" s="430"/>
      <c r="AK118" s="430"/>
      <c r="AL118" s="430"/>
    </row>
    <row r="119" spans="27:38" x14ac:dyDescent="0.3">
      <c r="AA119" s="431"/>
      <c r="AB119" s="432"/>
      <c r="AC119" s="433"/>
      <c r="AD119" s="433"/>
      <c r="AE119" s="433"/>
      <c r="AF119" s="433"/>
      <c r="AG119" s="433"/>
      <c r="AH119" s="433"/>
      <c r="AI119" s="433"/>
      <c r="AJ119" s="433"/>
      <c r="AK119" s="433"/>
      <c r="AL119" s="433"/>
    </row>
    <row r="120" spans="27:38" x14ac:dyDescent="0.3">
      <c r="AA120" s="431"/>
      <c r="AB120" s="432"/>
      <c r="AC120" s="433"/>
      <c r="AD120" s="433"/>
      <c r="AE120" s="433"/>
      <c r="AF120" s="433"/>
      <c r="AG120" s="433"/>
      <c r="AH120" s="433"/>
      <c r="AI120" s="433"/>
      <c r="AJ120" s="433"/>
      <c r="AK120" s="433"/>
      <c r="AL120" s="433"/>
    </row>
    <row r="121" spans="27:38" x14ac:dyDescent="0.3">
      <c r="AA121" s="431"/>
      <c r="AB121" s="432"/>
      <c r="AC121" s="433"/>
      <c r="AD121" s="433"/>
      <c r="AE121" s="433"/>
      <c r="AF121" s="433"/>
      <c r="AG121" s="433"/>
      <c r="AH121" s="433"/>
      <c r="AI121" s="433"/>
      <c r="AJ121" s="433"/>
      <c r="AK121" s="433"/>
      <c r="AL121" s="433"/>
    </row>
    <row r="122" spans="27:38" x14ac:dyDescent="0.3">
      <c r="AC122" s="430"/>
      <c r="AD122" s="430"/>
      <c r="AE122" s="430"/>
      <c r="AF122" s="430"/>
      <c r="AG122" s="430"/>
      <c r="AH122" s="430"/>
      <c r="AI122" s="430"/>
      <c r="AJ122" s="430"/>
      <c r="AK122" s="430"/>
      <c r="AL122" s="430"/>
    </row>
    <row r="123" spans="27:38" x14ac:dyDescent="0.3">
      <c r="AA123" s="431"/>
      <c r="AB123" s="432"/>
      <c r="AC123" s="433"/>
      <c r="AD123" s="433"/>
      <c r="AE123" s="433"/>
      <c r="AF123" s="433"/>
      <c r="AG123" s="433"/>
      <c r="AH123" s="433"/>
      <c r="AI123" s="433"/>
      <c r="AJ123" s="433"/>
      <c r="AK123" s="433"/>
      <c r="AL123" s="433"/>
    </row>
    <row r="124" spans="27:38" x14ac:dyDescent="0.3">
      <c r="AA124" s="431"/>
      <c r="AB124" s="432"/>
      <c r="AC124" s="433"/>
      <c r="AD124" s="433"/>
      <c r="AE124" s="433"/>
      <c r="AF124" s="433"/>
      <c r="AG124" s="433"/>
      <c r="AH124" s="433"/>
      <c r="AI124" s="433"/>
      <c r="AJ124" s="433"/>
      <c r="AK124" s="433"/>
      <c r="AL124" s="433"/>
    </row>
    <row r="125" spans="27:38" x14ac:dyDescent="0.3">
      <c r="AA125" s="431"/>
      <c r="AB125" s="432"/>
      <c r="AC125" s="433"/>
      <c r="AD125" s="433"/>
      <c r="AE125" s="433"/>
      <c r="AF125" s="433"/>
      <c r="AG125" s="433"/>
      <c r="AH125" s="433"/>
      <c r="AI125" s="433"/>
      <c r="AJ125" s="433"/>
      <c r="AK125" s="433"/>
      <c r="AL125" s="433"/>
    </row>
    <row r="126" spans="27:38" x14ac:dyDescent="0.3">
      <c r="AC126" s="430"/>
      <c r="AD126" s="430"/>
      <c r="AE126" s="430"/>
      <c r="AF126" s="430"/>
      <c r="AG126" s="430"/>
      <c r="AH126" s="430"/>
      <c r="AI126" s="430"/>
      <c r="AJ126" s="430"/>
      <c r="AK126" s="430"/>
      <c r="AL126" s="430"/>
    </row>
    <row r="127" spans="27:38" x14ac:dyDescent="0.3">
      <c r="AA127" s="431"/>
      <c r="AB127" s="432"/>
      <c r="AC127" s="433"/>
      <c r="AD127" s="433"/>
      <c r="AE127" s="433"/>
      <c r="AF127" s="433"/>
      <c r="AG127" s="433"/>
      <c r="AH127" s="433"/>
      <c r="AI127" s="433"/>
      <c r="AJ127" s="433"/>
      <c r="AK127" s="433"/>
      <c r="AL127" s="433"/>
    </row>
    <row r="128" spans="27:38" x14ac:dyDescent="0.3">
      <c r="AA128" s="431"/>
      <c r="AB128" s="432"/>
      <c r="AC128" s="433"/>
      <c r="AD128" s="433"/>
      <c r="AE128" s="433"/>
      <c r="AF128" s="433"/>
      <c r="AG128" s="433"/>
      <c r="AH128" s="433"/>
      <c r="AI128" s="433"/>
      <c r="AJ128" s="433"/>
      <c r="AK128" s="433"/>
      <c r="AL128" s="433"/>
    </row>
    <row r="129" spans="27:38" x14ac:dyDescent="0.3">
      <c r="AA129" s="431"/>
      <c r="AB129" s="432"/>
      <c r="AC129" s="433"/>
      <c r="AD129" s="433"/>
      <c r="AE129" s="433"/>
      <c r="AF129" s="433"/>
      <c r="AG129" s="433"/>
      <c r="AH129" s="433"/>
      <c r="AI129" s="433"/>
      <c r="AJ129" s="433"/>
      <c r="AK129" s="433"/>
      <c r="AL129" s="433"/>
    </row>
    <row r="130" spans="27:38" x14ac:dyDescent="0.3">
      <c r="AC130" s="430"/>
      <c r="AD130" s="430"/>
      <c r="AE130" s="430"/>
      <c r="AF130" s="430"/>
      <c r="AG130" s="430"/>
      <c r="AH130" s="430"/>
      <c r="AI130" s="430"/>
      <c r="AJ130" s="430"/>
      <c r="AK130" s="430"/>
      <c r="AL130" s="430"/>
    </row>
    <row r="131" spans="27:38" x14ac:dyDescent="0.3">
      <c r="AA131" s="431"/>
      <c r="AB131" s="432"/>
      <c r="AC131" s="433"/>
      <c r="AD131" s="433"/>
      <c r="AE131" s="433"/>
      <c r="AF131" s="433"/>
      <c r="AG131" s="433"/>
      <c r="AH131" s="433"/>
      <c r="AI131" s="433"/>
      <c r="AJ131" s="433"/>
      <c r="AK131" s="433"/>
      <c r="AL131" s="433"/>
    </row>
    <row r="132" spans="27:38" x14ac:dyDescent="0.3">
      <c r="AA132" s="431"/>
      <c r="AB132" s="432"/>
      <c r="AC132" s="433"/>
      <c r="AD132" s="433"/>
      <c r="AE132" s="433"/>
      <c r="AF132" s="433"/>
      <c r="AG132" s="433"/>
      <c r="AH132" s="433"/>
      <c r="AI132" s="433"/>
      <c r="AJ132" s="433"/>
      <c r="AK132" s="433"/>
      <c r="AL132" s="433"/>
    </row>
    <row r="133" spans="27:38" x14ac:dyDescent="0.3">
      <c r="AA133" s="431"/>
      <c r="AB133" s="432"/>
      <c r="AC133" s="433"/>
      <c r="AD133" s="433"/>
      <c r="AE133" s="433"/>
      <c r="AF133" s="433"/>
      <c r="AG133" s="433"/>
      <c r="AH133" s="433"/>
      <c r="AI133" s="433"/>
      <c r="AJ133" s="433"/>
      <c r="AK133" s="433"/>
      <c r="AL133" s="433"/>
    </row>
    <row r="134" spans="27:38" x14ac:dyDescent="0.3">
      <c r="AC134" s="430"/>
      <c r="AD134" s="430"/>
      <c r="AE134" s="430"/>
      <c r="AF134" s="430"/>
      <c r="AG134" s="430"/>
      <c r="AH134" s="430"/>
      <c r="AI134" s="430"/>
      <c r="AJ134" s="430"/>
      <c r="AK134" s="430"/>
      <c r="AL134" s="430"/>
    </row>
    <row r="135" spans="27:38" x14ac:dyDescent="0.3">
      <c r="AA135" s="431"/>
      <c r="AB135" s="432"/>
      <c r="AC135" s="433"/>
      <c r="AD135" s="433"/>
      <c r="AE135" s="433"/>
      <c r="AF135" s="433"/>
      <c r="AG135" s="433"/>
      <c r="AH135" s="433"/>
      <c r="AI135" s="433"/>
      <c r="AJ135" s="433"/>
      <c r="AK135" s="433"/>
      <c r="AL135" s="433"/>
    </row>
    <row r="136" spans="27:38" x14ac:dyDescent="0.3">
      <c r="AA136" s="431"/>
      <c r="AB136" s="432"/>
      <c r="AC136" s="433"/>
      <c r="AD136" s="433"/>
      <c r="AE136" s="433"/>
      <c r="AF136" s="433"/>
      <c r="AG136" s="433"/>
      <c r="AH136" s="433"/>
      <c r="AI136" s="433"/>
      <c r="AJ136" s="433"/>
      <c r="AK136" s="433"/>
      <c r="AL136" s="433"/>
    </row>
    <row r="137" spans="27:38" x14ac:dyDescent="0.3">
      <c r="AA137" s="431"/>
      <c r="AB137" s="432"/>
      <c r="AC137" s="433"/>
      <c r="AD137" s="433"/>
      <c r="AE137" s="433"/>
      <c r="AF137" s="433"/>
      <c r="AG137" s="433"/>
      <c r="AH137" s="433"/>
      <c r="AI137" s="433"/>
      <c r="AJ137" s="433"/>
      <c r="AK137" s="433"/>
      <c r="AL137" s="433"/>
    </row>
    <row r="138" spans="27:38" x14ac:dyDescent="0.3">
      <c r="AC138" s="430"/>
      <c r="AD138" s="430"/>
      <c r="AE138" s="430"/>
      <c r="AF138" s="430"/>
      <c r="AG138" s="430"/>
      <c r="AH138" s="430"/>
      <c r="AI138" s="430"/>
      <c r="AJ138" s="430"/>
      <c r="AK138" s="430"/>
      <c r="AL138" s="430"/>
    </row>
    <row r="139" spans="27:38" x14ac:dyDescent="0.3">
      <c r="AA139" s="431"/>
      <c r="AB139" s="432"/>
      <c r="AC139" s="433"/>
      <c r="AD139" s="433"/>
      <c r="AE139" s="433"/>
      <c r="AF139" s="433"/>
      <c r="AG139" s="433"/>
      <c r="AH139" s="433"/>
      <c r="AI139" s="433"/>
      <c r="AJ139" s="433"/>
      <c r="AK139" s="433"/>
      <c r="AL139" s="433"/>
    </row>
    <row r="140" spans="27:38" x14ac:dyDescent="0.3">
      <c r="AA140" s="431"/>
      <c r="AB140" s="432"/>
      <c r="AC140" s="433"/>
      <c r="AD140" s="433"/>
      <c r="AE140" s="433"/>
      <c r="AF140" s="433"/>
      <c r="AG140" s="433"/>
      <c r="AH140" s="433"/>
      <c r="AI140" s="433"/>
      <c r="AJ140" s="433"/>
      <c r="AK140" s="433"/>
      <c r="AL140" s="433"/>
    </row>
    <row r="141" spans="27:38" x14ac:dyDescent="0.3">
      <c r="AA141" s="431"/>
      <c r="AB141" s="432"/>
      <c r="AC141" s="433"/>
      <c r="AD141" s="433"/>
      <c r="AE141" s="433"/>
      <c r="AF141" s="433"/>
      <c r="AG141" s="433"/>
      <c r="AH141" s="433"/>
      <c r="AI141" s="433"/>
      <c r="AJ141" s="433"/>
      <c r="AK141" s="433"/>
      <c r="AL141" s="433"/>
    </row>
    <row r="142" spans="27:38" x14ac:dyDescent="0.3">
      <c r="AC142" s="430"/>
      <c r="AD142" s="430"/>
      <c r="AE142" s="430"/>
      <c r="AF142" s="430"/>
      <c r="AG142" s="430"/>
      <c r="AH142" s="430"/>
      <c r="AI142" s="430"/>
      <c r="AJ142" s="430"/>
      <c r="AK142" s="430"/>
      <c r="AL142" s="430"/>
    </row>
    <row r="143" spans="27:38" x14ac:dyDescent="0.3">
      <c r="AA143" s="431"/>
      <c r="AB143" s="432"/>
      <c r="AC143" s="433"/>
      <c r="AD143" s="433"/>
      <c r="AE143" s="433"/>
      <c r="AF143" s="433"/>
      <c r="AG143" s="433"/>
      <c r="AH143" s="433"/>
      <c r="AI143" s="433"/>
      <c r="AJ143" s="433"/>
      <c r="AK143" s="433"/>
      <c r="AL143" s="433"/>
    </row>
    <row r="144" spans="27:38" x14ac:dyDescent="0.3">
      <c r="AA144" s="431"/>
      <c r="AB144" s="432"/>
      <c r="AC144" s="433"/>
      <c r="AD144" s="433"/>
      <c r="AE144" s="433"/>
      <c r="AF144" s="433"/>
      <c r="AG144" s="433"/>
      <c r="AH144" s="433"/>
      <c r="AI144" s="433"/>
      <c r="AJ144" s="433"/>
      <c r="AK144" s="433"/>
      <c r="AL144" s="433"/>
    </row>
    <row r="145" spans="27:38" x14ac:dyDescent="0.3">
      <c r="AA145" s="431"/>
      <c r="AB145" s="432"/>
      <c r="AC145" s="433"/>
      <c r="AD145" s="433"/>
      <c r="AE145" s="433"/>
      <c r="AF145" s="433"/>
      <c r="AG145" s="433"/>
      <c r="AH145" s="433"/>
      <c r="AI145" s="433"/>
      <c r="AJ145" s="433"/>
      <c r="AK145" s="433"/>
      <c r="AL145" s="433"/>
    </row>
  </sheetData>
  <sheetProtection formatCells="0" formatColumns="0" formatRows="0" insertColumns="0" insertRows="0" insertHyperlinks="0" deleteColumns="0" deleteRows="0" sort="0" autoFilter="0" pivotTables="0"/>
  <mergeCells count="6">
    <mergeCell ref="O39:Y39"/>
    <mergeCell ref="O47:Y47"/>
    <mergeCell ref="O63:Y63"/>
    <mergeCell ref="O31:Y31"/>
    <mergeCell ref="B2:M2"/>
    <mergeCell ref="O55:Y55"/>
  </mergeCells>
  <phoneticPr fontId="31" type="noConversion"/>
  <conditionalFormatting sqref="B5:M6 C7 B8:M8 B49:B50 AA5:AL6">
    <cfRule type="expression" dxfId="117" priority="45">
      <formula>B$6&lt;&gt;""</formula>
    </cfRule>
  </conditionalFormatting>
  <conditionalFormatting sqref="B6:M6 C7 B8:M8 B18 B20:B24 B26:B34 B36 B41:B42 B44:B45 B50:M50">
    <cfRule type="expression" dxfId="116" priority="44">
      <formula>$B6&lt;&gt;""</formula>
    </cfRule>
  </conditionalFormatting>
  <conditionalFormatting sqref="B6:M6 C7 B8:M8">
    <cfRule type="expression" dxfId="115" priority="42">
      <formula>B6&lt;&gt;""</formula>
    </cfRule>
  </conditionalFormatting>
  <conditionalFormatting sqref="B50:M50 B6:M6 C7 B8:M8 B18 B20:B24 B26:B34 B36 B41:B42 B44:B45">
    <cfRule type="expression" dxfId="114" priority="43">
      <formula>B$6=""</formula>
    </cfRule>
  </conditionalFormatting>
  <conditionalFormatting sqref="B50:M50">
    <cfRule type="expression" dxfId="113" priority="22">
      <formula>B50&lt;&gt;""</formula>
    </cfRule>
  </conditionalFormatting>
  <conditionalFormatting sqref="C49:M50">
    <cfRule type="expression" dxfId="112" priority="25">
      <formula>C$6&lt;&gt;""</formula>
    </cfRule>
  </conditionalFormatting>
  <conditionalFormatting sqref="D50:M50">
    <cfRule type="expression" dxfId="111" priority="110">
      <formula>D$6&lt;&gt;""</formula>
    </cfRule>
  </conditionalFormatting>
  <conditionalFormatting sqref="P33:Y37">
    <cfRule type="colorScale" priority="21">
      <colorScale>
        <cfvo type="min"/>
        <cfvo type="percentile" val="50"/>
        <cfvo type="max"/>
        <color rgb="FFF8696B"/>
        <color rgb="FFFFEB84"/>
        <color rgb="FF63BE7B"/>
      </colorScale>
    </cfRule>
  </conditionalFormatting>
  <conditionalFormatting sqref="P41:Y45">
    <cfRule type="colorScale" priority="17">
      <colorScale>
        <cfvo type="min"/>
        <cfvo type="percentile" val="50"/>
        <cfvo type="max"/>
        <color rgb="FFF8696B"/>
        <color rgb="FFFFEB84"/>
        <color rgb="FF63BE7B"/>
      </colorScale>
    </cfRule>
  </conditionalFormatting>
  <conditionalFormatting sqref="P49:Y53">
    <cfRule type="colorScale" priority="16">
      <colorScale>
        <cfvo type="min"/>
        <cfvo type="percentile" val="50"/>
        <cfvo type="max"/>
        <color rgb="FFF8696B"/>
        <color rgb="FFFFEB84"/>
        <color rgb="FF63BE7B"/>
      </colorScale>
    </cfRule>
  </conditionalFormatting>
  <conditionalFormatting sqref="P57:Y61">
    <cfRule type="colorScale" priority="19">
      <colorScale>
        <cfvo type="min"/>
        <cfvo type="percentile" val="50"/>
        <cfvo type="max"/>
        <color rgb="FFF8696B"/>
        <color rgb="FFFFEB84"/>
        <color rgb="FF63BE7B"/>
      </colorScale>
    </cfRule>
  </conditionalFormatting>
  <conditionalFormatting sqref="P65:Y69">
    <cfRule type="colorScale" priority="18">
      <colorScale>
        <cfvo type="min"/>
        <cfvo type="percentile" val="50"/>
        <cfvo type="max"/>
        <color rgb="FFF8696B"/>
        <color rgb="FFFFEB84"/>
        <color rgb="FF63BE7B"/>
      </colorScale>
    </cfRule>
  </conditionalFormatting>
  <conditionalFormatting sqref="AA6:AL6">
    <cfRule type="expression" dxfId="110" priority="15">
      <formula>AA6&lt;&gt;""</formula>
    </cfRule>
  </conditionalFormatting>
  <conditionalFormatting sqref="AA6:AL14 AA15:AB49 AA50:AL145">
    <cfRule type="expression" dxfId="109" priority="1427">
      <formula>AA$6=""</formula>
    </cfRule>
    <cfRule type="expression" dxfId="108" priority="1428">
      <formula>$AB6&lt;&gt;""</formula>
    </cfRule>
  </conditionalFormatting>
  <conditionalFormatting sqref="AC14:AL14 AC50:AL145">
    <cfRule type="expression" dxfId="107" priority="1450">
      <formula>$AB14=""</formula>
    </cfRule>
  </conditionalFormatting>
  <conditionalFormatting sqref="AC51:AL53 AC55:AL57 AC59:AL61 AC63:AL65 AC67:AL69 AC71:AL73 AC75:AL77 AC79:AL81 AC83:AL85 AC87:AL89 AC91:AL93 AC95:AL97 AC99:AL101 AC103:AL105 AC107:AL109 AC111:AL113 AC115:AL117 AC119:AL121 AC123:AL125 AC127:AL129 AC131:AL133 AC135:AL137 AC139:AL141 AC143:AL145">
    <cfRule type="expression" dxfId="106" priority="9">
      <formula>AC$6=""</formula>
    </cfRule>
    <cfRule type="expression" dxfId="105" priority="1452">
      <formula>$AB51&lt;&gt;""</formula>
    </cfRule>
  </conditionalFormatting>
  <pageMargins left="0.7" right="0.7" top="0.75" bottom="0.75" header="0.3" footer="0.3"/>
  <pageSetup orientation="portrait" r:id="rId1"/>
  <ignoredErrors>
    <ignoredError sqref="M3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CC69-AE11-4154-821A-CE17DAE9ACB8}">
  <sheetPr codeName="Sheet3">
    <tabColor theme="5" tint="-0.249977111117893"/>
  </sheetPr>
  <dimension ref="B1:ET82"/>
  <sheetViews>
    <sheetView topLeftCell="AS1" zoomScale="60" zoomScaleNormal="60" workbookViewId="0">
      <selection activeCell="BD8" sqref="BD8"/>
    </sheetView>
  </sheetViews>
  <sheetFormatPr defaultColWidth="8.7265625" defaultRowHeight="13" x14ac:dyDescent="0.3"/>
  <cols>
    <col min="1" max="1" width="1.54296875" style="115" customWidth="1"/>
    <col min="2" max="2" width="35.453125" style="115" bestFit="1" customWidth="1"/>
    <col min="3" max="13" width="12.54296875" style="115" customWidth="1"/>
    <col min="14" max="14" width="3.81640625" style="115" customWidth="1"/>
    <col min="15" max="15" width="15.453125" style="115" customWidth="1"/>
    <col min="16" max="25" width="12.54296875" style="115" customWidth="1"/>
    <col min="26" max="26" width="4.54296875" style="115" customWidth="1"/>
    <col min="27" max="27" width="35.453125" style="115" bestFit="1" customWidth="1"/>
    <col min="28" max="38" width="12.54296875" style="115" customWidth="1"/>
    <col min="39" max="39" width="3.81640625" style="115" customWidth="1"/>
    <col min="40" max="40" width="15.453125" style="115" customWidth="1"/>
    <col min="41" max="50" width="12.54296875" style="115" customWidth="1"/>
    <col min="51" max="51" width="4.54296875" style="115" customWidth="1"/>
    <col min="52" max="52" width="35.453125" style="115" bestFit="1" customWidth="1"/>
    <col min="53" max="63" width="12.54296875" style="115" customWidth="1"/>
    <col min="64" max="64" width="3.81640625" style="115" customWidth="1"/>
    <col min="65" max="65" width="15.453125" style="115" customWidth="1"/>
    <col min="66" max="75" width="12.54296875" style="115" customWidth="1"/>
    <col min="76" max="76" width="4.54296875" style="115" customWidth="1"/>
    <col min="77" max="77" width="35.453125" style="115" customWidth="1"/>
    <col min="78" max="88" width="12.54296875" style="115" customWidth="1"/>
    <col min="89" max="89" width="3.81640625" style="115" customWidth="1"/>
    <col min="90" max="90" width="15.453125" style="115" customWidth="1"/>
    <col min="91" max="100" width="12.54296875" style="115" customWidth="1"/>
    <col min="101" max="101" width="4.54296875" style="115" customWidth="1"/>
    <col min="102" max="102" width="35.453125" style="115" customWidth="1"/>
    <col min="103" max="113" width="12.54296875" style="115" customWidth="1"/>
    <col min="114" max="114" width="3.81640625" style="115" customWidth="1"/>
    <col min="115" max="115" width="15.453125" style="115" customWidth="1"/>
    <col min="116" max="125" width="12.54296875" style="115" customWidth="1"/>
    <col min="126" max="126" width="4.54296875" style="115" customWidth="1"/>
    <col min="127" max="127" width="35.453125" style="115" customWidth="1"/>
    <col min="128" max="138" width="12.54296875" style="115" customWidth="1"/>
    <col min="139" max="139" width="3.81640625" style="115" customWidth="1"/>
    <col min="140" max="140" width="15.453125" style="115" customWidth="1"/>
    <col min="141" max="150" width="12.54296875" style="115" customWidth="1"/>
    <col min="151" max="16384" width="8.7265625" style="115"/>
  </cols>
  <sheetData>
    <row r="1" spans="2:150" ht="7.5" customHeight="1" thickBot="1" x14ac:dyDescent="0.35"/>
    <row r="2" spans="2:150" ht="13.5" thickBot="1" x14ac:dyDescent="0.35">
      <c r="B2" s="105" t="s">
        <v>108</v>
      </c>
      <c r="C2" s="260"/>
      <c r="D2" s="107"/>
      <c r="E2" s="107"/>
      <c r="F2" s="107"/>
      <c r="G2" s="107"/>
      <c r="H2" s="107"/>
      <c r="I2" s="107"/>
      <c r="J2" s="107"/>
      <c r="K2" s="107"/>
      <c r="L2" s="107"/>
      <c r="M2" s="108"/>
      <c r="O2" s="168" t="s">
        <v>109</v>
      </c>
      <c r="P2" s="169" t="str">
        <f>D5</f>
        <v>Year 1</v>
      </c>
      <c r="Q2" s="169" t="str">
        <f t="shared" ref="Q2:Y2" si="0">E5</f>
        <v>Year 2</v>
      </c>
      <c r="R2" s="169" t="str">
        <f t="shared" si="0"/>
        <v>Year 3</v>
      </c>
      <c r="S2" s="169" t="str">
        <f t="shared" si="0"/>
        <v>Year 4</v>
      </c>
      <c r="T2" s="169" t="str">
        <f t="shared" si="0"/>
        <v>Year 5</v>
      </c>
      <c r="U2" s="169" t="str">
        <f t="shared" si="0"/>
        <v>Year 6</v>
      </c>
      <c r="V2" s="169" t="str">
        <f t="shared" si="0"/>
        <v>Year 7</v>
      </c>
      <c r="W2" s="169" t="str">
        <f t="shared" si="0"/>
        <v>Year 8</v>
      </c>
      <c r="X2" s="169" t="str">
        <f t="shared" si="0"/>
        <v>Year 9</v>
      </c>
      <c r="Y2" s="170" t="str">
        <f t="shared" si="0"/>
        <v>Year 10</v>
      </c>
      <c r="AA2" s="105" t="s">
        <v>108</v>
      </c>
      <c r="AB2" s="260"/>
      <c r="AC2" s="107"/>
      <c r="AD2" s="107"/>
      <c r="AE2" s="107"/>
      <c r="AF2" s="107"/>
      <c r="AG2" s="107"/>
      <c r="AH2" s="107"/>
      <c r="AI2" s="107"/>
      <c r="AJ2" s="107"/>
      <c r="AK2" s="107"/>
      <c r="AL2" s="108"/>
      <c r="AN2" s="168" t="s">
        <v>109</v>
      </c>
      <c r="AO2" s="169" t="str">
        <f>'Property-Level CF'!AC5</f>
        <v>Year 1</v>
      </c>
      <c r="AP2" s="169" t="str">
        <f>'Property-Level CF'!AD5</f>
        <v>Year 2</v>
      </c>
      <c r="AQ2" s="169" t="str">
        <f>'Property-Level CF'!AE5</f>
        <v>Year 3</v>
      </c>
      <c r="AR2" s="169" t="str">
        <f>'Property-Level CF'!AF5</f>
        <v>Year 4</v>
      </c>
      <c r="AS2" s="169" t="str">
        <f>'Property-Level CF'!AG5</f>
        <v>Year 5</v>
      </c>
      <c r="AT2" s="169" t="str">
        <f>'Property-Level CF'!AH5</f>
        <v>Year 6</v>
      </c>
      <c r="AU2" s="169" t="str">
        <f>'Property-Level CF'!AI5</f>
        <v>Year 7</v>
      </c>
      <c r="AV2" s="169" t="str">
        <f>'Property-Level CF'!AJ5</f>
        <v>Year 8</v>
      </c>
      <c r="AW2" s="169" t="str">
        <f>'Property-Level CF'!AK5</f>
        <v>Year 9</v>
      </c>
      <c r="AX2" s="170" t="str">
        <f>'Property-Level CF'!AL5</f>
        <v>Year 10</v>
      </c>
      <c r="AZ2" s="105" t="s">
        <v>108</v>
      </c>
      <c r="BA2" s="260"/>
      <c r="BB2" s="107"/>
      <c r="BC2" s="107"/>
      <c r="BD2" s="107"/>
      <c r="BE2" s="107"/>
      <c r="BF2" s="107"/>
      <c r="BG2" s="107"/>
      <c r="BH2" s="107"/>
      <c r="BI2" s="107"/>
      <c r="BJ2" s="107"/>
      <c r="BK2" s="108"/>
      <c r="BM2" s="168" t="s">
        <v>109</v>
      </c>
      <c r="BN2" s="169" t="str">
        <f>'Property-Level CF'!BB5</f>
        <v>Year 1</v>
      </c>
      <c r="BO2" s="169" t="str">
        <f>'Property-Level CF'!BC5</f>
        <v>Year 2</v>
      </c>
      <c r="BP2" s="169" t="str">
        <f>'Property-Level CF'!BD5</f>
        <v>Year 3</v>
      </c>
      <c r="BQ2" s="169" t="str">
        <f>'Property-Level CF'!BE5</f>
        <v>Year 4</v>
      </c>
      <c r="BR2" s="169" t="str">
        <f>'Property-Level CF'!BF5</f>
        <v>Year 5</v>
      </c>
      <c r="BS2" s="169" t="str">
        <f>'Property-Level CF'!BG5</f>
        <v>Year 6</v>
      </c>
      <c r="BT2" s="169" t="str">
        <f>'Property-Level CF'!BH5</f>
        <v>Year 7</v>
      </c>
      <c r="BU2" s="169" t="str">
        <f>'Property-Level CF'!BI5</f>
        <v>Year 8</v>
      </c>
      <c r="BV2" s="169" t="str">
        <f>'Property-Level CF'!BJ5</f>
        <v>Year 9</v>
      </c>
      <c r="BW2" s="170" t="str">
        <f>'Property-Level CF'!BK5</f>
        <v>Year 10</v>
      </c>
      <c r="BY2" s="105" t="s">
        <v>108</v>
      </c>
      <c r="BZ2" s="260"/>
      <c r="CA2" s="107"/>
      <c r="CB2" s="107"/>
      <c r="CC2" s="107"/>
      <c r="CD2" s="107"/>
      <c r="CE2" s="107"/>
      <c r="CF2" s="107"/>
      <c r="CG2" s="107"/>
      <c r="CH2" s="107"/>
      <c r="CI2" s="107"/>
      <c r="CJ2" s="108"/>
      <c r="CL2" s="168" t="s">
        <v>109</v>
      </c>
      <c r="CM2" s="169" t="str">
        <f>'Property-Level CF'!CA5</f>
        <v>Year 1</v>
      </c>
      <c r="CN2" s="169" t="str">
        <f>'Property-Level CF'!CB5</f>
        <v>Year 2</v>
      </c>
      <c r="CO2" s="169" t="str">
        <f>'Property-Level CF'!CC5</f>
        <v>Year 3</v>
      </c>
      <c r="CP2" s="169" t="str">
        <f>'Property-Level CF'!CD5</f>
        <v>Year 4</v>
      </c>
      <c r="CQ2" s="169" t="str">
        <f>'Property-Level CF'!CE5</f>
        <v>Year 5</v>
      </c>
      <c r="CR2" s="169" t="str">
        <f>'Property-Level CF'!CF5</f>
        <v>Year 6</v>
      </c>
      <c r="CS2" s="169" t="str">
        <f>'Property-Level CF'!CG5</f>
        <v>Year 7</v>
      </c>
      <c r="CT2" s="169" t="str">
        <f>'Property-Level CF'!CH5</f>
        <v>Year 8</v>
      </c>
      <c r="CU2" s="169" t="str">
        <f>'Property-Level CF'!CI5</f>
        <v>Year 9</v>
      </c>
      <c r="CV2" s="170" t="str">
        <f>'Property-Level CF'!CJ5</f>
        <v>Year 10</v>
      </c>
      <c r="CX2" s="105" t="s">
        <v>108</v>
      </c>
      <c r="CY2" s="260"/>
      <c r="CZ2" s="107"/>
      <c r="DA2" s="107"/>
      <c r="DB2" s="107"/>
      <c r="DC2" s="107"/>
      <c r="DD2" s="107"/>
      <c r="DE2" s="107"/>
      <c r="DF2" s="107"/>
      <c r="DG2" s="107"/>
      <c r="DH2" s="107"/>
      <c r="DI2" s="108"/>
      <c r="DK2" s="168" t="s">
        <v>109</v>
      </c>
      <c r="DL2" s="169" t="str">
        <f>'Property-Level CF'!CZ5</f>
        <v>Year 1</v>
      </c>
      <c r="DM2" s="169" t="str">
        <f>'Property-Level CF'!DA5</f>
        <v>Year 2</v>
      </c>
      <c r="DN2" s="169" t="str">
        <f>'Property-Level CF'!DB5</f>
        <v>Year 3</v>
      </c>
      <c r="DO2" s="169" t="str">
        <f>'Property-Level CF'!DC5</f>
        <v>Year 4</v>
      </c>
      <c r="DP2" s="169" t="str">
        <f>'Property-Level CF'!DD5</f>
        <v>Year 5</v>
      </c>
      <c r="DQ2" s="169" t="str">
        <f>'Property-Level CF'!DE5</f>
        <v>Year 6</v>
      </c>
      <c r="DR2" s="169" t="str">
        <f>'Property-Level CF'!DF5</f>
        <v>Year 7</v>
      </c>
      <c r="DS2" s="169" t="str">
        <f>'Property-Level CF'!DG5</f>
        <v>Year 8</v>
      </c>
      <c r="DT2" s="169" t="str">
        <f>'Property-Level CF'!DH5</f>
        <v>Year 9</v>
      </c>
      <c r="DU2" s="170" t="str">
        <f>'Property-Level CF'!DI5</f>
        <v>Year 10</v>
      </c>
      <c r="DW2" s="105" t="s">
        <v>108</v>
      </c>
      <c r="DX2" s="260"/>
      <c r="DY2" s="107"/>
      <c r="DZ2" s="107"/>
      <c r="EA2" s="107"/>
      <c r="EB2" s="107"/>
      <c r="EC2" s="107"/>
      <c r="ED2" s="107"/>
      <c r="EE2" s="107"/>
      <c r="EF2" s="107"/>
      <c r="EG2" s="107"/>
      <c r="EH2" s="108"/>
      <c r="EJ2" s="168" t="s">
        <v>109</v>
      </c>
      <c r="EK2" s="169" t="str">
        <f>'Property-Level CF'!DY5</f>
        <v>Year 1</v>
      </c>
      <c r="EL2" s="169" t="str">
        <f>'Property-Level CF'!DZ5</f>
        <v>Year 2</v>
      </c>
      <c r="EM2" s="169" t="str">
        <f>'Property-Level CF'!EA5</f>
        <v>Year 3</v>
      </c>
      <c r="EN2" s="169" t="str">
        <f>'Property-Level CF'!EB5</f>
        <v>Year 4</v>
      </c>
      <c r="EO2" s="169" t="str">
        <f>'Property-Level CF'!EC5</f>
        <v>Year 5</v>
      </c>
      <c r="EP2" s="169" t="str">
        <f>'Property-Level CF'!ED5</f>
        <v>Year 6</v>
      </c>
      <c r="EQ2" s="169" t="str">
        <f>'Property-Level CF'!EE5</f>
        <v>Year 7</v>
      </c>
      <c r="ER2" s="169" t="str">
        <f>'Property-Level CF'!EF5</f>
        <v>Year 8</v>
      </c>
      <c r="ES2" s="169" t="str">
        <f>'Property-Level CF'!EG5</f>
        <v>Year 9</v>
      </c>
      <c r="ET2" s="170" t="str">
        <f>'Property-Level CF'!EH5</f>
        <v>Year 10</v>
      </c>
    </row>
    <row r="3" spans="2:150" ht="13.5" thickBot="1" x14ac:dyDescent="0.35">
      <c r="B3" s="1" t="str">
        <f>Summary!E4</f>
        <v>131 Kent Road, New Milford, CT 06776</v>
      </c>
      <c r="C3" s="302"/>
      <c r="D3" s="160"/>
      <c r="E3" s="160"/>
      <c r="F3" s="160"/>
      <c r="G3" s="160"/>
      <c r="H3" s="160"/>
      <c r="I3" s="160"/>
      <c r="J3" s="160"/>
      <c r="K3" s="160"/>
      <c r="L3" s="160"/>
      <c r="M3" s="161"/>
      <c r="O3" s="171" t="s">
        <v>112</v>
      </c>
      <c r="P3" s="172">
        <f t="shared" ref="P3:Y3" si="1">IRR(P4:P15)</f>
        <v>1.8207065017624702E-2</v>
      </c>
      <c r="Q3" s="172">
        <f t="shared" si="1"/>
        <v>4.1901141113831697E-2</v>
      </c>
      <c r="R3" s="172">
        <f t="shared" si="1"/>
        <v>4.9895375606495485E-2</v>
      </c>
      <c r="S3" s="172">
        <f t="shared" si="1"/>
        <v>4.5662949409928544E-2</v>
      </c>
      <c r="T3" s="172">
        <f t="shared" si="1"/>
        <v>5.7865900656673297E-2</v>
      </c>
      <c r="U3" s="172">
        <f t="shared" si="1"/>
        <v>4.8907337349973545E-2</v>
      </c>
      <c r="V3" s="172">
        <f t="shared" si="1"/>
        <v>4.8552772114268006E-2</v>
      </c>
      <c r="W3" s="172">
        <f t="shared" si="1"/>
        <v>5.5276830697952972E-2</v>
      </c>
      <c r="X3" s="172">
        <f t="shared" si="1"/>
        <v>5.2497170507007196E-2</v>
      </c>
      <c r="Y3" s="173">
        <f t="shared" si="1"/>
        <v>5.6123945363821814E-2</v>
      </c>
      <c r="AA3" s="1" t="str">
        <f>Summary!E5</f>
        <v>164 Mount Pleasant Road, Newtown, CT 06470</v>
      </c>
      <c r="AB3" s="302"/>
      <c r="AC3" s="160"/>
      <c r="AD3" s="160"/>
      <c r="AE3" s="160"/>
      <c r="AF3" s="160"/>
      <c r="AG3" s="160"/>
      <c r="AH3" s="160"/>
      <c r="AI3" s="160"/>
      <c r="AJ3" s="160"/>
      <c r="AK3" s="160"/>
      <c r="AL3" s="161"/>
      <c r="AN3" s="171" t="s">
        <v>112</v>
      </c>
      <c r="AO3" s="172">
        <f t="shared" ref="AO3:AX3" si="2">IRR(AO4:AO15)</f>
        <v>-1.2527015635895866E-3</v>
      </c>
      <c r="AP3" s="172">
        <f t="shared" si="2"/>
        <v>7.9366158813134469E-3</v>
      </c>
      <c r="AQ3" s="172">
        <f t="shared" si="2"/>
        <v>0.11035436838414592</v>
      </c>
      <c r="AR3" s="172">
        <f t="shared" si="2"/>
        <v>0.10336454732213807</v>
      </c>
      <c r="AS3" s="172">
        <f t="shared" si="2"/>
        <v>9.889782735787378E-2</v>
      </c>
      <c r="AT3" s="172">
        <f t="shared" si="2"/>
        <v>9.3966435174564378E-2</v>
      </c>
      <c r="AU3" s="172">
        <f t="shared" si="2"/>
        <v>9.0460676714636756E-2</v>
      </c>
      <c r="AV3" s="172">
        <f t="shared" si="2"/>
        <v>8.7849783019191996E-2</v>
      </c>
      <c r="AW3" s="172">
        <f t="shared" si="2"/>
        <v>8.4182874484285408E-2</v>
      </c>
      <c r="AX3" s="173">
        <f t="shared" si="2"/>
        <v>8.1037425176233135E-2</v>
      </c>
      <c r="AZ3" s="1" t="str">
        <f>Summary!E6</f>
        <v>170 Mount Pleasant Road, Newtown, CT 06470</v>
      </c>
      <c r="BA3" s="302"/>
      <c r="BB3" s="160"/>
      <c r="BC3" s="160"/>
      <c r="BD3" s="160"/>
      <c r="BE3" s="160"/>
      <c r="BF3" s="160"/>
      <c r="BG3" s="160"/>
      <c r="BH3" s="160"/>
      <c r="BI3" s="160"/>
      <c r="BJ3" s="160"/>
      <c r="BK3" s="161"/>
      <c r="BM3" s="171" t="s">
        <v>112</v>
      </c>
      <c r="BN3" s="172">
        <f t="shared" ref="BN3:BW3" si="3">IRR(BN4:BN15)</f>
        <v>5.8039353363448232E-3</v>
      </c>
      <c r="BO3" s="172">
        <f t="shared" si="3"/>
        <v>6.1650281899852333E-2</v>
      </c>
      <c r="BP3" s="172">
        <f t="shared" si="3"/>
        <v>9.3123559974656933E-2</v>
      </c>
      <c r="BQ3" s="172">
        <f t="shared" si="3"/>
        <v>8.5985008742313962E-2</v>
      </c>
      <c r="BR3" s="172">
        <f t="shared" si="3"/>
        <v>8.17195939336266E-2</v>
      </c>
      <c r="BS3" s="172">
        <f t="shared" si="3"/>
        <v>7.8954768856476898E-2</v>
      </c>
      <c r="BT3" s="172">
        <f t="shared" si="3"/>
        <v>8.4043198733977809E-2</v>
      </c>
      <c r="BU3" s="172">
        <f t="shared" si="3"/>
        <v>8.2970210374254671E-2</v>
      </c>
      <c r="BV3" s="172">
        <f t="shared" si="3"/>
        <v>8.1088493995786548E-2</v>
      </c>
      <c r="BW3" s="173">
        <f t="shared" si="3"/>
        <v>7.9510417684231394E-2</v>
      </c>
      <c r="BY3" s="266" t="str">
        <f>Summary!E7</f>
        <v>2 Riverview Drive, Danbury, CT 06810</v>
      </c>
      <c r="BZ3" s="267"/>
      <c r="CA3" s="268"/>
      <c r="CB3" s="268"/>
      <c r="CC3" s="268"/>
      <c r="CD3" s="268"/>
      <c r="CE3" s="268"/>
      <c r="CF3" s="268"/>
      <c r="CG3" s="268"/>
      <c r="CH3" s="268"/>
      <c r="CI3" s="268"/>
      <c r="CJ3" s="269"/>
      <c r="CL3" s="171" t="s">
        <v>112</v>
      </c>
      <c r="CM3" s="172">
        <f t="shared" ref="CM3:CV3" si="4">IRR(CM4:CM15)</f>
        <v>1.1141340037680969E-2</v>
      </c>
      <c r="CN3" s="172">
        <f t="shared" si="4"/>
        <v>3.489601660760222E-2</v>
      </c>
      <c r="CO3" s="172">
        <f t="shared" si="4"/>
        <v>4.6020665080465539E-2</v>
      </c>
      <c r="CP3" s="172">
        <f t="shared" si="4"/>
        <v>5.1663947258433263E-2</v>
      </c>
      <c r="CQ3" s="172">
        <f t="shared" si="4"/>
        <v>5.5046562106691344E-2</v>
      </c>
      <c r="CR3" s="172">
        <f t="shared" si="4"/>
        <v>5.7312168580576195E-2</v>
      </c>
      <c r="CS3" s="172">
        <f t="shared" si="4"/>
        <v>5.8917248501647146E-2</v>
      </c>
      <c r="CT3" s="172">
        <f t="shared" si="4"/>
        <v>6.0118142411593523E-2</v>
      </c>
      <c r="CU3" s="172">
        <f t="shared" si="4"/>
        <v>6.1093929702962235E-2</v>
      </c>
      <c r="CV3" s="173">
        <f t="shared" si="4"/>
        <v>6.1944999937030065E-2</v>
      </c>
      <c r="CX3" s="1" t="str">
        <f>Summary!E8</f>
        <v>226 White Street, Danbury, CT 06810</v>
      </c>
      <c r="CY3" s="302"/>
      <c r="CZ3" s="160"/>
      <c r="DA3" s="160"/>
      <c r="DB3" s="160"/>
      <c r="DC3" s="160"/>
      <c r="DD3" s="160"/>
      <c r="DE3" s="160"/>
      <c r="DF3" s="160"/>
      <c r="DG3" s="160"/>
      <c r="DH3" s="160"/>
      <c r="DI3" s="161"/>
      <c r="DK3" s="171" t="s">
        <v>112</v>
      </c>
      <c r="DL3" s="172">
        <f t="shared" ref="DL3:DU3" si="5">IRR(DL4:DL15)</f>
        <v>1.1756165517961215E-2</v>
      </c>
      <c r="DM3" s="172">
        <f t="shared" si="5"/>
        <v>3.6804406725170491E-2</v>
      </c>
      <c r="DN3" s="172">
        <f t="shared" si="5"/>
        <v>4.8400461093587754E-2</v>
      </c>
      <c r="DO3" s="172">
        <f t="shared" si="5"/>
        <v>5.4245237797410528E-2</v>
      </c>
      <c r="DP3" s="172">
        <f t="shared" si="5"/>
        <v>5.7766297270707812E-2</v>
      </c>
      <c r="DQ3" s="172">
        <f t="shared" si="5"/>
        <v>6.0118578209727991E-2</v>
      </c>
      <c r="DR3" s="172">
        <f t="shared" si="5"/>
        <v>6.1800261490941866E-2</v>
      </c>
      <c r="DS3" s="172">
        <f t="shared" si="5"/>
        <v>6.3061997861109775E-2</v>
      </c>
      <c r="DT3" s="172">
        <f t="shared" si="5"/>
        <v>6.4042848329183943E-2</v>
      </c>
      <c r="DU3" s="173">
        <f t="shared" si="5"/>
        <v>6.4826947827157477E-2</v>
      </c>
      <c r="DW3" s="162" t="str">
        <f>Summary!E9</f>
        <v>40 Old Ridgebury Road, Danbury, CT 06810</v>
      </c>
      <c r="DX3" s="261"/>
      <c r="DY3" s="160"/>
      <c r="DZ3" s="160"/>
      <c r="EA3" s="160"/>
      <c r="EB3" s="160"/>
      <c r="EC3" s="160"/>
      <c r="ED3" s="160"/>
      <c r="EE3" s="160"/>
      <c r="EF3" s="160"/>
      <c r="EG3" s="160"/>
      <c r="EH3" s="161"/>
      <c r="EJ3" s="171" t="s">
        <v>112</v>
      </c>
      <c r="EK3" s="172">
        <f t="shared" ref="EK3:ET3" si="6">IRR(EK4:EK15)</f>
        <v>9.1266661827555939E-3</v>
      </c>
      <c r="EL3" s="172">
        <f t="shared" si="6"/>
        <v>3.4165978689426835E-2</v>
      </c>
      <c r="EM3" s="172">
        <f t="shared" si="6"/>
        <v>4.5690436440505078E-2</v>
      </c>
      <c r="EN3" s="172">
        <f t="shared" si="6"/>
        <v>5.1532586804782232E-2</v>
      </c>
      <c r="EO3" s="172">
        <f t="shared" si="6"/>
        <v>5.5051513330927504E-2</v>
      </c>
      <c r="EP3" s="172">
        <f t="shared" si="6"/>
        <v>5.7406681675341575E-2</v>
      </c>
      <c r="EQ3" s="172">
        <f t="shared" si="6"/>
        <v>5.907259631746542E-2</v>
      </c>
      <c r="ER3" s="172">
        <f t="shared" si="6"/>
        <v>6.0346406603180913E-2</v>
      </c>
      <c r="ES3" s="172">
        <f t="shared" si="6"/>
        <v>6.1314430866765912E-2</v>
      </c>
      <c r="ET3" s="173">
        <f t="shared" si="6"/>
        <v>6.2094975509403572E-2</v>
      </c>
    </row>
    <row r="4" spans="2:150" x14ac:dyDescent="0.3">
      <c r="B4" s="153"/>
      <c r="C4" s="283"/>
      <c r="D4" s="118"/>
      <c r="E4" s="118"/>
      <c r="F4" s="118"/>
      <c r="G4" s="118"/>
      <c r="H4" s="118"/>
      <c r="I4" s="118"/>
      <c r="J4" s="118"/>
      <c r="K4" s="118"/>
      <c r="L4" s="118"/>
      <c r="M4" s="119"/>
      <c r="O4" s="157">
        <v>0</v>
      </c>
      <c r="P4" s="139">
        <f>'Property-Level CF'!C16</f>
        <v>-13422181.164964866</v>
      </c>
      <c r="Q4" s="139">
        <f t="shared" ref="Q4:Y4" si="7">P4</f>
        <v>-13422181.164964866</v>
      </c>
      <c r="R4" s="139">
        <f t="shared" si="7"/>
        <v>-13422181.164964866</v>
      </c>
      <c r="S4" s="139">
        <f t="shared" si="7"/>
        <v>-13422181.164964866</v>
      </c>
      <c r="T4" s="139">
        <f t="shared" si="7"/>
        <v>-13422181.164964866</v>
      </c>
      <c r="U4" s="139">
        <f t="shared" si="7"/>
        <v>-13422181.164964866</v>
      </c>
      <c r="V4" s="139">
        <f t="shared" si="7"/>
        <v>-13422181.164964866</v>
      </c>
      <c r="W4" s="139">
        <f t="shared" si="7"/>
        <v>-13422181.164964866</v>
      </c>
      <c r="X4" s="139">
        <f t="shared" si="7"/>
        <v>-13422181.164964866</v>
      </c>
      <c r="Y4" s="140">
        <f t="shared" si="7"/>
        <v>-13422181.164964866</v>
      </c>
      <c r="AA4" s="153"/>
      <c r="AB4" s="283"/>
      <c r="AC4" s="118"/>
      <c r="AD4" s="118"/>
      <c r="AE4" s="118"/>
      <c r="AF4" s="118"/>
      <c r="AG4" s="118"/>
      <c r="AH4" s="118"/>
      <c r="AI4" s="118"/>
      <c r="AJ4" s="118"/>
      <c r="AK4" s="118"/>
      <c r="AL4" s="119"/>
      <c r="AN4" s="157">
        <v>0</v>
      </c>
      <c r="AO4" s="139">
        <f>'Property-Level CF'!AB16</f>
        <v>-10961841.989616027</v>
      </c>
      <c r="AP4" s="139">
        <f t="shared" ref="AP4:AX4" si="8">AO4</f>
        <v>-10961841.989616027</v>
      </c>
      <c r="AQ4" s="139">
        <f t="shared" si="8"/>
        <v>-10961841.989616027</v>
      </c>
      <c r="AR4" s="139">
        <f t="shared" si="8"/>
        <v>-10961841.989616027</v>
      </c>
      <c r="AS4" s="139">
        <f t="shared" si="8"/>
        <v>-10961841.989616027</v>
      </c>
      <c r="AT4" s="139">
        <f t="shared" si="8"/>
        <v>-10961841.989616027</v>
      </c>
      <c r="AU4" s="139">
        <f t="shared" si="8"/>
        <v>-10961841.989616027</v>
      </c>
      <c r="AV4" s="139">
        <f t="shared" si="8"/>
        <v>-10961841.989616027</v>
      </c>
      <c r="AW4" s="139">
        <f t="shared" si="8"/>
        <v>-10961841.989616027</v>
      </c>
      <c r="AX4" s="140">
        <f t="shared" si="8"/>
        <v>-10961841.989616027</v>
      </c>
      <c r="AZ4" s="153"/>
      <c r="BA4" s="283"/>
      <c r="BB4" s="118"/>
      <c r="BC4" s="118"/>
      <c r="BD4" s="505"/>
      <c r="BE4" s="118"/>
      <c r="BF4" s="118"/>
      <c r="BG4" s="118"/>
      <c r="BH4" s="118"/>
      <c r="BI4" s="118"/>
      <c r="BJ4" s="118"/>
      <c r="BK4" s="119"/>
      <c r="BM4" s="157">
        <v>0</v>
      </c>
      <c r="BN4" s="139">
        <f>'Property-Level CF'!BA16</f>
        <v>-14068705.077056095</v>
      </c>
      <c r="BO4" s="139">
        <f t="shared" ref="BO4:BW4" si="9">BN4</f>
        <v>-14068705.077056095</v>
      </c>
      <c r="BP4" s="139">
        <f t="shared" si="9"/>
        <v>-14068705.077056095</v>
      </c>
      <c r="BQ4" s="139">
        <f t="shared" si="9"/>
        <v>-14068705.077056095</v>
      </c>
      <c r="BR4" s="139">
        <f t="shared" si="9"/>
        <v>-14068705.077056095</v>
      </c>
      <c r="BS4" s="139">
        <f t="shared" si="9"/>
        <v>-14068705.077056095</v>
      </c>
      <c r="BT4" s="139">
        <f t="shared" si="9"/>
        <v>-14068705.077056095</v>
      </c>
      <c r="BU4" s="139">
        <f t="shared" si="9"/>
        <v>-14068705.077056095</v>
      </c>
      <c r="BV4" s="139">
        <f t="shared" si="9"/>
        <v>-14068705.077056095</v>
      </c>
      <c r="BW4" s="140">
        <f t="shared" si="9"/>
        <v>-14068705.077056095</v>
      </c>
      <c r="BY4" s="165"/>
      <c r="BZ4" s="166"/>
      <c r="CA4" s="166"/>
      <c r="CB4" s="166"/>
      <c r="CC4" s="166"/>
      <c r="CD4" s="166"/>
      <c r="CE4" s="166"/>
      <c r="CF4" s="166"/>
      <c r="CG4" s="166"/>
      <c r="CH4" s="166"/>
      <c r="CI4" s="166"/>
      <c r="CJ4" s="167"/>
      <c r="CL4" s="157">
        <v>0</v>
      </c>
      <c r="CM4" s="139">
        <f>'Property-Level CF'!BZ16</f>
        <v>-26845115.361278508</v>
      </c>
      <c r="CN4" s="139">
        <f t="shared" ref="CN4:CV4" si="10">CM4</f>
        <v>-26845115.361278508</v>
      </c>
      <c r="CO4" s="139">
        <f t="shared" si="10"/>
        <v>-26845115.361278508</v>
      </c>
      <c r="CP4" s="139">
        <f t="shared" si="10"/>
        <v>-26845115.361278508</v>
      </c>
      <c r="CQ4" s="139">
        <f t="shared" si="10"/>
        <v>-26845115.361278508</v>
      </c>
      <c r="CR4" s="139">
        <f t="shared" si="10"/>
        <v>-26845115.361278508</v>
      </c>
      <c r="CS4" s="139">
        <f t="shared" si="10"/>
        <v>-26845115.361278508</v>
      </c>
      <c r="CT4" s="139">
        <f t="shared" si="10"/>
        <v>-26845115.361278508</v>
      </c>
      <c r="CU4" s="139">
        <f t="shared" si="10"/>
        <v>-26845115.361278508</v>
      </c>
      <c r="CV4" s="140">
        <f t="shared" si="10"/>
        <v>-26845115.361278508</v>
      </c>
      <c r="CX4" s="153"/>
      <c r="CY4" s="283"/>
      <c r="CZ4" s="118"/>
      <c r="DA4" s="118"/>
      <c r="DB4" s="118"/>
      <c r="DC4" s="118"/>
      <c r="DD4" s="118"/>
      <c r="DE4" s="118"/>
      <c r="DF4" s="118"/>
      <c r="DG4" s="118"/>
      <c r="DH4" s="118"/>
      <c r="DI4" s="119"/>
      <c r="DK4" s="157">
        <v>0</v>
      </c>
      <c r="DL4" s="139">
        <f>'Property-Level CF'!CY16</f>
        <v>-11362864.518501915</v>
      </c>
      <c r="DM4" s="139">
        <f t="shared" ref="DM4:DU4" si="11">DL4</f>
        <v>-11362864.518501915</v>
      </c>
      <c r="DN4" s="139">
        <f t="shared" si="11"/>
        <v>-11362864.518501915</v>
      </c>
      <c r="DO4" s="139">
        <f t="shared" si="11"/>
        <v>-11362864.518501915</v>
      </c>
      <c r="DP4" s="139">
        <f t="shared" si="11"/>
        <v>-11362864.518501915</v>
      </c>
      <c r="DQ4" s="139">
        <f t="shared" si="11"/>
        <v>-11362864.518501915</v>
      </c>
      <c r="DR4" s="139">
        <f t="shared" si="11"/>
        <v>-11362864.518501915</v>
      </c>
      <c r="DS4" s="139">
        <f t="shared" si="11"/>
        <v>-11362864.518501915</v>
      </c>
      <c r="DT4" s="139">
        <f t="shared" si="11"/>
        <v>-11362864.518501915</v>
      </c>
      <c r="DU4" s="140">
        <f t="shared" si="11"/>
        <v>-11362864.518501915</v>
      </c>
      <c r="DW4" s="153"/>
      <c r="DX4" s="283"/>
      <c r="DY4" s="118"/>
      <c r="DZ4" s="118"/>
      <c r="EA4" s="118"/>
      <c r="EB4" s="118"/>
      <c r="EC4" s="118"/>
      <c r="ED4" s="118"/>
      <c r="EE4" s="118"/>
      <c r="EF4" s="118"/>
      <c r="EG4" s="118"/>
      <c r="EH4" s="119"/>
      <c r="EJ4" s="157">
        <v>0</v>
      </c>
      <c r="EK4" s="139">
        <f>'Property-Level CF'!DX16</f>
        <v>-27089729.418582588</v>
      </c>
      <c r="EL4" s="139">
        <f t="shared" ref="EL4:ET4" si="12">EK4</f>
        <v>-27089729.418582588</v>
      </c>
      <c r="EM4" s="139">
        <f t="shared" si="12"/>
        <v>-27089729.418582588</v>
      </c>
      <c r="EN4" s="139">
        <f t="shared" si="12"/>
        <v>-27089729.418582588</v>
      </c>
      <c r="EO4" s="139">
        <f t="shared" si="12"/>
        <v>-27089729.418582588</v>
      </c>
      <c r="EP4" s="139">
        <f t="shared" si="12"/>
        <v>-27089729.418582588</v>
      </c>
      <c r="EQ4" s="139">
        <f t="shared" si="12"/>
        <v>-27089729.418582588</v>
      </c>
      <c r="ER4" s="139">
        <f t="shared" si="12"/>
        <v>-27089729.418582588</v>
      </c>
      <c r="ES4" s="139">
        <f t="shared" si="12"/>
        <v>-27089729.418582588</v>
      </c>
      <c r="ET4" s="140">
        <f t="shared" si="12"/>
        <v>-27089729.418582588</v>
      </c>
    </row>
    <row r="5" spans="2:150" x14ac:dyDescent="0.3">
      <c r="B5" s="109"/>
      <c r="C5" s="120" t="str">
        <f>'Portfolio-Level CF'!C5</f>
        <v>Year 0</v>
      </c>
      <c r="D5" s="120" t="str">
        <f>'Portfolio-Level CF'!D5</f>
        <v>Year 1</v>
      </c>
      <c r="E5" s="120" t="str">
        <f>'Portfolio-Level CF'!E5</f>
        <v>Year 2</v>
      </c>
      <c r="F5" s="120" t="str">
        <f>'Portfolio-Level CF'!F5</f>
        <v>Year 3</v>
      </c>
      <c r="G5" s="120" t="str">
        <f>'Portfolio-Level CF'!G5</f>
        <v>Year 4</v>
      </c>
      <c r="H5" s="120" t="str">
        <f>'Portfolio-Level CF'!H5</f>
        <v>Year 5</v>
      </c>
      <c r="I5" s="120" t="str">
        <f>'Portfolio-Level CF'!I5</f>
        <v>Year 6</v>
      </c>
      <c r="J5" s="120" t="str">
        <f>'Portfolio-Level CF'!J5</f>
        <v>Year 7</v>
      </c>
      <c r="K5" s="120" t="str">
        <f>'Portfolio-Level CF'!K5</f>
        <v>Year 8</v>
      </c>
      <c r="L5" s="120" t="str">
        <f>'Portfolio-Level CF'!L5</f>
        <v>Year 9</v>
      </c>
      <c r="M5" s="121" t="str">
        <f>'Portfolio-Level CF'!M5</f>
        <v>Year 10</v>
      </c>
      <c r="O5" s="145">
        <f t="shared" ref="O5:O15" si="13">O4+1</f>
        <v>1</v>
      </c>
      <c r="P5" s="139">
        <f>'Property-Level CF'!D23+'Property-Level CF'!D14</f>
        <v>13666559.69011372</v>
      </c>
      <c r="Q5" s="139">
        <f>'Property-Level CF'!D14</f>
        <v>761132.5</v>
      </c>
      <c r="R5" s="139">
        <f t="shared" ref="R5:Y5" si="14">Q5</f>
        <v>761132.5</v>
      </c>
      <c r="S5" s="139">
        <f t="shared" si="14"/>
        <v>761132.5</v>
      </c>
      <c r="T5" s="139">
        <f t="shared" si="14"/>
        <v>761132.5</v>
      </c>
      <c r="U5" s="139">
        <f t="shared" si="14"/>
        <v>761132.5</v>
      </c>
      <c r="V5" s="139">
        <f t="shared" si="14"/>
        <v>761132.5</v>
      </c>
      <c r="W5" s="139">
        <f t="shared" si="14"/>
        <v>761132.5</v>
      </c>
      <c r="X5" s="139">
        <f t="shared" si="14"/>
        <v>761132.5</v>
      </c>
      <c r="Y5" s="140">
        <f t="shared" si="14"/>
        <v>761132.5</v>
      </c>
      <c r="AA5" s="109"/>
      <c r="AB5" s="120" t="str">
        <f>'Property-Level CF'!C5</f>
        <v>Year 0</v>
      </c>
      <c r="AC5" s="120" t="str">
        <f>'Property-Level CF'!D5</f>
        <v>Year 1</v>
      </c>
      <c r="AD5" s="120" t="str">
        <f>'Property-Level CF'!E5</f>
        <v>Year 2</v>
      </c>
      <c r="AE5" s="120" t="str">
        <f>'Property-Level CF'!F5</f>
        <v>Year 3</v>
      </c>
      <c r="AF5" s="120" t="str">
        <f>'Property-Level CF'!G5</f>
        <v>Year 4</v>
      </c>
      <c r="AG5" s="120" t="str">
        <f>'Property-Level CF'!H5</f>
        <v>Year 5</v>
      </c>
      <c r="AH5" s="120" t="str">
        <f>'Property-Level CF'!I5</f>
        <v>Year 6</v>
      </c>
      <c r="AI5" s="120" t="str">
        <f>'Property-Level CF'!J5</f>
        <v>Year 7</v>
      </c>
      <c r="AJ5" s="120" t="str">
        <f>'Property-Level CF'!K5</f>
        <v>Year 8</v>
      </c>
      <c r="AK5" s="178" t="str">
        <f>'Property-Level CF'!L5</f>
        <v>Year 9</v>
      </c>
      <c r="AL5" s="121" t="str">
        <f>'Property-Level CF'!M5</f>
        <v>Year 10</v>
      </c>
      <c r="AN5" s="145">
        <f t="shared" ref="AN5:AN15" si="15">AN4+1</f>
        <v>1</v>
      </c>
      <c r="AO5" s="139">
        <f>'Property-Level CF'!AC23+'Property-Level CF'!AC14</f>
        <v>10948110.073015811</v>
      </c>
      <c r="AP5" s="139">
        <f>'Property-Level CF'!AC14</f>
        <v>408299</v>
      </c>
      <c r="AQ5" s="139">
        <f t="shared" ref="AQ5:AX5" si="16">AP5</f>
        <v>408299</v>
      </c>
      <c r="AR5" s="139">
        <f t="shared" si="16"/>
        <v>408299</v>
      </c>
      <c r="AS5" s="139">
        <f t="shared" si="16"/>
        <v>408299</v>
      </c>
      <c r="AT5" s="139">
        <f t="shared" si="16"/>
        <v>408299</v>
      </c>
      <c r="AU5" s="139">
        <f t="shared" si="16"/>
        <v>408299</v>
      </c>
      <c r="AV5" s="139">
        <f t="shared" si="16"/>
        <v>408299</v>
      </c>
      <c r="AW5" s="139">
        <f t="shared" si="16"/>
        <v>408299</v>
      </c>
      <c r="AX5" s="140">
        <f t="shared" si="16"/>
        <v>408299</v>
      </c>
      <c r="AZ5" s="109"/>
      <c r="BA5" s="120" t="str">
        <f>'Property-Level CF'!AB5</f>
        <v>Year 0</v>
      </c>
      <c r="BB5" s="120" t="str">
        <f>'Property-Level CF'!AC5</f>
        <v>Year 1</v>
      </c>
      <c r="BC5" s="120" t="str">
        <f>'Property-Level CF'!AD5</f>
        <v>Year 2</v>
      </c>
      <c r="BD5" s="120" t="str">
        <f>'Property-Level CF'!AE5</f>
        <v>Year 3</v>
      </c>
      <c r="BE5" s="120" t="str">
        <f>'Property-Level CF'!AF5</f>
        <v>Year 4</v>
      </c>
      <c r="BF5" s="120" t="str">
        <f>'Property-Level CF'!AG5</f>
        <v>Year 5</v>
      </c>
      <c r="BG5" s="120" t="str">
        <f>'Property-Level CF'!AH5</f>
        <v>Year 6</v>
      </c>
      <c r="BH5" s="120" t="str">
        <f>'Property-Level CF'!AI5</f>
        <v>Year 7</v>
      </c>
      <c r="BI5" s="120" t="str">
        <f>'Property-Level CF'!AJ5</f>
        <v>Year 8</v>
      </c>
      <c r="BJ5" s="120" t="str">
        <f>'Property-Level CF'!AK5</f>
        <v>Year 9</v>
      </c>
      <c r="BK5" s="121" t="str">
        <f>'Property-Level CF'!AL5</f>
        <v>Year 10</v>
      </c>
      <c r="BM5" s="145">
        <f t="shared" ref="BM5:BM15" si="17">BM4+1</f>
        <v>1</v>
      </c>
      <c r="BN5" s="139">
        <f>'Property-Level CF'!BB23+'Property-Level CF'!BB14</f>
        <v>14150358.931589436</v>
      </c>
      <c r="BO5" s="139">
        <f>'Property-Level CF'!BB14</f>
        <v>623299</v>
      </c>
      <c r="BP5" s="139">
        <f t="shared" ref="BP5:BW5" si="18">BO5</f>
        <v>623299</v>
      </c>
      <c r="BQ5" s="139">
        <f t="shared" si="18"/>
        <v>623299</v>
      </c>
      <c r="BR5" s="139">
        <f t="shared" si="18"/>
        <v>623299</v>
      </c>
      <c r="BS5" s="139">
        <f t="shared" si="18"/>
        <v>623299</v>
      </c>
      <c r="BT5" s="139">
        <f t="shared" si="18"/>
        <v>623299</v>
      </c>
      <c r="BU5" s="139">
        <f t="shared" si="18"/>
        <v>623299</v>
      </c>
      <c r="BV5" s="139">
        <f t="shared" si="18"/>
        <v>623299</v>
      </c>
      <c r="BW5" s="140">
        <f t="shared" si="18"/>
        <v>623299</v>
      </c>
      <c r="BY5" s="109"/>
      <c r="BZ5" s="120" t="str">
        <f>'Portfolio-Level CF'!C5</f>
        <v>Year 0</v>
      </c>
      <c r="CA5" s="120" t="str">
        <f>'Portfolio-Level CF'!D5</f>
        <v>Year 1</v>
      </c>
      <c r="CB5" s="120" t="str">
        <f>'Portfolio-Level CF'!E5</f>
        <v>Year 2</v>
      </c>
      <c r="CC5" s="120" t="str">
        <f>'Portfolio-Level CF'!F5</f>
        <v>Year 3</v>
      </c>
      <c r="CD5" s="120" t="str">
        <f>'Portfolio-Level CF'!G5</f>
        <v>Year 4</v>
      </c>
      <c r="CE5" s="120" t="str">
        <f>'Portfolio-Level CF'!H5</f>
        <v>Year 5</v>
      </c>
      <c r="CF5" s="120" t="str">
        <f>'Portfolio-Level CF'!I5</f>
        <v>Year 6</v>
      </c>
      <c r="CG5" s="120" t="str">
        <f>'Portfolio-Level CF'!J5</f>
        <v>Year 7</v>
      </c>
      <c r="CH5" s="120" t="str">
        <f>'Portfolio-Level CF'!K5</f>
        <v>Year 8</v>
      </c>
      <c r="CI5" s="120" t="str">
        <f>'Portfolio-Level CF'!L5</f>
        <v>Year 9</v>
      </c>
      <c r="CJ5" s="121" t="str">
        <f>'Portfolio-Level CF'!M5</f>
        <v>Year 10</v>
      </c>
      <c r="CL5" s="145">
        <f t="shared" ref="CL5:CL15" si="19">CL4+1</f>
        <v>1</v>
      </c>
      <c r="CM5" s="139">
        <f>'Property-Level CF'!CA23+'Property-Level CF'!CA14</f>
        <v>27144205.919869285</v>
      </c>
      <c r="CN5" s="139">
        <f>'Property-Level CF'!CA14</f>
        <v>1332627.5</v>
      </c>
      <c r="CO5" s="139">
        <f t="shared" ref="CO5:CV5" si="20">CN5</f>
        <v>1332627.5</v>
      </c>
      <c r="CP5" s="139">
        <f t="shared" si="20"/>
        <v>1332627.5</v>
      </c>
      <c r="CQ5" s="139">
        <f t="shared" si="20"/>
        <v>1332627.5</v>
      </c>
      <c r="CR5" s="139">
        <f t="shared" si="20"/>
        <v>1332627.5</v>
      </c>
      <c r="CS5" s="139">
        <f t="shared" si="20"/>
        <v>1332627.5</v>
      </c>
      <c r="CT5" s="139">
        <f t="shared" si="20"/>
        <v>1332627.5</v>
      </c>
      <c r="CU5" s="139">
        <f t="shared" si="20"/>
        <v>1332627.5</v>
      </c>
      <c r="CV5" s="140">
        <f t="shared" si="20"/>
        <v>1332627.5</v>
      </c>
      <c r="CX5" s="186"/>
      <c r="CY5" s="120" t="str">
        <f>'Property-Level CF'!DX5</f>
        <v>Year 0</v>
      </c>
      <c r="CZ5" s="120" t="str">
        <f>'Property-Level CF'!DY5</f>
        <v>Year 1</v>
      </c>
      <c r="DA5" s="120" t="str">
        <f>'Property-Level CF'!DZ5</f>
        <v>Year 2</v>
      </c>
      <c r="DB5" s="120" t="str">
        <f>'Property-Level CF'!EA5</f>
        <v>Year 3</v>
      </c>
      <c r="DC5" s="120" t="str">
        <f>'Property-Level CF'!EB5</f>
        <v>Year 4</v>
      </c>
      <c r="DD5" s="120" t="str">
        <f>'Property-Level CF'!EC5</f>
        <v>Year 5</v>
      </c>
      <c r="DE5" s="120" t="str">
        <f>'Property-Level CF'!ED5</f>
        <v>Year 6</v>
      </c>
      <c r="DF5" s="120" t="str">
        <f>'Property-Level CF'!EE5</f>
        <v>Year 7</v>
      </c>
      <c r="DG5" s="120" t="str">
        <f>'Property-Level CF'!EF5</f>
        <v>Year 8</v>
      </c>
      <c r="DH5" s="120" t="str">
        <f>'Property-Level CF'!EG5</f>
        <v>Year 9</v>
      </c>
      <c r="DI5" s="121" t="str">
        <f>'Property-Level CF'!EH5</f>
        <v>Year 10</v>
      </c>
      <c r="DK5" s="145">
        <f t="shared" ref="DK5:DK15" si="21">DK4+1</f>
        <v>1</v>
      </c>
      <c r="DL5" s="139">
        <f>'Property-Level CF'!CZ23+'Property-Level CF'!CZ14</f>
        <v>11496448.234539591</v>
      </c>
      <c r="DM5" s="139">
        <f>'Property-Level CF'!CZ14</f>
        <v>571054</v>
      </c>
      <c r="DN5" s="139">
        <f t="shared" ref="DN5:DU5" si="22">DM5</f>
        <v>571054</v>
      </c>
      <c r="DO5" s="139">
        <f t="shared" si="22"/>
        <v>571054</v>
      </c>
      <c r="DP5" s="139">
        <f t="shared" si="22"/>
        <v>571054</v>
      </c>
      <c r="DQ5" s="139">
        <f t="shared" si="22"/>
        <v>571054</v>
      </c>
      <c r="DR5" s="139">
        <f t="shared" si="22"/>
        <v>571054</v>
      </c>
      <c r="DS5" s="139">
        <f t="shared" si="22"/>
        <v>571054</v>
      </c>
      <c r="DT5" s="139">
        <f t="shared" si="22"/>
        <v>571054</v>
      </c>
      <c r="DU5" s="140">
        <f t="shared" si="22"/>
        <v>571054</v>
      </c>
      <c r="DW5" s="186"/>
      <c r="DX5" s="120" t="str">
        <f>'Property-Level CF'!BZ5</f>
        <v>Year 0</v>
      </c>
      <c r="DY5" s="120" t="str">
        <f>'Property-Level CF'!CA5</f>
        <v>Year 1</v>
      </c>
      <c r="DZ5" s="120" t="str">
        <f>'Property-Level CF'!CB5</f>
        <v>Year 2</v>
      </c>
      <c r="EA5" s="120" t="str">
        <f>'Property-Level CF'!CC5</f>
        <v>Year 3</v>
      </c>
      <c r="EB5" s="120" t="str">
        <f>'Property-Level CF'!CD5</f>
        <v>Year 4</v>
      </c>
      <c r="EC5" s="120" t="str">
        <f>'Property-Level CF'!CE5</f>
        <v>Year 5</v>
      </c>
      <c r="ED5" s="120" t="str">
        <f>'Property-Level CF'!CF5</f>
        <v>Year 6</v>
      </c>
      <c r="EE5" s="120" t="str">
        <f>'Property-Level CF'!CG5</f>
        <v>Year 7</v>
      </c>
      <c r="EF5" s="120" t="str">
        <f>'Property-Level CF'!CH5</f>
        <v>Year 8</v>
      </c>
      <c r="EG5" s="120" t="str">
        <f>'Property-Level CF'!CI5</f>
        <v>Year 9</v>
      </c>
      <c r="EH5" s="121" t="str">
        <f>'Property-Level CF'!CJ5</f>
        <v>Year 10</v>
      </c>
      <c r="EJ5" s="145">
        <f t="shared" ref="EJ5:EJ15" si="23">EJ4+1</f>
        <v>1</v>
      </c>
      <c r="EK5" s="139">
        <f>'Property-Level CF'!DY23+'Property-Level CF'!DY14</f>
        <v>27336968.335967161</v>
      </c>
      <c r="EL5" s="139">
        <f>'Property-Level CF'!DY14</f>
        <v>1290193.5</v>
      </c>
      <c r="EM5" s="139">
        <f t="shared" ref="EM5:ET5" si="24">EL5</f>
        <v>1290193.5</v>
      </c>
      <c r="EN5" s="139">
        <f t="shared" si="24"/>
        <v>1290193.5</v>
      </c>
      <c r="EO5" s="139">
        <f t="shared" si="24"/>
        <v>1290193.5</v>
      </c>
      <c r="EP5" s="139">
        <f t="shared" si="24"/>
        <v>1290193.5</v>
      </c>
      <c r="EQ5" s="139">
        <f t="shared" si="24"/>
        <v>1290193.5</v>
      </c>
      <c r="ER5" s="139">
        <f t="shared" si="24"/>
        <v>1290193.5</v>
      </c>
      <c r="ES5" s="139">
        <f t="shared" si="24"/>
        <v>1290193.5</v>
      </c>
      <c r="ET5" s="140">
        <f t="shared" si="24"/>
        <v>1290193.5</v>
      </c>
    </row>
    <row r="6" spans="2:150" x14ac:dyDescent="0.3">
      <c r="B6" s="124" t="s">
        <v>125</v>
      </c>
      <c r="C6" s="122">
        <f>'Portfolio-Level CF'!C6</f>
        <v>44377</v>
      </c>
      <c r="D6" s="122">
        <f>'Portfolio-Level CF'!D6</f>
        <v>44742</v>
      </c>
      <c r="E6" s="122">
        <f>'Portfolio-Level CF'!E6</f>
        <v>45107</v>
      </c>
      <c r="F6" s="122">
        <f>'Portfolio-Level CF'!F6</f>
        <v>45473</v>
      </c>
      <c r="G6" s="122">
        <f>'Portfolio-Level CF'!G6</f>
        <v>45838</v>
      </c>
      <c r="H6" s="122">
        <f>'Portfolio-Level CF'!H6</f>
        <v>46203</v>
      </c>
      <c r="I6" s="122">
        <f>'Portfolio-Level CF'!I6</f>
        <v>46568</v>
      </c>
      <c r="J6" s="122">
        <f>'Portfolio-Level CF'!J6</f>
        <v>46934</v>
      </c>
      <c r="K6" s="122">
        <f>'Portfolio-Level CF'!K6</f>
        <v>47299</v>
      </c>
      <c r="L6" s="122">
        <f>'Portfolio-Level CF'!L6</f>
        <v>47664</v>
      </c>
      <c r="M6" s="123">
        <f>'Portfolio-Level CF'!M6</f>
        <v>48029</v>
      </c>
      <c r="O6" s="145">
        <f t="shared" si="13"/>
        <v>2</v>
      </c>
      <c r="P6" s="139"/>
      <c r="Q6" s="139">
        <f>'Property-Level CF'!E23+'Property-Level CF'!E14</f>
        <v>13777531.157766383</v>
      </c>
      <c r="R6" s="139">
        <f>'Property-Level CF'!E14</f>
        <v>731468.5</v>
      </c>
      <c r="S6" s="139">
        <f t="shared" ref="S6:Y6" si="25">R6</f>
        <v>731468.5</v>
      </c>
      <c r="T6" s="139">
        <f t="shared" si="25"/>
        <v>731468.5</v>
      </c>
      <c r="U6" s="139">
        <f t="shared" si="25"/>
        <v>731468.5</v>
      </c>
      <c r="V6" s="139">
        <f t="shared" si="25"/>
        <v>731468.5</v>
      </c>
      <c r="W6" s="139">
        <f t="shared" si="25"/>
        <v>731468.5</v>
      </c>
      <c r="X6" s="139">
        <f t="shared" si="25"/>
        <v>731468.5</v>
      </c>
      <c r="Y6" s="140">
        <f t="shared" si="25"/>
        <v>731468.5</v>
      </c>
      <c r="AA6" s="124" t="s">
        <v>125</v>
      </c>
      <c r="AB6" s="122">
        <f>'Property-Level CF'!C6</f>
        <v>44377</v>
      </c>
      <c r="AC6" s="122">
        <f>'Property-Level CF'!D6</f>
        <v>44742</v>
      </c>
      <c r="AD6" s="122">
        <f>'Property-Level CF'!E6</f>
        <v>45107</v>
      </c>
      <c r="AE6" s="122">
        <f>'Property-Level CF'!F6</f>
        <v>45473</v>
      </c>
      <c r="AF6" s="122">
        <f>'Property-Level CF'!G6</f>
        <v>45838</v>
      </c>
      <c r="AG6" s="122">
        <f>'Property-Level CF'!H6</f>
        <v>46203</v>
      </c>
      <c r="AH6" s="122">
        <f>'Property-Level CF'!I6</f>
        <v>46568</v>
      </c>
      <c r="AI6" s="122">
        <f>'Property-Level CF'!J6</f>
        <v>46934</v>
      </c>
      <c r="AJ6" s="122">
        <f>'Property-Level CF'!K6</f>
        <v>47299</v>
      </c>
      <c r="AK6" s="122">
        <f>'Property-Level CF'!L6</f>
        <v>47664</v>
      </c>
      <c r="AL6" s="123">
        <f>'Property-Level CF'!M6</f>
        <v>48029</v>
      </c>
      <c r="AN6" s="145">
        <f t="shared" si="15"/>
        <v>2</v>
      </c>
      <c r="AO6" s="139"/>
      <c r="AP6" s="139">
        <f>'Property-Level CF'!AD23+'Property-Level CF'!AD14</f>
        <v>10724992.820754718</v>
      </c>
      <c r="AQ6" s="139">
        <f>'Property-Level CF'!AD14</f>
        <v>547987</v>
      </c>
      <c r="AR6" s="139">
        <f t="shared" ref="AR6:AX6" si="26">AQ6</f>
        <v>547987</v>
      </c>
      <c r="AS6" s="139">
        <f t="shared" si="26"/>
        <v>547987</v>
      </c>
      <c r="AT6" s="139">
        <f t="shared" si="26"/>
        <v>547987</v>
      </c>
      <c r="AU6" s="139">
        <f t="shared" si="26"/>
        <v>547987</v>
      </c>
      <c r="AV6" s="139">
        <f t="shared" si="26"/>
        <v>547987</v>
      </c>
      <c r="AW6" s="139">
        <f t="shared" si="26"/>
        <v>547987</v>
      </c>
      <c r="AX6" s="140">
        <f t="shared" si="26"/>
        <v>547987</v>
      </c>
      <c r="AZ6" s="124" t="s">
        <v>125</v>
      </c>
      <c r="BA6" s="122">
        <f>'Property-Level CF'!AB6</f>
        <v>44377</v>
      </c>
      <c r="BB6" s="122">
        <f>'Property-Level CF'!AC6</f>
        <v>44742</v>
      </c>
      <c r="BC6" s="122">
        <f>'Property-Level CF'!AD6</f>
        <v>45107</v>
      </c>
      <c r="BD6" s="122">
        <f>'Property-Level CF'!AE6</f>
        <v>45473</v>
      </c>
      <c r="BE6" s="122">
        <f>'Property-Level CF'!AF6</f>
        <v>45838</v>
      </c>
      <c r="BF6" s="122">
        <f>'Property-Level CF'!AG6</f>
        <v>46203</v>
      </c>
      <c r="BG6" s="122">
        <f>'Property-Level CF'!AH6</f>
        <v>46568</v>
      </c>
      <c r="BH6" s="122">
        <f>'Property-Level CF'!AI6</f>
        <v>46934</v>
      </c>
      <c r="BI6" s="122">
        <f>'Property-Level CF'!AJ6</f>
        <v>47299</v>
      </c>
      <c r="BJ6" s="122">
        <f>'Property-Level CF'!AK6</f>
        <v>47664</v>
      </c>
      <c r="BK6" s="123">
        <f>'Property-Level CF'!AL6</f>
        <v>48029</v>
      </c>
      <c r="BM6" s="145">
        <f t="shared" si="17"/>
        <v>2</v>
      </c>
      <c r="BN6" s="139"/>
      <c r="BO6" s="139">
        <f>'Property-Level CF'!BC23+'Property-Level CF'!BC14</f>
        <v>15195130.518867925</v>
      </c>
      <c r="BP6" s="139">
        <f>'Property-Level CF'!BC14</f>
        <v>779615</v>
      </c>
      <c r="BQ6" s="139">
        <f t="shared" ref="BQ6:BW6" si="27">BP6</f>
        <v>779615</v>
      </c>
      <c r="BR6" s="139">
        <f t="shared" si="27"/>
        <v>779615</v>
      </c>
      <c r="BS6" s="139">
        <f t="shared" si="27"/>
        <v>779615</v>
      </c>
      <c r="BT6" s="139">
        <f t="shared" si="27"/>
        <v>779615</v>
      </c>
      <c r="BU6" s="139">
        <f t="shared" si="27"/>
        <v>779615</v>
      </c>
      <c r="BV6" s="139">
        <f t="shared" si="27"/>
        <v>779615</v>
      </c>
      <c r="BW6" s="140">
        <f t="shared" si="27"/>
        <v>779615</v>
      </c>
      <c r="BY6" s="124" t="s">
        <v>125</v>
      </c>
      <c r="BZ6" s="122">
        <f>'Portfolio-Level CF'!C6</f>
        <v>44377</v>
      </c>
      <c r="CA6" s="122">
        <f>'Portfolio-Level CF'!D6</f>
        <v>44742</v>
      </c>
      <c r="CB6" s="122">
        <f>'Portfolio-Level CF'!E6</f>
        <v>45107</v>
      </c>
      <c r="CC6" s="122">
        <f>'Portfolio-Level CF'!F6</f>
        <v>45473</v>
      </c>
      <c r="CD6" s="122">
        <f>'Portfolio-Level CF'!G6</f>
        <v>45838</v>
      </c>
      <c r="CE6" s="122">
        <f>'Portfolio-Level CF'!H6</f>
        <v>46203</v>
      </c>
      <c r="CF6" s="122">
        <f>'Portfolio-Level CF'!I6</f>
        <v>46568</v>
      </c>
      <c r="CG6" s="122">
        <f>'Portfolio-Level CF'!J6</f>
        <v>46934</v>
      </c>
      <c r="CH6" s="122">
        <f>'Portfolio-Level CF'!K6</f>
        <v>47299</v>
      </c>
      <c r="CI6" s="122">
        <f>'Portfolio-Level CF'!L6</f>
        <v>47664</v>
      </c>
      <c r="CJ6" s="123">
        <f>'Portfolio-Level CF'!M6</f>
        <v>48029</v>
      </c>
      <c r="CL6" s="145">
        <f t="shared" si="19"/>
        <v>2</v>
      </c>
      <c r="CM6" s="139"/>
      <c r="CN6" s="139">
        <f>'Property-Level CF'!CB23+'Property-Level CF'!CB14</f>
        <v>27372249.808217198</v>
      </c>
      <c r="CO6" s="139">
        <f>'Property-Level CF'!CB14</f>
        <v>1356219.5</v>
      </c>
      <c r="CP6" s="139">
        <f t="shared" ref="CP6:CV6" si="28">CO6</f>
        <v>1356219.5</v>
      </c>
      <c r="CQ6" s="139">
        <f t="shared" si="28"/>
        <v>1356219.5</v>
      </c>
      <c r="CR6" s="139">
        <f t="shared" si="28"/>
        <v>1356219.5</v>
      </c>
      <c r="CS6" s="139">
        <f t="shared" si="28"/>
        <v>1356219.5</v>
      </c>
      <c r="CT6" s="139">
        <f t="shared" si="28"/>
        <v>1356219.5</v>
      </c>
      <c r="CU6" s="139">
        <f t="shared" si="28"/>
        <v>1356219.5</v>
      </c>
      <c r="CV6" s="140">
        <f t="shared" si="28"/>
        <v>1356219.5</v>
      </c>
      <c r="CX6" s="469" t="s">
        <v>125</v>
      </c>
      <c r="CY6" s="122">
        <f>'Property-Level CF'!DX6</f>
        <v>44377</v>
      </c>
      <c r="CZ6" s="122">
        <f>'Property-Level CF'!DY6</f>
        <v>44742</v>
      </c>
      <c r="DA6" s="122">
        <f>'Property-Level CF'!DZ6</f>
        <v>45107</v>
      </c>
      <c r="DB6" s="122">
        <f>'Property-Level CF'!EA6</f>
        <v>45473</v>
      </c>
      <c r="DC6" s="122">
        <f>'Property-Level CF'!EB6</f>
        <v>45838</v>
      </c>
      <c r="DD6" s="122">
        <f>'Property-Level CF'!EC6</f>
        <v>46203</v>
      </c>
      <c r="DE6" s="122">
        <f>'Property-Level CF'!ED6</f>
        <v>46568</v>
      </c>
      <c r="DF6" s="122">
        <f>'Property-Level CF'!EE6</f>
        <v>46934</v>
      </c>
      <c r="DG6" s="122">
        <f>'Property-Level CF'!EF6</f>
        <v>47299</v>
      </c>
      <c r="DH6" s="122">
        <f>'Property-Level CF'!EG6</f>
        <v>47664</v>
      </c>
      <c r="DI6" s="123">
        <f>'Property-Level CF'!EH6</f>
        <v>48029</v>
      </c>
      <c r="DK6" s="145">
        <f t="shared" si="21"/>
        <v>2</v>
      </c>
      <c r="DL6" s="139"/>
      <c r="DM6" s="139">
        <f>'Property-Level CF'!DA23+'Property-Level CF'!DA14</f>
        <v>11622591.92066833</v>
      </c>
      <c r="DN6" s="139">
        <f>'Property-Level CF'!DA14</f>
        <v>582737</v>
      </c>
      <c r="DO6" s="139">
        <f t="shared" ref="DO6:DU6" si="29">DN6</f>
        <v>582737</v>
      </c>
      <c r="DP6" s="139">
        <f t="shared" si="29"/>
        <v>582737</v>
      </c>
      <c r="DQ6" s="139">
        <f t="shared" si="29"/>
        <v>582737</v>
      </c>
      <c r="DR6" s="139">
        <f t="shared" si="29"/>
        <v>582737</v>
      </c>
      <c r="DS6" s="139">
        <f t="shared" si="29"/>
        <v>582737</v>
      </c>
      <c r="DT6" s="139">
        <f t="shared" si="29"/>
        <v>582737</v>
      </c>
      <c r="DU6" s="140">
        <f t="shared" si="29"/>
        <v>582737</v>
      </c>
      <c r="DW6" s="469" t="s">
        <v>125</v>
      </c>
      <c r="DX6" s="122">
        <f>'Property-Level CF'!BZ6</f>
        <v>44377</v>
      </c>
      <c r="DY6" s="122">
        <f>'Property-Level CF'!CA6</f>
        <v>44742</v>
      </c>
      <c r="DZ6" s="122">
        <f>'Property-Level CF'!CB6</f>
        <v>45107</v>
      </c>
      <c r="EA6" s="122">
        <f>'Property-Level CF'!CC6</f>
        <v>45473</v>
      </c>
      <c r="EB6" s="122">
        <f>'Property-Level CF'!CD6</f>
        <v>45838</v>
      </c>
      <c r="EC6" s="122">
        <f>'Property-Level CF'!CE6</f>
        <v>46203</v>
      </c>
      <c r="ED6" s="122">
        <f>'Property-Level CF'!CF6</f>
        <v>46568</v>
      </c>
      <c r="EE6" s="122">
        <f>'Property-Level CF'!CG6</f>
        <v>46934</v>
      </c>
      <c r="EF6" s="122">
        <f>'Property-Level CF'!CH6</f>
        <v>47299</v>
      </c>
      <c r="EG6" s="122">
        <f>'Property-Level CF'!CI6</f>
        <v>47664</v>
      </c>
      <c r="EH6" s="123">
        <f>'Property-Level CF'!CJ6</f>
        <v>48029</v>
      </c>
      <c r="EJ6" s="145">
        <f t="shared" si="23"/>
        <v>2</v>
      </c>
      <c r="EK6" s="139"/>
      <c r="EL6" s="139">
        <f>'Property-Level CF'!DZ23+'Property-Level CF'!DZ14</f>
        <v>27638171.654101864</v>
      </c>
      <c r="EM6" s="139">
        <f>'Property-Level CF'!DZ14</f>
        <v>1316526.5</v>
      </c>
      <c r="EN6" s="139">
        <f t="shared" ref="EN6:ET6" si="30">EM6</f>
        <v>1316526.5</v>
      </c>
      <c r="EO6" s="139">
        <f t="shared" si="30"/>
        <v>1316526.5</v>
      </c>
      <c r="EP6" s="139">
        <f t="shared" si="30"/>
        <v>1316526.5</v>
      </c>
      <c r="EQ6" s="139">
        <f t="shared" si="30"/>
        <v>1316526.5</v>
      </c>
      <c r="ER6" s="139">
        <f t="shared" si="30"/>
        <v>1316526.5</v>
      </c>
      <c r="ES6" s="139">
        <f t="shared" si="30"/>
        <v>1316526.5</v>
      </c>
      <c r="ET6" s="140">
        <f t="shared" si="30"/>
        <v>1316526.5</v>
      </c>
    </row>
    <row r="7" spans="2:150" x14ac:dyDescent="0.3">
      <c r="B7" s="190" t="s">
        <v>128</v>
      </c>
      <c r="C7" s="202"/>
      <c r="D7" s="319">
        <f>'Occupancy Report'!D49</f>
        <v>0.97895152403349117</v>
      </c>
      <c r="E7" s="319">
        <f>'Occupancy Report'!H49</f>
        <v>1</v>
      </c>
      <c r="F7" s="319">
        <f>'Occupancy Report'!L49</f>
        <v>0.99657191870306627</v>
      </c>
      <c r="G7" s="319">
        <f>'Occupancy Report'!P49</f>
        <v>0.97942583188484822</v>
      </c>
      <c r="H7" s="319">
        <f>'Occupancy Report'!T49</f>
        <v>1</v>
      </c>
      <c r="I7" s="319">
        <f>'Occupancy Report'!X49</f>
        <v>0.94696840598479959</v>
      </c>
      <c r="J7" s="319">
        <f>'Occupancy Report'!AB49</f>
        <v>0.97189938993217684</v>
      </c>
      <c r="K7" s="319">
        <f>'Occupancy Report'!AF49</f>
        <v>0.99633618486077502</v>
      </c>
      <c r="L7" s="319">
        <f>'Occupancy Report'!AJ49</f>
        <v>0.97942583188484822</v>
      </c>
      <c r="M7" s="320">
        <f>'Occupancy Report'!AN49</f>
        <v>0.98567135862217825</v>
      </c>
      <c r="O7" s="145">
        <f t="shared" si="13"/>
        <v>3</v>
      </c>
      <c r="P7" s="139"/>
      <c r="Q7" s="139"/>
      <c r="R7" s="139">
        <f>'Property-Level CF'!F23+'Property-Level CF'!F14</f>
        <v>13926261.496987736</v>
      </c>
      <c r="S7" s="139">
        <f>'Property-Level CF'!F14</f>
        <v>732340.5</v>
      </c>
      <c r="T7" s="139">
        <f t="shared" ref="T7:Y7" si="31">S7</f>
        <v>732340.5</v>
      </c>
      <c r="U7" s="139">
        <f t="shared" si="31"/>
        <v>732340.5</v>
      </c>
      <c r="V7" s="139">
        <f t="shared" si="31"/>
        <v>732340.5</v>
      </c>
      <c r="W7" s="139">
        <f t="shared" si="31"/>
        <v>732340.5</v>
      </c>
      <c r="X7" s="139">
        <f t="shared" si="31"/>
        <v>732340.5</v>
      </c>
      <c r="Y7" s="140">
        <f t="shared" si="31"/>
        <v>732340.5</v>
      </c>
      <c r="AA7" s="190" t="s">
        <v>128</v>
      </c>
      <c r="AB7" s="202"/>
      <c r="AC7" s="319">
        <f>'Occupancy Report'!D74</f>
        <v>0.79248447762725771</v>
      </c>
      <c r="AD7" s="319">
        <f>'Occupancy Report'!H74</f>
        <v>1</v>
      </c>
      <c r="AE7" s="319">
        <f>'Occupancy Report'!L74</f>
        <v>1</v>
      </c>
      <c r="AF7" s="319">
        <f>'Occupancy Report'!P74</f>
        <v>1</v>
      </c>
      <c r="AG7" s="319">
        <f>'Occupancy Report'!T74</f>
        <v>1</v>
      </c>
      <c r="AH7" s="319">
        <f>'Occupancy Report'!X74</f>
        <v>1</v>
      </c>
      <c r="AI7" s="319">
        <f>'Occupancy Report'!AB74</f>
        <v>1</v>
      </c>
      <c r="AJ7" s="319">
        <f>'Occupancy Report'!AF74</f>
        <v>1</v>
      </c>
      <c r="AK7" s="319">
        <f>'Occupancy Report'!AJ74</f>
        <v>0.99249217467159279</v>
      </c>
      <c r="AL7" s="320">
        <f>'Occupancy Report'!AN74</f>
        <v>0.98509659790640391</v>
      </c>
      <c r="AN7" s="145">
        <f t="shared" si="15"/>
        <v>3</v>
      </c>
      <c r="AO7" s="139"/>
      <c r="AP7" s="139"/>
      <c r="AQ7" s="139">
        <f>'Property-Level CF'!AE23+'Property-Level CF'!AE14</f>
        <v>13894271.679245284</v>
      </c>
      <c r="AR7" s="139">
        <f>'Property-Level CF'!AE14</f>
        <v>713558</v>
      </c>
      <c r="AS7" s="139">
        <f t="shared" ref="AS7:AX7" si="32">AR7</f>
        <v>713558</v>
      </c>
      <c r="AT7" s="139">
        <f t="shared" si="32"/>
        <v>713558</v>
      </c>
      <c r="AU7" s="139">
        <f t="shared" si="32"/>
        <v>713558</v>
      </c>
      <c r="AV7" s="139">
        <f t="shared" si="32"/>
        <v>713558</v>
      </c>
      <c r="AW7" s="139">
        <f t="shared" si="32"/>
        <v>713558</v>
      </c>
      <c r="AX7" s="140">
        <f t="shared" si="32"/>
        <v>713558</v>
      </c>
      <c r="AZ7" s="190" t="s">
        <v>128</v>
      </c>
      <c r="BA7" s="202"/>
      <c r="BB7" s="319">
        <f>'Occupancy Report'!D99</f>
        <v>0.90648333333333342</v>
      </c>
      <c r="BC7" s="319">
        <f>'Occupancy Report'!H99</f>
        <v>1</v>
      </c>
      <c r="BD7" s="319">
        <f>'Occupancy Report'!L99</f>
        <v>1</v>
      </c>
      <c r="BE7" s="319">
        <f>'Occupancy Report'!P99</f>
        <v>1</v>
      </c>
      <c r="BF7" s="319">
        <f>'Occupancy Report'!T99</f>
        <v>1</v>
      </c>
      <c r="BG7" s="319">
        <f>'Occupancy Report'!X99</f>
        <v>1</v>
      </c>
      <c r="BH7" s="319">
        <f>'Occupancy Report'!AB99</f>
        <v>1</v>
      </c>
      <c r="BI7" s="319">
        <f>'Occupancy Report'!AF99</f>
        <v>1</v>
      </c>
      <c r="BJ7" s="319">
        <f>'Occupancy Report'!AJ99</f>
        <v>1</v>
      </c>
      <c r="BK7" s="320">
        <f>'Occupancy Report'!AN99</f>
        <v>1</v>
      </c>
      <c r="BM7" s="145">
        <f t="shared" si="17"/>
        <v>3</v>
      </c>
      <c r="BN7" s="139"/>
      <c r="BO7" s="139"/>
      <c r="BP7" s="139">
        <f>'Property-Level CF'!BD23+'Property-Level CF'!BD14</f>
        <v>16779454.113207549</v>
      </c>
      <c r="BQ7" s="139">
        <f>'Property-Level CF'!BD14</f>
        <v>862384</v>
      </c>
      <c r="BR7" s="139">
        <f t="shared" ref="BR7:BW7" si="33">BQ7</f>
        <v>862384</v>
      </c>
      <c r="BS7" s="139">
        <f t="shared" si="33"/>
        <v>862384</v>
      </c>
      <c r="BT7" s="139">
        <f t="shared" si="33"/>
        <v>862384</v>
      </c>
      <c r="BU7" s="139">
        <f t="shared" si="33"/>
        <v>862384</v>
      </c>
      <c r="BV7" s="139">
        <f t="shared" si="33"/>
        <v>862384</v>
      </c>
      <c r="BW7" s="140">
        <f t="shared" si="33"/>
        <v>862384</v>
      </c>
      <c r="BY7" s="190" t="s">
        <v>128</v>
      </c>
      <c r="BZ7" s="202"/>
      <c r="CA7" s="319">
        <f>'Occupancy Report'!D124</f>
        <v>1</v>
      </c>
      <c r="CB7" s="319">
        <f>'Occupancy Report'!H124</f>
        <v>1</v>
      </c>
      <c r="CC7" s="319">
        <f>'Occupancy Report'!L124</f>
        <v>1</v>
      </c>
      <c r="CD7" s="319">
        <f>'Occupancy Report'!P124</f>
        <v>1</v>
      </c>
      <c r="CE7" s="319">
        <f>'Occupancy Report'!T124</f>
        <v>1</v>
      </c>
      <c r="CF7" s="319">
        <f>'Occupancy Report'!X124</f>
        <v>1</v>
      </c>
      <c r="CG7" s="319">
        <f>'Occupancy Report'!AB124</f>
        <v>1</v>
      </c>
      <c r="CH7" s="319">
        <f>'Occupancy Report'!AF124</f>
        <v>1</v>
      </c>
      <c r="CI7" s="319">
        <f>'Occupancy Report'!AJ124</f>
        <v>1</v>
      </c>
      <c r="CJ7" s="320">
        <f>'Occupancy Report'!AN124</f>
        <v>1</v>
      </c>
      <c r="CL7" s="145">
        <f t="shared" si="19"/>
        <v>3</v>
      </c>
      <c r="CM7" s="139"/>
      <c r="CN7" s="139"/>
      <c r="CO7" s="139">
        <f>'Property-Level CF'!CC23+'Property-Level CF'!CC14</f>
        <v>27847847.704330526</v>
      </c>
      <c r="CP7" s="139">
        <f>'Property-Level CF'!CC14</f>
        <v>1380140.5</v>
      </c>
      <c r="CQ7" s="139">
        <f t="shared" ref="CQ7:CV7" si="34">CP7</f>
        <v>1380140.5</v>
      </c>
      <c r="CR7" s="139">
        <f t="shared" si="34"/>
        <v>1380140.5</v>
      </c>
      <c r="CS7" s="139">
        <f t="shared" si="34"/>
        <v>1380140.5</v>
      </c>
      <c r="CT7" s="139">
        <f t="shared" si="34"/>
        <v>1380140.5</v>
      </c>
      <c r="CU7" s="139">
        <f t="shared" si="34"/>
        <v>1380140.5</v>
      </c>
      <c r="CV7" s="140">
        <f t="shared" si="34"/>
        <v>1380140.5</v>
      </c>
      <c r="CX7" s="190" t="s">
        <v>128</v>
      </c>
      <c r="CY7" s="202"/>
      <c r="CZ7" s="319">
        <f>'Occupancy Report'!D149</f>
        <v>1</v>
      </c>
      <c r="DA7" s="319">
        <f>'Occupancy Report'!H149</f>
        <v>1</v>
      </c>
      <c r="DB7" s="319">
        <f>'Occupancy Report'!L149</f>
        <v>1</v>
      </c>
      <c r="DC7" s="319">
        <f>'Occupancy Report'!P149</f>
        <v>1</v>
      </c>
      <c r="DD7" s="319">
        <f>'Occupancy Report'!T149</f>
        <v>1</v>
      </c>
      <c r="DE7" s="319">
        <f>'Occupancy Report'!X149</f>
        <v>1</v>
      </c>
      <c r="DF7" s="319">
        <f>'Occupancy Report'!AB149</f>
        <v>1</v>
      </c>
      <c r="DG7" s="319">
        <f>'Occupancy Report'!AF149</f>
        <v>1</v>
      </c>
      <c r="DH7" s="319">
        <f>'Occupancy Report'!AJ149</f>
        <v>1</v>
      </c>
      <c r="DI7" s="320">
        <f>'Occupancy Report'!AN149</f>
        <v>1</v>
      </c>
      <c r="DK7" s="145">
        <f t="shared" si="21"/>
        <v>3</v>
      </c>
      <c r="DL7" s="139"/>
      <c r="DM7" s="139"/>
      <c r="DN7" s="139">
        <f>'Property-Level CF'!DB23+'Property-Level CF'!DB14</f>
        <v>11855300.572099794</v>
      </c>
      <c r="DO7" s="139">
        <f>'Property-Level CF'!DB14</f>
        <v>594653</v>
      </c>
      <c r="DP7" s="139">
        <f t="shared" ref="DP7:DU7" si="35">DO7</f>
        <v>594653</v>
      </c>
      <c r="DQ7" s="139">
        <f t="shared" si="35"/>
        <v>594653</v>
      </c>
      <c r="DR7" s="139">
        <f t="shared" si="35"/>
        <v>594653</v>
      </c>
      <c r="DS7" s="139">
        <f t="shared" si="35"/>
        <v>594653</v>
      </c>
      <c r="DT7" s="139">
        <f t="shared" si="35"/>
        <v>594653</v>
      </c>
      <c r="DU7" s="140">
        <f t="shared" si="35"/>
        <v>594653</v>
      </c>
      <c r="DW7" s="190" t="s">
        <v>128</v>
      </c>
      <c r="DX7" s="202"/>
      <c r="DY7" s="319">
        <f>'Occupancy Report'!D174</f>
        <v>1</v>
      </c>
      <c r="DZ7" s="319">
        <f>'Occupancy Report'!H174</f>
        <v>1</v>
      </c>
      <c r="EA7" s="319">
        <f>'Occupancy Report'!L174</f>
        <v>1</v>
      </c>
      <c r="EB7" s="319">
        <f>'Occupancy Report'!P174</f>
        <v>1</v>
      </c>
      <c r="EC7" s="319">
        <f>'Occupancy Report'!T174</f>
        <v>1</v>
      </c>
      <c r="ED7" s="319">
        <f>'Occupancy Report'!X174</f>
        <v>1</v>
      </c>
      <c r="EE7" s="319">
        <f>'Occupancy Report'!AB174</f>
        <v>1</v>
      </c>
      <c r="EF7" s="319">
        <f>'Occupancy Report'!AF174</f>
        <v>1</v>
      </c>
      <c r="EG7" s="319">
        <f>'Occupancy Report'!AJ174</f>
        <v>1</v>
      </c>
      <c r="EH7" s="320">
        <f>'Occupancy Report'!AN174</f>
        <v>1</v>
      </c>
      <c r="EJ7" s="145">
        <f t="shared" si="23"/>
        <v>3</v>
      </c>
      <c r="EK7" s="139"/>
      <c r="EL7" s="139"/>
      <c r="EM7" s="139">
        <f>'Property-Level CF'!EA23+'Property-Level CF'!EA14</f>
        <v>28187731.777316455</v>
      </c>
      <c r="EN7" s="139">
        <f>'Property-Level CF'!EA14</f>
        <v>1343108.5</v>
      </c>
      <c r="EO7" s="139">
        <f t="shared" ref="EO7:ET7" si="36">EN7</f>
        <v>1343108.5</v>
      </c>
      <c r="EP7" s="139">
        <f t="shared" si="36"/>
        <v>1343108.5</v>
      </c>
      <c r="EQ7" s="139">
        <f t="shared" si="36"/>
        <v>1343108.5</v>
      </c>
      <c r="ER7" s="139">
        <f t="shared" si="36"/>
        <v>1343108.5</v>
      </c>
      <c r="ES7" s="139">
        <f t="shared" si="36"/>
        <v>1343108.5</v>
      </c>
      <c r="ET7" s="140">
        <f t="shared" si="36"/>
        <v>1343108.5</v>
      </c>
    </row>
    <row r="8" spans="2:150" x14ac:dyDescent="0.3">
      <c r="B8" s="145"/>
      <c r="C8" s="155"/>
      <c r="D8" s="146"/>
      <c r="E8" s="146"/>
      <c r="F8" s="146"/>
      <c r="G8" s="146"/>
      <c r="H8" s="146"/>
      <c r="I8" s="146"/>
      <c r="J8" s="146"/>
      <c r="K8" s="146"/>
      <c r="L8" s="146"/>
      <c r="M8" s="147"/>
      <c r="O8" s="145">
        <f t="shared" si="13"/>
        <v>4</v>
      </c>
      <c r="P8" s="139"/>
      <c r="Q8" s="139"/>
      <c r="R8" s="139"/>
      <c r="S8" s="139">
        <f>'Property-Level CF'!G23+'Property-Level CF'!G14</f>
        <v>13611046.998484423</v>
      </c>
      <c r="T8" s="139">
        <f>'Property-Level CF'!G14</f>
        <v>476440.5</v>
      </c>
      <c r="U8" s="139">
        <f>T8</f>
        <v>476440.5</v>
      </c>
      <c r="V8" s="139">
        <f>U8</f>
        <v>476440.5</v>
      </c>
      <c r="W8" s="139">
        <f>V8</f>
        <v>476440.5</v>
      </c>
      <c r="X8" s="139">
        <f>W8</f>
        <v>476440.5</v>
      </c>
      <c r="Y8" s="140">
        <f>X8</f>
        <v>476440.5</v>
      </c>
      <c r="AA8" s="145"/>
      <c r="AB8" s="155"/>
      <c r="AC8" s="146"/>
      <c r="AD8" s="146"/>
      <c r="AE8" s="146"/>
      <c r="AF8" s="146"/>
      <c r="AG8" s="146"/>
      <c r="AH8" s="146"/>
      <c r="AI8" s="146"/>
      <c r="AJ8" s="146"/>
      <c r="AK8" s="146"/>
      <c r="AL8" s="147"/>
      <c r="AN8" s="145">
        <f t="shared" si="15"/>
        <v>4</v>
      </c>
      <c r="AO8" s="139"/>
      <c r="AP8" s="139"/>
      <c r="AQ8" s="139"/>
      <c r="AR8" s="139">
        <f>'Property-Level CF'!AF23+'Property-Level CF'!AF14</f>
        <v>14243604.226415096</v>
      </c>
      <c r="AS8" s="139">
        <f>'Property-Level CF'!AF14</f>
        <v>731808</v>
      </c>
      <c r="AT8" s="139">
        <f>AS8</f>
        <v>731808</v>
      </c>
      <c r="AU8" s="139">
        <f>AT8</f>
        <v>731808</v>
      </c>
      <c r="AV8" s="139">
        <f>AU8</f>
        <v>731808</v>
      </c>
      <c r="AW8" s="139">
        <f>AV8</f>
        <v>731808</v>
      </c>
      <c r="AX8" s="140">
        <f>AW8</f>
        <v>731808</v>
      </c>
      <c r="AZ8" s="145"/>
      <c r="BA8" s="155"/>
      <c r="BB8" s="146"/>
      <c r="BC8" s="146"/>
      <c r="BD8" s="146"/>
      <c r="BE8" s="146"/>
      <c r="BF8" s="146"/>
      <c r="BG8" s="146"/>
      <c r="BH8" s="146"/>
      <c r="BI8" s="146"/>
      <c r="BJ8" s="146"/>
      <c r="BK8" s="147"/>
      <c r="BM8" s="145">
        <f t="shared" si="17"/>
        <v>4</v>
      </c>
      <c r="BN8" s="139"/>
      <c r="BO8" s="139"/>
      <c r="BP8" s="139"/>
      <c r="BQ8" s="139">
        <f>'Property-Level CF'!BE23+'Property-Level CF'!BE14</f>
        <v>16913846.650943398</v>
      </c>
      <c r="BR8" s="139">
        <f>'Property-Level CF'!BE14</f>
        <v>869405</v>
      </c>
      <c r="BS8" s="139">
        <f>BR8</f>
        <v>869405</v>
      </c>
      <c r="BT8" s="139">
        <f>BS8</f>
        <v>869405</v>
      </c>
      <c r="BU8" s="139">
        <f>BT8</f>
        <v>869405</v>
      </c>
      <c r="BV8" s="139">
        <f>BU8</f>
        <v>869405</v>
      </c>
      <c r="BW8" s="140">
        <f>BV8</f>
        <v>869405</v>
      </c>
      <c r="BY8" s="145"/>
      <c r="BZ8" s="155"/>
      <c r="CA8" s="146"/>
      <c r="CB8" s="146"/>
      <c r="CC8" s="146"/>
      <c r="CD8" s="146"/>
      <c r="CE8" s="146"/>
      <c r="CF8" s="146"/>
      <c r="CG8" s="146"/>
      <c r="CH8" s="146"/>
      <c r="CI8" s="146"/>
      <c r="CJ8" s="147"/>
      <c r="CL8" s="145">
        <f t="shared" si="19"/>
        <v>4</v>
      </c>
      <c r="CM8" s="139"/>
      <c r="CN8" s="139"/>
      <c r="CO8" s="139"/>
      <c r="CP8" s="139">
        <f>'Property-Level CF'!CD23+'Property-Level CF'!CD14</f>
        <v>28336289.3879481</v>
      </c>
      <c r="CQ8" s="139">
        <f>'Property-Level CF'!CD14</f>
        <v>1404707.5</v>
      </c>
      <c r="CR8" s="139">
        <f>CQ8</f>
        <v>1404707.5</v>
      </c>
      <c r="CS8" s="139">
        <f>CR8</f>
        <v>1404707.5</v>
      </c>
      <c r="CT8" s="139">
        <f>CS8</f>
        <v>1404707.5</v>
      </c>
      <c r="CU8" s="139">
        <f>CT8</f>
        <v>1404707.5</v>
      </c>
      <c r="CV8" s="140">
        <f>CU8</f>
        <v>1404707.5</v>
      </c>
      <c r="CX8" s="145"/>
      <c r="CY8" s="155"/>
      <c r="CZ8" s="146"/>
      <c r="DA8" s="146"/>
      <c r="DB8" s="146"/>
      <c r="DC8" s="146"/>
      <c r="DD8" s="146"/>
      <c r="DE8" s="146"/>
      <c r="DF8" s="146"/>
      <c r="DG8" s="146"/>
      <c r="DH8" s="146"/>
      <c r="DI8" s="147"/>
      <c r="DK8" s="145">
        <f t="shared" si="21"/>
        <v>4</v>
      </c>
      <c r="DL8" s="139"/>
      <c r="DM8" s="139"/>
      <c r="DN8" s="139"/>
      <c r="DO8" s="139">
        <f>'Property-Level CF'!DC23+'Property-Level CF'!DC14</f>
        <v>12092657.147250686</v>
      </c>
      <c r="DP8" s="139">
        <f>'Property-Level CF'!DC14</f>
        <v>606807</v>
      </c>
      <c r="DQ8" s="139">
        <f>DP8</f>
        <v>606807</v>
      </c>
      <c r="DR8" s="139">
        <f>DQ8</f>
        <v>606807</v>
      </c>
      <c r="DS8" s="139">
        <f>DR8</f>
        <v>606807</v>
      </c>
      <c r="DT8" s="139">
        <f>DS8</f>
        <v>606807</v>
      </c>
      <c r="DU8" s="140">
        <f>DT8</f>
        <v>606807</v>
      </c>
      <c r="DW8" s="145"/>
      <c r="DX8" s="155"/>
      <c r="DY8" s="146"/>
      <c r="DZ8" s="146"/>
      <c r="EA8" s="146"/>
      <c r="EB8" s="146"/>
      <c r="EC8" s="146"/>
      <c r="ED8" s="146"/>
      <c r="EE8" s="146"/>
      <c r="EF8" s="146"/>
      <c r="EG8" s="146"/>
      <c r="EH8" s="147"/>
      <c r="EJ8" s="145">
        <f t="shared" si="23"/>
        <v>4</v>
      </c>
      <c r="EK8" s="139"/>
      <c r="EL8" s="139"/>
      <c r="EM8" s="139"/>
      <c r="EN8" s="139">
        <f>'Property-Level CF'!EB23+'Property-Level CF'!EB14</f>
        <v>28752259.981533505</v>
      </c>
      <c r="EO8" s="139">
        <f>'Property-Level CF'!EB14</f>
        <v>1370414.5</v>
      </c>
      <c r="EP8" s="139">
        <f>EO8</f>
        <v>1370414.5</v>
      </c>
      <c r="EQ8" s="139">
        <f>EP8</f>
        <v>1370414.5</v>
      </c>
      <c r="ER8" s="139">
        <f>EQ8</f>
        <v>1370414.5</v>
      </c>
      <c r="ES8" s="139">
        <f>ER8</f>
        <v>1370414.5</v>
      </c>
      <c r="ET8" s="140">
        <f>ES8</f>
        <v>1370414.5</v>
      </c>
    </row>
    <row r="9" spans="2:150" x14ac:dyDescent="0.3">
      <c r="B9" s="125" t="s">
        <v>175</v>
      </c>
      <c r="C9" s="259"/>
      <c r="D9" s="132">
        <f>'Cash Flow Dump'!B32</f>
        <v>1080474</v>
      </c>
      <c r="E9" s="132">
        <f>'Cash Flow Dump'!C32</f>
        <v>1104382</v>
      </c>
      <c r="F9" s="132">
        <f>'Cash Flow Dump'!D32</f>
        <v>1120725</v>
      </c>
      <c r="G9" s="132">
        <f>'Cash Flow Dump'!E32</f>
        <v>1124325</v>
      </c>
      <c r="H9" s="132">
        <f>'Cash Flow Dump'!F32</f>
        <v>1174564</v>
      </c>
      <c r="I9" s="132">
        <f>'Cash Flow Dump'!G32</f>
        <v>1131939</v>
      </c>
      <c r="J9" s="132">
        <f>'Cash Flow Dump'!H32</f>
        <v>1155752</v>
      </c>
      <c r="K9" s="132">
        <f>'Cash Flow Dump'!I32</f>
        <v>1206302</v>
      </c>
      <c r="L9" s="132">
        <f>'Cash Flow Dump'!J32</f>
        <v>1208133</v>
      </c>
      <c r="M9" s="133">
        <f>'Cash Flow Dump'!K32</f>
        <v>1261766</v>
      </c>
      <c r="O9" s="145">
        <f t="shared" si="13"/>
        <v>5</v>
      </c>
      <c r="P9" s="139"/>
      <c r="Q9" s="139"/>
      <c r="R9" s="139"/>
      <c r="S9" s="139"/>
      <c r="T9" s="139">
        <f>'Property-Level CF'!H23+'Property-Level CF'!H14</f>
        <v>14639124.616458284</v>
      </c>
      <c r="U9" s="139">
        <f>'Property-Level CF'!H14</f>
        <v>824705.5</v>
      </c>
      <c r="V9" s="139">
        <f>U9</f>
        <v>824705.5</v>
      </c>
      <c r="W9" s="139">
        <f>V9</f>
        <v>824705.5</v>
      </c>
      <c r="X9" s="139">
        <f>W9</f>
        <v>824705.5</v>
      </c>
      <c r="Y9" s="140">
        <f>X9</f>
        <v>824705.5</v>
      </c>
      <c r="AA9" s="125" t="s">
        <v>175</v>
      </c>
      <c r="AB9" s="259"/>
      <c r="AC9" s="132">
        <f>'Cash Flow Dump'!P32</f>
        <v>753930</v>
      </c>
      <c r="AD9" s="132">
        <f>'Cash Flow Dump'!Q32</f>
        <v>906249</v>
      </c>
      <c r="AE9" s="132">
        <f>'Cash Flow Dump'!R32</f>
        <v>1085628</v>
      </c>
      <c r="AF9" s="132">
        <f>'Cash Flow Dump'!S32</f>
        <v>1112856</v>
      </c>
      <c r="AG9" s="132">
        <f>'Cash Flow Dump'!T32</f>
        <v>1139458</v>
      </c>
      <c r="AH9" s="132">
        <f>'Cash Flow Dump'!U32</f>
        <v>1156756</v>
      </c>
      <c r="AI9" s="132">
        <f>'Cash Flow Dump'!V32</f>
        <v>1174243</v>
      </c>
      <c r="AJ9" s="132">
        <f>'Cash Flow Dump'!W32</f>
        <v>1192002</v>
      </c>
      <c r="AK9" s="132">
        <f>'Cash Flow Dump'!X32</f>
        <v>1201752</v>
      </c>
      <c r="AL9" s="133">
        <f>'Cash Flow Dump'!Y32</f>
        <v>1215445</v>
      </c>
      <c r="AN9" s="145">
        <f t="shared" si="15"/>
        <v>5</v>
      </c>
      <c r="AO9" s="139"/>
      <c r="AP9" s="139"/>
      <c r="AQ9" s="139"/>
      <c r="AR9" s="139"/>
      <c r="AS9" s="139">
        <f>'Property-Level CF'!AG23+'Property-Level CF'!AG14</f>
        <v>14577451.292452831</v>
      </c>
      <c r="AT9" s="139">
        <f>'Property-Level CF'!AG14</f>
        <v>749249</v>
      </c>
      <c r="AU9" s="139">
        <f>AT9</f>
        <v>749249</v>
      </c>
      <c r="AV9" s="139">
        <f>AU9</f>
        <v>749249</v>
      </c>
      <c r="AW9" s="139">
        <f>AV9</f>
        <v>749249</v>
      </c>
      <c r="AX9" s="140">
        <f>AW9</f>
        <v>749249</v>
      </c>
      <c r="AZ9" s="125" t="s">
        <v>175</v>
      </c>
      <c r="BA9" s="259"/>
      <c r="BB9" s="132">
        <f>'Cash Flow Dump'!AD32</f>
        <v>955031</v>
      </c>
      <c r="BC9" s="132">
        <f>'Cash Flow Dump'!AE32</f>
        <v>1124079</v>
      </c>
      <c r="BD9" s="132">
        <f>'Cash Flow Dump'!AF32</f>
        <v>1217274</v>
      </c>
      <c r="BE9" s="132">
        <f>'Cash Flow Dump'!AG32</f>
        <v>1232295</v>
      </c>
      <c r="BF9" s="132">
        <f>'Cash Flow Dump'!AH32</f>
        <v>1247438</v>
      </c>
      <c r="BG9" s="132">
        <f>'Cash Flow Dump'!AI32</f>
        <v>1263167</v>
      </c>
      <c r="BH9" s="132">
        <f>'Cash Flow Dump'!AJ32</f>
        <v>1330801</v>
      </c>
      <c r="BI9" s="132">
        <f>'Cash Flow Dump'!AK32</f>
        <v>1357587</v>
      </c>
      <c r="BJ9" s="132">
        <f>'Cash Flow Dump'!AL32</f>
        <v>1373796</v>
      </c>
      <c r="BK9" s="133">
        <f>'Cash Flow Dump'!AM32</f>
        <v>1389233</v>
      </c>
      <c r="BM9" s="145">
        <f t="shared" si="17"/>
        <v>5</v>
      </c>
      <c r="BN9" s="139"/>
      <c r="BO9" s="139"/>
      <c r="BP9" s="139"/>
      <c r="BQ9" s="139"/>
      <c r="BR9" s="139">
        <f>'Property-Level CF'!BF23+'Property-Level CF'!BF14</f>
        <v>17046899.283018868</v>
      </c>
      <c r="BS9" s="139">
        <f>'Property-Level CF'!BF14</f>
        <v>876356</v>
      </c>
      <c r="BT9" s="139">
        <f>BS9</f>
        <v>876356</v>
      </c>
      <c r="BU9" s="139">
        <f>BT9</f>
        <v>876356</v>
      </c>
      <c r="BV9" s="139">
        <f>BU9</f>
        <v>876356</v>
      </c>
      <c r="BW9" s="140">
        <f>BV9</f>
        <v>876356</v>
      </c>
      <c r="BY9" s="125" t="s">
        <v>175</v>
      </c>
      <c r="BZ9" s="259"/>
      <c r="CA9" s="132">
        <f>'Cash Flow Dump'!AR31</f>
        <v>1885346</v>
      </c>
      <c r="CB9" s="132">
        <f>'Cash Flow Dump'!AS31</f>
        <v>1921877</v>
      </c>
      <c r="CC9" s="132">
        <f>'Cash Flow Dump'!AT31</f>
        <v>1959053</v>
      </c>
      <c r="CD9" s="132">
        <f>'Cash Flow Dump'!AU31</f>
        <v>1997206</v>
      </c>
      <c r="CE9" s="132">
        <f>'Cash Flow Dump'!AV31</f>
        <v>2036006</v>
      </c>
      <c r="CF9" s="132">
        <f>'Cash Flow Dump'!AW31</f>
        <v>2075650</v>
      </c>
      <c r="CG9" s="132">
        <f>'Cash Flow Dump'!AX31</f>
        <v>2115923</v>
      </c>
      <c r="CH9" s="132">
        <f>'Cash Flow Dump'!AY31</f>
        <v>2156964</v>
      </c>
      <c r="CI9" s="132">
        <f>'Cash Flow Dump'!AZ31</f>
        <v>2199540</v>
      </c>
      <c r="CJ9" s="133">
        <f>'Cash Flow Dump'!BA31</f>
        <v>2244371</v>
      </c>
      <c r="CL9" s="145">
        <f t="shared" si="19"/>
        <v>5</v>
      </c>
      <c r="CM9" s="139"/>
      <c r="CN9" s="139"/>
      <c r="CO9" s="139"/>
      <c r="CP9" s="139"/>
      <c r="CQ9" s="139">
        <f>'Property-Level CF'!CE23+'Property-Level CF'!CE14</f>
        <v>28831013.791149803</v>
      </c>
      <c r="CR9" s="139">
        <f>'Property-Level CF'!CE14</f>
        <v>1429590.5</v>
      </c>
      <c r="CS9" s="139">
        <f>CR9</f>
        <v>1429590.5</v>
      </c>
      <c r="CT9" s="139">
        <f>CS9</f>
        <v>1429590.5</v>
      </c>
      <c r="CU9" s="139">
        <f>CT9</f>
        <v>1429590.5</v>
      </c>
      <c r="CV9" s="140">
        <f>CU9</f>
        <v>1429590.5</v>
      </c>
      <c r="CX9" s="125" t="s">
        <v>175</v>
      </c>
      <c r="CY9" s="259"/>
      <c r="CZ9" s="132">
        <f>'Cash Flow Dump'!BF26</f>
        <v>810031</v>
      </c>
      <c r="DA9" s="132">
        <f>'Cash Flow Dump'!BG26</f>
        <v>827265</v>
      </c>
      <c r="DB9" s="132">
        <f>'Cash Flow Dump'!BH26</f>
        <v>844869</v>
      </c>
      <c r="DC9" s="132">
        <f>'Cash Flow Dump'!BI26</f>
        <v>862852</v>
      </c>
      <c r="DD9" s="132">
        <f>'Cash Flow Dump'!BJ26</f>
        <v>881222</v>
      </c>
      <c r="DE9" s="132">
        <f>'Cash Flow Dump'!BK26</f>
        <v>899987</v>
      </c>
      <c r="DF9" s="132">
        <f>'Cash Flow Dump'!BL26</f>
        <v>919155</v>
      </c>
      <c r="DG9" s="132">
        <f>'Cash Flow Dump'!BM26</f>
        <v>938737</v>
      </c>
      <c r="DH9" s="132">
        <f>'Cash Flow Dump'!BN26</f>
        <v>958740</v>
      </c>
      <c r="DI9" s="133">
        <f>'Cash Flow Dump'!BO26</f>
        <v>979173</v>
      </c>
      <c r="DK9" s="145">
        <f t="shared" si="21"/>
        <v>5</v>
      </c>
      <c r="DL9" s="139"/>
      <c r="DM9" s="139"/>
      <c r="DN9" s="139"/>
      <c r="DO9" s="139"/>
      <c r="DP9" s="139">
        <f>'Property-Level CF'!DD23+'Property-Level CF'!DD14</f>
        <v>12334778.82066855</v>
      </c>
      <c r="DQ9" s="139">
        <f>'Property-Level CF'!DD14</f>
        <v>619205</v>
      </c>
      <c r="DR9" s="139">
        <f>DQ9</f>
        <v>619205</v>
      </c>
      <c r="DS9" s="139">
        <f>DR9</f>
        <v>619205</v>
      </c>
      <c r="DT9" s="139">
        <f>DS9</f>
        <v>619205</v>
      </c>
      <c r="DU9" s="140">
        <f>DT9</f>
        <v>619205</v>
      </c>
      <c r="DW9" s="125" t="s">
        <v>175</v>
      </c>
      <c r="DX9" s="259"/>
      <c r="DY9" s="132">
        <f>'Cash Flow Dump'!BT30</f>
        <v>1701092</v>
      </c>
      <c r="DZ9" s="132">
        <f>'Cash Flow Dump'!BU30</f>
        <v>1736951</v>
      </c>
      <c r="EA9" s="132">
        <f>'Cash Flow Dump'!BV30</f>
        <v>1773282</v>
      </c>
      <c r="EB9" s="132">
        <f>'Cash Flow Dump'!BW30</f>
        <v>1810584</v>
      </c>
      <c r="EC9" s="132">
        <f>'Cash Flow Dump'!BX30</f>
        <v>1848680</v>
      </c>
      <c r="ED9" s="132">
        <f>'Cash Flow Dump'!BY30</f>
        <v>1887630</v>
      </c>
      <c r="EE9" s="132">
        <f>'Cash Flow Dump'!BZ30</f>
        <v>1927203</v>
      </c>
      <c r="EF9" s="132">
        <f>'Cash Flow Dump'!CA30</f>
        <v>1967953</v>
      </c>
      <c r="EG9" s="132">
        <f>'Cash Flow Dump'!CB30</f>
        <v>2009209</v>
      </c>
      <c r="EH9" s="133">
        <f>'Cash Flow Dump'!CC30</f>
        <v>2051472</v>
      </c>
      <c r="EJ9" s="145">
        <f t="shared" si="23"/>
        <v>5</v>
      </c>
      <c r="EK9" s="139"/>
      <c r="EL9" s="139"/>
      <c r="EM9" s="139"/>
      <c r="EN9" s="139"/>
      <c r="EO9" s="139">
        <f>'Property-Level CF'!EC23+'Property-Level CF'!EC14</f>
        <v>29328138.291372582</v>
      </c>
      <c r="EP9" s="139">
        <f>'Property-Level CF'!EC14</f>
        <v>1398269.5</v>
      </c>
      <c r="EQ9" s="139">
        <f>EP9</f>
        <v>1398269.5</v>
      </c>
      <c r="ER9" s="139">
        <f>EQ9</f>
        <v>1398269.5</v>
      </c>
      <c r="ES9" s="139">
        <f>ER9</f>
        <v>1398269.5</v>
      </c>
      <c r="ET9" s="140">
        <f>ES9</f>
        <v>1398269.5</v>
      </c>
    </row>
    <row r="10" spans="2:150" x14ac:dyDescent="0.3">
      <c r="B10" s="125" t="s">
        <v>133</v>
      </c>
      <c r="C10" s="259"/>
      <c r="D10" s="132">
        <f>'Cash Flow Dump'!B46</f>
        <v>776823</v>
      </c>
      <c r="E10" s="132">
        <f>'Cash Flow Dump'!C46</f>
        <v>792690</v>
      </c>
      <c r="F10" s="132">
        <f>'Cash Flow Dump'!D46</f>
        <v>801674</v>
      </c>
      <c r="G10" s="132">
        <f>'Cash Flow Dump'!E46</f>
        <v>798070</v>
      </c>
      <c r="H10" s="132">
        <f>'Cash Flow Dump'!F46</f>
        <v>839376</v>
      </c>
      <c r="I10" s="132">
        <f>'Cash Flow Dump'!G46</f>
        <v>790672</v>
      </c>
      <c r="J10" s="132">
        <f>'Cash Flow Dump'!H46</f>
        <v>806147</v>
      </c>
      <c r="K10" s="132">
        <f>'Cash Flow Dump'!I46</f>
        <v>847300</v>
      </c>
      <c r="L10" s="132">
        <f>'Cash Flow Dump'!J46</f>
        <v>841055</v>
      </c>
      <c r="M10" s="133">
        <f>'Cash Flow Dump'!K46</f>
        <v>884835</v>
      </c>
      <c r="O10" s="145">
        <f t="shared" si="13"/>
        <v>6</v>
      </c>
      <c r="P10" s="139"/>
      <c r="Q10" s="139"/>
      <c r="R10" s="139"/>
      <c r="S10" s="139"/>
      <c r="T10" s="139"/>
      <c r="U10" s="139">
        <f>'Property-Level CF'!I23+'Property-Level CF'!I14</f>
        <v>13788851.988515638</v>
      </c>
      <c r="V10" s="139">
        <f>'Property-Level CF'!I14</f>
        <v>776001.5</v>
      </c>
      <c r="W10" s="139">
        <f>V10</f>
        <v>776001.5</v>
      </c>
      <c r="X10" s="139">
        <f>W10</f>
        <v>776001.5</v>
      </c>
      <c r="Y10" s="140">
        <f>X10</f>
        <v>776001.5</v>
      </c>
      <c r="AA10" s="125" t="s">
        <v>133</v>
      </c>
      <c r="AB10" s="259"/>
      <c r="AC10" s="132">
        <f>'Cash Flow Dump'!P46</f>
        <v>421291</v>
      </c>
      <c r="AD10" s="132">
        <f>'Cash Flow Dump'!Q46</f>
        <v>560979</v>
      </c>
      <c r="AE10" s="132">
        <f>'Cash Flow Dump'!R46</f>
        <v>726550</v>
      </c>
      <c r="AF10" s="132">
        <f>'Cash Flow Dump'!S46</f>
        <v>744800</v>
      </c>
      <c r="AG10" s="132">
        <f>'Cash Flow Dump'!T46</f>
        <v>762241</v>
      </c>
      <c r="AH10" s="132">
        <f>'Cash Flow Dump'!U46</f>
        <v>770468</v>
      </c>
      <c r="AI10" s="132">
        <f>'Cash Flow Dump'!V46</f>
        <v>778664</v>
      </c>
      <c r="AJ10" s="132">
        <f>'Cash Flow Dump'!W46</f>
        <v>786906</v>
      </c>
      <c r="AK10" s="132">
        <f>'Cash Flow Dump'!X46</f>
        <v>787173</v>
      </c>
      <c r="AL10" s="133">
        <f>'Cash Flow Dump'!Y46</f>
        <v>791022</v>
      </c>
      <c r="AN10" s="145">
        <f t="shared" si="15"/>
        <v>6</v>
      </c>
      <c r="AO10" s="139"/>
      <c r="AP10" s="139"/>
      <c r="AQ10" s="139"/>
      <c r="AR10" s="139"/>
      <c r="AS10" s="139"/>
      <c r="AT10" s="139">
        <f>'Property-Level CF'!AH23+'Property-Level CF'!AH14</f>
        <v>14734928.490566039</v>
      </c>
      <c r="AU10" s="139">
        <f>'Property-Level CF'!AH14</f>
        <v>757476</v>
      </c>
      <c r="AV10" s="139">
        <f>AU10</f>
        <v>757476</v>
      </c>
      <c r="AW10" s="139">
        <f>AV10</f>
        <v>757476</v>
      </c>
      <c r="AX10" s="140">
        <f>AW10</f>
        <v>757476</v>
      </c>
      <c r="AZ10" s="125" t="s">
        <v>133</v>
      </c>
      <c r="BA10" s="259"/>
      <c r="BB10" s="132">
        <f>'Cash Flow Dump'!AD48</f>
        <v>638299</v>
      </c>
      <c r="BC10" s="132">
        <f>'Cash Flow Dump'!AE48</f>
        <v>794615</v>
      </c>
      <c r="BD10" s="132">
        <f>'Cash Flow Dump'!AF48</f>
        <v>877384</v>
      </c>
      <c r="BE10" s="132">
        <f>'Cash Flow Dump'!AG48</f>
        <v>884405</v>
      </c>
      <c r="BF10" s="132">
        <f>'Cash Flow Dump'!AH48</f>
        <v>891356</v>
      </c>
      <c r="BG10" s="132">
        <f>'Cash Flow Dump'!AI48</f>
        <v>898681</v>
      </c>
      <c r="BH10" s="132">
        <f>'Cash Flow Dump'!AJ48</f>
        <v>956057</v>
      </c>
      <c r="BI10" s="132">
        <f>'Cash Flow Dump'!AK48</f>
        <v>973687</v>
      </c>
      <c r="BJ10" s="132">
        <f>'Cash Flow Dump'!AL48</f>
        <v>980870</v>
      </c>
      <c r="BK10" s="133">
        <f>'Cash Flow Dump'!AM48</f>
        <v>987095</v>
      </c>
      <c r="BM10" s="145">
        <f t="shared" si="17"/>
        <v>6</v>
      </c>
      <c r="BN10" s="139"/>
      <c r="BO10" s="139"/>
      <c r="BP10" s="139"/>
      <c r="BQ10" s="139"/>
      <c r="BR10" s="139"/>
      <c r="BS10" s="139">
        <f>'Property-Level CF'!BG23+'Property-Level CF'!BG14</f>
        <v>17187110.839622643</v>
      </c>
      <c r="BT10" s="139">
        <f>'Property-Level CF'!BG14</f>
        <v>883681</v>
      </c>
      <c r="BU10" s="139">
        <f>BT10</f>
        <v>883681</v>
      </c>
      <c r="BV10" s="139">
        <f>BU10</f>
        <v>883681</v>
      </c>
      <c r="BW10" s="140">
        <f>BV10</f>
        <v>883681</v>
      </c>
      <c r="BY10" s="125" t="s">
        <v>133</v>
      </c>
      <c r="BZ10" s="259"/>
      <c r="CA10" s="132">
        <f>'Cash Flow Dump'!AR46</f>
        <v>1354228</v>
      </c>
      <c r="CB10" s="132">
        <f>'Cash Flow Dump'!AS46</f>
        <v>1377820</v>
      </c>
      <c r="CC10" s="132">
        <f>'Cash Flow Dump'!AT46</f>
        <v>1401741</v>
      </c>
      <c r="CD10" s="132">
        <f>'Cash Flow Dump'!AU46</f>
        <v>1426308</v>
      </c>
      <c r="CE10" s="132">
        <f>'Cash Flow Dump'!AV46</f>
        <v>1451191</v>
      </c>
      <c r="CF10" s="132">
        <f>'Cash Flow Dump'!AW46</f>
        <v>1476575</v>
      </c>
      <c r="CG10" s="132">
        <f>'Cash Flow Dump'!AX46</f>
        <v>1502242</v>
      </c>
      <c r="CH10" s="132">
        <f>'Cash Flow Dump'!AY46</f>
        <v>1528321</v>
      </c>
      <c r="CI10" s="132">
        <f>'Cash Flow Dump'!AZ46</f>
        <v>1555544</v>
      </c>
      <c r="CJ10" s="133">
        <f>'Cash Flow Dump'!BA46</f>
        <v>1584598</v>
      </c>
      <c r="CL10" s="145">
        <f t="shared" si="19"/>
        <v>6</v>
      </c>
      <c r="CM10" s="139"/>
      <c r="CN10" s="139"/>
      <c r="CO10" s="139"/>
      <c r="CP10" s="139"/>
      <c r="CQ10" s="139"/>
      <c r="CR10" s="139">
        <f>'Property-Level CF'!CF23+'Property-Level CF'!CF14</f>
        <v>29335699.088375703</v>
      </c>
      <c r="CS10" s="139">
        <f>'Property-Level CF'!CF14</f>
        <v>1454974.5</v>
      </c>
      <c r="CT10" s="139">
        <f>CS10</f>
        <v>1454974.5</v>
      </c>
      <c r="CU10" s="139">
        <f>CT10</f>
        <v>1454974.5</v>
      </c>
      <c r="CV10" s="140">
        <f>CU10</f>
        <v>1454974.5</v>
      </c>
      <c r="CX10" s="125" t="s">
        <v>133</v>
      </c>
      <c r="CY10" s="259"/>
      <c r="CZ10" s="132">
        <f>'Cash Flow Dump'!BF39</f>
        <v>584129</v>
      </c>
      <c r="DA10" s="132">
        <f>'Cash Flow Dump'!BG39</f>
        <v>595812</v>
      </c>
      <c r="DB10" s="132">
        <f>'Cash Flow Dump'!BH39</f>
        <v>607728</v>
      </c>
      <c r="DC10" s="132">
        <f>'Cash Flow Dump'!BI39</f>
        <v>619882</v>
      </c>
      <c r="DD10" s="132">
        <f>'Cash Flow Dump'!BJ39</f>
        <v>632280</v>
      </c>
      <c r="DE10" s="132">
        <f>'Cash Flow Dump'!BK39</f>
        <v>644926</v>
      </c>
      <c r="DF10" s="132">
        <f>'Cash Flow Dump'!BL39</f>
        <v>657824</v>
      </c>
      <c r="DG10" s="132">
        <f>'Cash Flow Dump'!BM39</f>
        <v>670981</v>
      </c>
      <c r="DH10" s="132">
        <f>'Cash Flow Dump'!BN39</f>
        <v>684400</v>
      </c>
      <c r="DI10" s="133">
        <f>'Cash Flow Dump'!BO39</f>
        <v>698088</v>
      </c>
      <c r="DK10" s="145">
        <f t="shared" si="21"/>
        <v>6</v>
      </c>
      <c r="DL10" s="139"/>
      <c r="DM10" s="139"/>
      <c r="DN10" s="139"/>
      <c r="DO10" s="139"/>
      <c r="DP10" s="139"/>
      <c r="DQ10" s="139">
        <f>'Property-Level CF'!DE23+'Property-Level CF'!DE14</f>
        <v>12581743.708718427</v>
      </c>
      <c r="DR10" s="139">
        <f>'Property-Level CF'!DE14</f>
        <v>631851</v>
      </c>
      <c r="DS10" s="139">
        <f>DR10</f>
        <v>631851</v>
      </c>
      <c r="DT10" s="139">
        <f>DS10</f>
        <v>631851</v>
      </c>
      <c r="DU10" s="140">
        <f>DT10</f>
        <v>631851</v>
      </c>
      <c r="DW10" s="125" t="s">
        <v>133</v>
      </c>
      <c r="DX10" s="259"/>
      <c r="DY10" s="132">
        <f>'Cash Flow Dump'!BT45</f>
        <v>1311547</v>
      </c>
      <c r="DZ10" s="132">
        <f>'Cash Flow Dump'!BU45</f>
        <v>1337880</v>
      </c>
      <c r="EA10" s="132">
        <f>'Cash Flow Dump'!BV45</f>
        <v>1364462</v>
      </c>
      <c r="EB10" s="132">
        <f>'Cash Flow Dump'!BW45</f>
        <v>1391768</v>
      </c>
      <c r="EC10" s="132">
        <f>'Cash Flow Dump'!BX45</f>
        <v>1419623</v>
      </c>
      <c r="ED10" s="132">
        <f>'Cash Flow Dump'!BY45</f>
        <v>1448080</v>
      </c>
      <c r="EE10" s="132">
        <f>'Cash Flow Dump'!BZ45</f>
        <v>1476908</v>
      </c>
      <c r="EF10" s="132">
        <f>'Cash Flow Dump'!CA45</f>
        <v>1506639</v>
      </c>
      <c r="EG10" s="132">
        <f>'Cash Flow Dump'!CB45</f>
        <v>1536617</v>
      </c>
      <c r="EH10" s="133">
        <f>'Cash Flow Dump'!CC45</f>
        <v>1567320</v>
      </c>
      <c r="EJ10" s="145">
        <f t="shared" si="23"/>
        <v>6</v>
      </c>
      <c r="EK10" s="139"/>
      <c r="EL10" s="139"/>
      <c r="EM10" s="139"/>
      <c r="EN10" s="139"/>
      <c r="EO10" s="139"/>
      <c r="EP10" s="139">
        <f>'Property-Level CF'!ED23+'Property-Level CF'!ED14</f>
        <v>29916462.436520338</v>
      </c>
      <c r="EQ10" s="139">
        <f>'Property-Level CF'!ED14</f>
        <v>1426726.5</v>
      </c>
      <c r="ER10" s="139">
        <f>EQ10</f>
        <v>1426726.5</v>
      </c>
      <c r="ES10" s="139">
        <f>ER10</f>
        <v>1426726.5</v>
      </c>
      <c r="ET10" s="140">
        <f>ES10</f>
        <v>1426726.5</v>
      </c>
    </row>
    <row r="11" spans="2:150" x14ac:dyDescent="0.3">
      <c r="B11" s="207" t="s">
        <v>135</v>
      </c>
      <c r="C11" s="262"/>
      <c r="D11" s="327">
        <f>'Cash Flow Dump'!B49</f>
        <v>0</v>
      </c>
      <c r="E11" s="347">
        <f>'Cash Flow Dump'!C49</f>
        <v>41850</v>
      </c>
      <c r="F11" s="327">
        <f>'Cash Flow Dump'!D49</f>
        <v>45149</v>
      </c>
      <c r="G11" s="347">
        <f>'Cash Flow Dump'!E49</f>
        <v>253532</v>
      </c>
      <c r="H11" s="327">
        <f>'Cash Flow Dump'!F49</f>
        <v>0</v>
      </c>
      <c r="I11" s="327">
        <f>'Cash Flow Dump'!G49</f>
        <v>0</v>
      </c>
      <c r="J11" s="347">
        <f>'Cash Flow Dump'!H49</f>
        <v>427040</v>
      </c>
      <c r="K11" s="327">
        <f>'Cash Flow Dump'!I49</f>
        <v>0</v>
      </c>
      <c r="L11" s="347">
        <f>'Cash Flow Dump'!J49</f>
        <v>337930</v>
      </c>
      <c r="M11" s="348">
        <f>'Cash Flow Dump'!K49</f>
        <v>209886</v>
      </c>
      <c r="O11" s="145">
        <f t="shared" si="13"/>
        <v>7</v>
      </c>
      <c r="P11" s="139"/>
      <c r="Q11" s="139"/>
      <c r="R11" s="139"/>
      <c r="S11" s="139"/>
      <c r="T11" s="139"/>
      <c r="U11" s="139"/>
      <c r="V11" s="139">
        <f>'Property-Level CF'!J23+'Property-Level CF'!J14</f>
        <v>13611220.965302195</v>
      </c>
      <c r="W11" s="139">
        <f>'Property-Level CF'!J14</f>
        <v>343683.5</v>
      </c>
      <c r="X11" s="139">
        <f>W11</f>
        <v>343683.5</v>
      </c>
      <c r="Y11" s="140">
        <f>X11</f>
        <v>343683.5</v>
      </c>
      <c r="AA11" s="207" t="s">
        <v>135</v>
      </c>
      <c r="AB11" s="262"/>
      <c r="AC11" s="265">
        <f>'Cash Flow Dump'!P49</f>
        <v>0</v>
      </c>
      <c r="AD11" s="265">
        <f>'Cash Flow Dump'!Q49</f>
        <v>0</v>
      </c>
      <c r="AE11" s="265">
        <f>'Cash Flow Dump'!R49</f>
        <v>0</v>
      </c>
      <c r="AF11" s="265">
        <f>'Cash Flow Dump'!S49</f>
        <v>0</v>
      </c>
      <c r="AG11" s="265">
        <f>'Cash Flow Dump'!T49</f>
        <v>0</v>
      </c>
      <c r="AH11" s="265">
        <f>'Cash Flow Dump'!U49</f>
        <v>0</v>
      </c>
      <c r="AI11" s="265">
        <f>'Cash Flow Dump'!V49</f>
        <v>0</v>
      </c>
      <c r="AJ11" s="265">
        <f>'Cash Flow Dump'!W49</f>
        <v>0</v>
      </c>
      <c r="AK11" s="265">
        <f>'Cash Flow Dump'!X49</f>
        <v>95017</v>
      </c>
      <c r="AL11" s="297">
        <f>'Cash Flow Dump'!Y49</f>
        <v>193328</v>
      </c>
      <c r="AN11" s="145">
        <f t="shared" si="15"/>
        <v>7</v>
      </c>
      <c r="AO11" s="139"/>
      <c r="AP11" s="139"/>
      <c r="AQ11" s="139"/>
      <c r="AR11" s="139"/>
      <c r="AS11" s="139"/>
      <c r="AT11" s="139"/>
      <c r="AU11" s="139">
        <f>'Property-Level CF'!AI23+'Property-Level CF'!AI14</f>
        <v>14891812.301886793</v>
      </c>
      <c r="AV11" s="139">
        <f>'Property-Level CF'!AI14</f>
        <v>765672</v>
      </c>
      <c r="AW11" s="139">
        <f>AV11</f>
        <v>765672</v>
      </c>
      <c r="AX11" s="140">
        <f>AW11</f>
        <v>765672</v>
      </c>
      <c r="AZ11" s="207" t="s">
        <v>135</v>
      </c>
      <c r="BA11" s="262"/>
      <c r="BB11" s="265">
        <f>'Cash Flow Dump'!AD51</f>
        <v>0</v>
      </c>
      <c r="BC11" s="265">
        <f>'Cash Flow Dump'!AE51</f>
        <v>0</v>
      </c>
      <c r="BD11" s="265">
        <f>'Cash Flow Dump'!AF51</f>
        <v>0</v>
      </c>
      <c r="BE11" s="265">
        <f>'Cash Flow Dump'!AG51</f>
        <v>0</v>
      </c>
      <c r="BF11" s="265">
        <f>'Cash Flow Dump'!AH51</f>
        <v>0</v>
      </c>
      <c r="BG11" s="265">
        <f>'Cash Flow Dump'!AI51</f>
        <v>0</v>
      </c>
      <c r="BH11" s="265">
        <f>'Cash Flow Dump'!AJ51</f>
        <v>0</v>
      </c>
      <c r="BI11" s="265">
        <f>'Cash Flow Dump'!AK51</f>
        <v>0</v>
      </c>
      <c r="BJ11" s="265">
        <f>'Cash Flow Dump'!AL51</f>
        <v>0</v>
      </c>
      <c r="BK11" s="297">
        <f>'Cash Flow Dump'!AM51</f>
        <v>0</v>
      </c>
      <c r="BM11" s="145">
        <f t="shared" si="17"/>
        <v>7</v>
      </c>
      <c r="BN11" s="139"/>
      <c r="BO11" s="139"/>
      <c r="BP11" s="139"/>
      <c r="BQ11" s="139"/>
      <c r="BR11" s="139"/>
      <c r="BS11" s="139"/>
      <c r="BT11" s="139">
        <f>'Property-Level CF'!BH23+'Property-Level CF'!BH14</f>
        <v>18285374.084905662</v>
      </c>
      <c r="BU11" s="139">
        <f>'Property-Level CF'!BH14</f>
        <v>941057</v>
      </c>
      <c r="BV11" s="139">
        <f>BU11</f>
        <v>941057</v>
      </c>
      <c r="BW11" s="140">
        <f>BV11</f>
        <v>941057</v>
      </c>
      <c r="BY11" s="207" t="s">
        <v>135</v>
      </c>
      <c r="BZ11" s="262"/>
      <c r="CA11" s="265">
        <f>'Cash Flow Dump'!AR49</f>
        <v>0</v>
      </c>
      <c r="CB11" s="265">
        <f>'Cash Flow Dump'!AS49</f>
        <v>0</v>
      </c>
      <c r="CC11" s="265">
        <f>'Cash Flow Dump'!AT49</f>
        <v>0</v>
      </c>
      <c r="CD11" s="265">
        <f>'Cash Flow Dump'!AU49</f>
        <v>0</v>
      </c>
      <c r="CE11" s="265">
        <f>'Cash Flow Dump'!AV49</f>
        <v>0</v>
      </c>
      <c r="CF11" s="265">
        <f>'Cash Flow Dump'!AW49</f>
        <v>0</v>
      </c>
      <c r="CG11" s="265">
        <f>'Cash Flow Dump'!AX49</f>
        <v>0</v>
      </c>
      <c r="CH11" s="265">
        <f>'Cash Flow Dump'!AY49</f>
        <v>0</v>
      </c>
      <c r="CI11" s="265">
        <f>'Cash Flow Dump'!AZ49</f>
        <v>0</v>
      </c>
      <c r="CJ11" s="297">
        <f>'Cash Flow Dump'!BA49</f>
        <v>0</v>
      </c>
      <c r="CL11" s="145">
        <f t="shared" si="19"/>
        <v>7</v>
      </c>
      <c r="CM11" s="139"/>
      <c r="CN11" s="139"/>
      <c r="CO11" s="139"/>
      <c r="CP11" s="139"/>
      <c r="CQ11" s="139"/>
      <c r="CR11" s="139"/>
      <c r="CS11" s="139">
        <f>'Property-Level CF'!CG23+'Property-Level CF'!CG14</f>
        <v>29846010.998393707</v>
      </c>
      <c r="CT11" s="139">
        <f>'Property-Level CF'!CG14</f>
        <v>1480641.5</v>
      </c>
      <c r="CU11" s="139">
        <f>CT11</f>
        <v>1480641.5</v>
      </c>
      <c r="CV11" s="140">
        <f>CU11</f>
        <v>1480641.5</v>
      </c>
      <c r="CX11" s="207" t="s">
        <v>135</v>
      </c>
      <c r="CY11" s="262"/>
      <c r="CZ11" s="265">
        <f>'Cash Flow Dump'!BF42</f>
        <v>0</v>
      </c>
      <c r="DA11" s="265">
        <f>'Cash Flow Dump'!BG42</f>
        <v>0</v>
      </c>
      <c r="DB11" s="265">
        <f>'Cash Flow Dump'!BH42</f>
        <v>0</v>
      </c>
      <c r="DC11" s="265">
        <f>'Cash Flow Dump'!BI42</f>
        <v>0</v>
      </c>
      <c r="DD11" s="265">
        <f>'Cash Flow Dump'!BJ42</f>
        <v>0</v>
      </c>
      <c r="DE11" s="265">
        <f>'Cash Flow Dump'!BK42</f>
        <v>0</v>
      </c>
      <c r="DF11" s="265">
        <f>'Cash Flow Dump'!BL42</f>
        <v>0</v>
      </c>
      <c r="DG11" s="265">
        <f>'Cash Flow Dump'!BM42</f>
        <v>0</v>
      </c>
      <c r="DH11" s="265">
        <f>'Cash Flow Dump'!BN42</f>
        <v>0</v>
      </c>
      <c r="DI11" s="297">
        <f>'Cash Flow Dump'!BO42</f>
        <v>0</v>
      </c>
      <c r="DK11" s="145">
        <f t="shared" si="21"/>
        <v>7</v>
      </c>
      <c r="DL11" s="139"/>
      <c r="DM11" s="139"/>
      <c r="DN11" s="139"/>
      <c r="DO11" s="139"/>
      <c r="DP11" s="139"/>
      <c r="DQ11" s="139"/>
      <c r="DR11" s="139">
        <f>'Property-Level CF'!DF23+'Property-Level CF'!DF14</f>
        <v>12833629.92776534</v>
      </c>
      <c r="DS11" s="139">
        <f>'Property-Level CF'!DF14</f>
        <v>644749</v>
      </c>
      <c r="DT11" s="139">
        <f>DS11</f>
        <v>644749</v>
      </c>
      <c r="DU11" s="140">
        <f>DT11</f>
        <v>644749</v>
      </c>
      <c r="DW11" s="207" t="s">
        <v>135</v>
      </c>
      <c r="DX11" s="262"/>
      <c r="DY11" s="265">
        <f>'Cash Flow Dump'!BT48</f>
        <v>0</v>
      </c>
      <c r="DZ11" s="265">
        <f>'Cash Flow Dump'!BU48</f>
        <v>0</v>
      </c>
      <c r="EA11" s="265">
        <f>'Cash Flow Dump'!BV48</f>
        <v>0</v>
      </c>
      <c r="EB11" s="265">
        <f>'Cash Flow Dump'!BW48</f>
        <v>0</v>
      </c>
      <c r="EC11" s="265">
        <f>'Cash Flow Dump'!BX48</f>
        <v>0</v>
      </c>
      <c r="ED11" s="265">
        <f>'Cash Flow Dump'!BY48</f>
        <v>0</v>
      </c>
      <c r="EE11" s="265">
        <f>'Cash Flow Dump'!BZ48</f>
        <v>0</v>
      </c>
      <c r="EF11" s="265">
        <f>'Cash Flow Dump'!CA48</f>
        <v>0</v>
      </c>
      <c r="EG11" s="265">
        <f>'Cash Flow Dump'!CB48</f>
        <v>0</v>
      </c>
      <c r="EH11" s="297">
        <f>'Cash Flow Dump'!CC48</f>
        <v>0</v>
      </c>
      <c r="EJ11" s="145">
        <f t="shared" si="23"/>
        <v>7</v>
      </c>
      <c r="EK11" s="139"/>
      <c r="EL11" s="139"/>
      <c r="EM11" s="139"/>
      <c r="EN11" s="139"/>
      <c r="EO11" s="139"/>
      <c r="EP11" s="139"/>
      <c r="EQ11" s="139">
        <f>'Property-Level CF'!EE23+'Property-Level CF'!EE14</f>
        <v>30512456.689474598</v>
      </c>
      <c r="ER11" s="139">
        <f>'Property-Level CF'!EE14</f>
        <v>1455554.5</v>
      </c>
      <c r="ES11" s="139">
        <f>ER11</f>
        <v>1455554.5</v>
      </c>
      <c r="ET11" s="140">
        <f>ES11</f>
        <v>1455554.5</v>
      </c>
    </row>
    <row r="12" spans="2:150" x14ac:dyDescent="0.3">
      <c r="B12" s="207" t="s">
        <v>31</v>
      </c>
      <c r="C12" s="262"/>
      <c r="D12" s="327">
        <f>'Cash Flow Dump'!B50</f>
        <v>1020</v>
      </c>
      <c r="E12" s="347">
        <f>'Cash Flow Dump'!C50</f>
        <v>4701</v>
      </c>
      <c r="F12" s="327">
        <f>'Cash Flow Dump'!D50</f>
        <v>9514</v>
      </c>
      <c r="G12" s="347">
        <f>'Cash Flow Dump'!E50</f>
        <v>53427</v>
      </c>
      <c r="H12" s="327">
        <f>'Cash Flow Dump'!F50</f>
        <v>0</v>
      </c>
      <c r="I12" s="327">
        <f>'Cash Flow Dump'!G50</f>
        <v>0</v>
      </c>
      <c r="J12" s="347">
        <f>'Cash Flow Dump'!H50</f>
        <v>20753</v>
      </c>
      <c r="K12" s="327">
        <f>'Cash Flow Dump'!I50</f>
        <v>0</v>
      </c>
      <c r="L12" s="347">
        <f>'Cash Flow Dump'!J50</f>
        <v>35606</v>
      </c>
      <c r="M12" s="348">
        <f>'Cash Flow Dump'!K50</f>
        <v>22115</v>
      </c>
      <c r="O12" s="145">
        <f t="shared" si="13"/>
        <v>8</v>
      </c>
      <c r="P12" s="139"/>
      <c r="Q12" s="139"/>
      <c r="R12" s="139"/>
      <c r="S12" s="139"/>
      <c r="T12" s="139"/>
      <c r="U12" s="139"/>
      <c r="V12" s="139"/>
      <c r="W12" s="139">
        <f>'Property-Level CF'!K23+'Property-Level CF'!K14</f>
        <v>14777461.514943365</v>
      </c>
      <c r="X12" s="139">
        <f>'Property-Level CF'!K14</f>
        <v>832629.5</v>
      </c>
      <c r="Y12" s="140">
        <f>X12</f>
        <v>832629.5</v>
      </c>
      <c r="AA12" s="207" t="s">
        <v>31</v>
      </c>
      <c r="AB12" s="262"/>
      <c r="AC12" s="265">
        <f>'Cash Flow Dump'!P50</f>
        <v>0</v>
      </c>
      <c r="AD12" s="265">
        <f>'Cash Flow Dump'!Q50</f>
        <v>0</v>
      </c>
      <c r="AE12" s="265">
        <f>'Cash Flow Dump'!R50</f>
        <v>0</v>
      </c>
      <c r="AF12" s="265">
        <f>'Cash Flow Dump'!S50</f>
        <v>0</v>
      </c>
      <c r="AG12" s="265">
        <f>'Cash Flow Dump'!T50</f>
        <v>0</v>
      </c>
      <c r="AH12" s="265">
        <f>'Cash Flow Dump'!U50</f>
        <v>0</v>
      </c>
      <c r="AI12" s="265">
        <f>'Cash Flow Dump'!V50</f>
        <v>0</v>
      </c>
      <c r="AJ12" s="265">
        <f>'Cash Flow Dump'!W50</f>
        <v>0</v>
      </c>
      <c r="AK12" s="265">
        <f>'Cash Flow Dump'!X50</f>
        <v>10301</v>
      </c>
      <c r="AL12" s="297">
        <f>'Cash Flow Dump'!Y50</f>
        <v>20960</v>
      </c>
      <c r="AN12" s="145">
        <f t="shared" si="15"/>
        <v>8</v>
      </c>
      <c r="AO12" s="139"/>
      <c r="AP12" s="139"/>
      <c r="AQ12" s="139"/>
      <c r="AR12" s="139"/>
      <c r="AS12" s="139"/>
      <c r="AT12" s="139"/>
      <c r="AU12" s="139"/>
      <c r="AV12" s="139">
        <f>'Property-Level CF'!AJ23+'Property-Level CF'!AJ14</f>
        <v>15049576.622641509</v>
      </c>
      <c r="AW12" s="139">
        <f>'Property-Level CF'!AJ14</f>
        <v>773914</v>
      </c>
      <c r="AX12" s="140">
        <f>AW12</f>
        <v>773914</v>
      </c>
      <c r="AZ12" s="207" t="s">
        <v>31</v>
      </c>
      <c r="BA12" s="262"/>
      <c r="BB12" s="265">
        <f>'Cash Flow Dump'!AD52</f>
        <v>0</v>
      </c>
      <c r="BC12" s="265">
        <f>'Cash Flow Dump'!AE52</f>
        <v>0</v>
      </c>
      <c r="BD12" s="265">
        <f>'Cash Flow Dump'!AF52</f>
        <v>0</v>
      </c>
      <c r="BE12" s="265">
        <f>'Cash Flow Dump'!AG52</f>
        <v>0</v>
      </c>
      <c r="BF12" s="265">
        <f>'Cash Flow Dump'!AH52</f>
        <v>0</v>
      </c>
      <c r="BG12" s="265">
        <f>'Cash Flow Dump'!AI52</f>
        <v>0</v>
      </c>
      <c r="BH12" s="265">
        <f>'Cash Flow Dump'!AJ52</f>
        <v>0</v>
      </c>
      <c r="BI12" s="265">
        <f>'Cash Flow Dump'!AK52</f>
        <v>0</v>
      </c>
      <c r="BJ12" s="265">
        <f>'Cash Flow Dump'!AL52</f>
        <v>0</v>
      </c>
      <c r="BK12" s="297">
        <f>'Cash Flow Dump'!AM52</f>
        <v>0</v>
      </c>
      <c r="BM12" s="145">
        <f t="shared" si="17"/>
        <v>8</v>
      </c>
      <c r="BN12" s="139"/>
      <c r="BO12" s="139"/>
      <c r="BP12" s="139"/>
      <c r="BQ12" s="139"/>
      <c r="BR12" s="139"/>
      <c r="BS12" s="139"/>
      <c r="BT12" s="139"/>
      <c r="BU12" s="139">
        <f>'Property-Level CF'!BI23+'Property-Level CF'!BI14</f>
        <v>18622838.896226417</v>
      </c>
      <c r="BV12" s="139">
        <f>'Property-Level CF'!BI14</f>
        <v>958687</v>
      </c>
      <c r="BW12" s="140">
        <f>BV12</f>
        <v>958687</v>
      </c>
      <c r="BY12" s="207" t="s">
        <v>31</v>
      </c>
      <c r="BZ12" s="262"/>
      <c r="CA12" s="265">
        <f>'Cash Flow Dump'!AR50</f>
        <v>0</v>
      </c>
      <c r="CB12" s="265">
        <f>'Cash Flow Dump'!AS50</f>
        <v>0</v>
      </c>
      <c r="CC12" s="265">
        <f>'Cash Flow Dump'!AT50</f>
        <v>0</v>
      </c>
      <c r="CD12" s="265">
        <f>'Cash Flow Dump'!AU50</f>
        <v>0</v>
      </c>
      <c r="CE12" s="265">
        <f>'Cash Flow Dump'!AV50</f>
        <v>0</v>
      </c>
      <c r="CF12" s="265">
        <f>'Cash Flow Dump'!AW50</f>
        <v>0</v>
      </c>
      <c r="CG12" s="265">
        <f>'Cash Flow Dump'!AX50</f>
        <v>0</v>
      </c>
      <c r="CH12" s="265">
        <f>'Cash Flow Dump'!AY50</f>
        <v>0</v>
      </c>
      <c r="CI12" s="265">
        <f>'Cash Flow Dump'!AZ50</f>
        <v>0</v>
      </c>
      <c r="CJ12" s="297">
        <f>'Cash Flow Dump'!BA50</f>
        <v>0</v>
      </c>
      <c r="CL12" s="145">
        <f t="shared" si="19"/>
        <v>8</v>
      </c>
      <c r="CM12" s="139"/>
      <c r="CN12" s="139"/>
      <c r="CO12" s="139"/>
      <c r="CP12" s="139"/>
      <c r="CQ12" s="139"/>
      <c r="CR12" s="139"/>
      <c r="CS12" s="139"/>
      <c r="CT12" s="139">
        <f>'Property-Level CF'!CH23+'Property-Level CF'!CH14</f>
        <v>30364514.302299876</v>
      </c>
      <c r="CU12" s="139">
        <f>'Property-Level CF'!CH14</f>
        <v>1506720.5</v>
      </c>
      <c r="CV12" s="140">
        <f>CU12</f>
        <v>1506720.5</v>
      </c>
      <c r="CX12" s="207" t="s">
        <v>31</v>
      </c>
      <c r="CY12" s="262"/>
      <c r="CZ12" s="265">
        <f>'Cash Flow Dump'!BF43</f>
        <v>0</v>
      </c>
      <c r="DA12" s="265">
        <f>'Cash Flow Dump'!BG43</f>
        <v>0</v>
      </c>
      <c r="DB12" s="265">
        <f>'Cash Flow Dump'!BH43</f>
        <v>0</v>
      </c>
      <c r="DC12" s="265">
        <f>'Cash Flow Dump'!BI43</f>
        <v>0</v>
      </c>
      <c r="DD12" s="265">
        <f>'Cash Flow Dump'!BJ43</f>
        <v>0</v>
      </c>
      <c r="DE12" s="265">
        <f>'Cash Flow Dump'!BK43</f>
        <v>0</v>
      </c>
      <c r="DF12" s="265">
        <f>'Cash Flow Dump'!BL43</f>
        <v>0</v>
      </c>
      <c r="DG12" s="265">
        <f>'Cash Flow Dump'!BM43</f>
        <v>0</v>
      </c>
      <c r="DH12" s="265">
        <f>'Cash Flow Dump'!BN43</f>
        <v>0</v>
      </c>
      <c r="DI12" s="297">
        <f>'Cash Flow Dump'!BO43</f>
        <v>0</v>
      </c>
      <c r="DK12" s="145">
        <f t="shared" si="21"/>
        <v>8</v>
      </c>
      <c r="DL12" s="139"/>
      <c r="DM12" s="139"/>
      <c r="DN12" s="139"/>
      <c r="DO12" s="139"/>
      <c r="DP12" s="139"/>
      <c r="DQ12" s="139"/>
      <c r="DR12" s="139"/>
      <c r="DS12" s="139">
        <f>'Property-Level CF'!DG23+'Property-Level CF'!DG14</f>
        <v>13090574.1814481</v>
      </c>
      <c r="DT12" s="139">
        <f>'Property-Level CF'!DG14</f>
        <v>657906</v>
      </c>
      <c r="DU12" s="140">
        <f>DT12</f>
        <v>657906</v>
      </c>
      <c r="DW12" s="207" t="s">
        <v>31</v>
      </c>
      <c r="DX12" s="262"/>
      <c r="DY12" s="265">
        <f>'Cash Flow Dump'!BT49</f>
        <v>0</v>
      </c>
      <c r="DZ12" s="265">
        <f>'Cash Flow Dump'!BU49</f>
        <v>0</v>
      </c>
      <c r="EA12" s="265">
        <f>'Cash Flow Dump'!BV49</f>
        <v>0</v>
      </c>
      <c r="EB12" s="265">
        <f>'Cash Flow Dump'!BW49</f>
        <v>0</v>
      </c>
      <c r="EC12" s="265">
        <f>'Cash Flow Dump'!BX49</f>
        <v>0</v>
      </c>
      <c r="ED12" s="265">
        <f>'Cash Flow Dump'!BY49</f>
        <v>0</v>
      </c>
      <c r="EE12" s="265">
        <f>'Cash Flow Dump'!BZ49</f>
        <v>0</v>
      </c>
      <c r="EF12" s="265">
        <f>'Cash Flow Dump'!CA49</f>
        <v>0</v>
      </c>
      <c r="EG12" s="265">
        <f>'Cash Flow Dump'!CB49</f>
        <v>0</v>
      </c>
      <c r="EH12" s="297">
        <f>'Cash Flow Dump'!CC49</f>
        <v>0</v>
      </c>
      <c r="EJ12" s="145">
        <f t="shared" si="23"/>
        <v>8</v>
      </c>
      <c r="EK12" s="139"/>
      <c r="EL12" s="139"/>
      <c r="EM12" s="139"/>
      <c r="EN12" s="139"/>
      <c r="EO12" s="139"/>
      <c r="EP12" s="139"/>
      <c r="EQ12" s="139"/>
      <c r="ER12" s="139">
        <f>'Property-Level CF'!EF23+'Property-Level CF'!EF14</f>
        <v>31127119.695391875</v>
      </c>
      <c r="ES12" s="139">
        <f>'Property-Level CF'!EF14</f>
        <v>1485285.5</v>
      </c>
      <c r="ET12" s="140">
        <f>ES12</f>
        <v>1485285.5</v>
      </c>
    </row>
    <row r="13" spans="2:150" x14ac:dyDescent="0.3">
      <c r="B13" s="154" t="s">
        <v>137</v>
      </c>
      <c r="C13" s="262"/>
      <c r="D13" s="132">
        <f>Summary!F4*Summary!C11</f>
        <v>14670.5</v>
      </c>
      <c r="E13" s="132">
        <f t="shared" ref="E13:M13" si="37">D13</f>
        <v>14670.5</v>
      </c>
      <c r="F13" s="132">
        <f t="shared" si="37"/>
        <v>14670.5</v>
      </c>
      <c r="G13" s="132">
        <f t="shared" si="37"/>
        <v>14670.5</v>
      </c>
      <c r="H13" s="132">
        <f t="shared" si="37"/>
        <v>14670.5</v>
      </c>
      <c r="I13" s="132">
        <f t="shared" si="37"/>
        <v>14670.5</v>
      </c>
      <c r="J13" s="132">
        <f t="shared" si="37"/>
        <v>14670.5</v>
      </c>
      <c r="K13" s="132">
        <f t="shared" si="37"/>
        <v>14670.5</v>
      </c>
      <c r="L13" s="132">
        <f t="shared" si="37"/>
        <v>14670.5</v>
      </c>
      <c r="M13" s="133">
        <f t="shared" si="37"/>
        <v>14670.5</v>
      </c>
      <c r="O13" s="145">
        <f t="shared" si="13"/>
        <v>9</v>
      </c>
      <c r="P13" s="139"/>
      <c r="Q13" s="139"/>
      <c r="R13" s="139"/>
      <c r="S13" s="139"/>
      <c r="T13" s="139"/>
      <c r="U13" s="139"/>
      <c r="V13" s="139"/>
      <c r="W13" s="139"/>
      <c r="X13" s="139">
        <f>'Property-Level CF'!L23+'Property-Level CF'!L14</f>
        <v>14294900.536266014</v>
      </c>
      <c r="Y13" s="140">
        <f>'Property-Level CF'!L14</f>
        <v>452848.5</v>
      </c>
      <c r="AA13" s="154" t="s">
        <v>137</v>
      </c>
      <c r="AB13" s="262"/>
      <c r="AC13" s="132">
        <f>Summary!F5*Summary!C11</f>
        <v>12992</v>
      </c>
      <c r="AD13" s="132">
        <f t="shared" ref="AD13:AL13" si="38">AC13</f>
        <v>12992</v>
      </c>
      <c r="AE13" s="132">
        <f t="shared" si="38"/>
        <v>12992</v>
      </c>
      <c r="AF13" s="132">
        <f t="shared" si="38"/>
        <v>12992</v>
      </c>
      <c r="AG13" s="132">
        <f t="shared" si="38"/>
        <v>12992</v>
      </c>
      <c r="AH13" s="132">
        <f t="shared" si="38"/>
        <v>12992</v>
      </c>
      <c r="AI13" s="132">
        <f t="shared" si="38"/>
        <v>12992</v>
      </c>
      <c r="AJ13" s="132">
        <f t="shared" si="38"/>
        <v>12992</v>
      </c>
      <c r="AK13" s="132">
        <f t="shared" si="38"/>
        <v>12992</v>
      </c>
      <c r="AL13" s="133">
        <f t="shared" si="38"/>
        <v>12992</v>
      </c>
      <c r="AN13" s="145">
        <f t="shared" si="15"/>
        <v>9</v>
      </c>
      <c r="AO13" s="139"/>
      <c r="AP13" s="139"/>
      <c r="AQ13" s="139"/>
      <c r="AR13" s="139"/>
      <c r="AS13" s="139"/>
      <c r="AT13" s="139"/>
      <c r="AU13" s="139"/>
      <c r="AV13" s="139"/>
      <c r="AW13" s="139">
        <f>'Property-Level CF'!AK23+'Property-Level CF'!AK14</f>
        <v>14949369.405660378</v>
      </c>
      <c r="AX13" s="140">
        <f>'Property-Level CF'!AK14</f>
        <v>668863</v>
      </c>
      <c r="AZ13" s="154" t="s">
        <v>137</v>
      </c>
      <c r="BA13" s="262"/>
      <c r="BB13" s="132">
        <f>Summary!F6*Summary!C11</f>
        <v>15000</v>
      </c>
      <c r="BC13" s="132">
        <f t="shared" ref="BC13:BK13" si="39">BB13</f>
        <v>15000</v>
      </c>
      <c r="BD13" s="132">
        <f t="shared" si="39"/>
        <v>15000</v>
      </c>
      <c r="BE13" s="132">
        <f t="shared" si="39"/>
        <v>15000</v>
      </c>
      <c r="BF13" s="132">
        <f t="shared" si="39"/>
        <v>15000</v>
      </c>
      <c r="BG13" s="132">
        <f t="shared" si="39"/>
        <v>15000</v>
      </c>
      <c r="BH13" s="132">
        <f t="shared" si="39"/>
        <v>15000</v>
      </c>
      <c r="BI13" s="132">
        <f t="shared" si="39"/>
        <v>15000</v>
      </c>
      <c r="BJ13" s="132">
        <f t="shared" si="39"/>
        <v>15000</v>
      </c>
      <c r="BK13" s="133">
        <f t="shared" si="39"/>
        <v>15000</v>
      </c>
      <c r="BM13" s="145">
        <f t="shared" si="17"/>
        <v>9</v>
      </c>
      <c r="BN13" s="139"/>
      <c r="BO13" s="139"/>
      <c r="BP13" s="139"/>
      <c r="BQ13" s="139"/>
      <c r="BR13" s="139"/>
      <c r="BS13" s="139"/>
      <c r="BT13" s="139"/>
      <c r="BU13" s="139"/>
      <c r="BV13" s="139">
        <f>'Property-Level CF'!BJ23+'Property-Level CF'!BJ14</f>
        <v>18760332.358490568</v>
      </c>
      <c r="BW13" s="140">
        <f>'Property-Level CF'!BJ14</f>
        <v>965870</v>
      </c>
      <c r="BY13" s="154" t="s">
        <v>137</v>
      </c>
      <c r="BZ13" s="262"/>
      <c r="CA13" s="132">
        <f>Summary!F7*Summary!C11</f>
        <v>21600.5</v>
      </c>
      <c r="CB13" s="132">
        <f t="shared" ref="CB13:CJ13" si="40">CA13</f>
        <v>21600.5</v>
      </c>
      <c r="CC13" s="132">
        <f t="shared" si="40"/>
        <v>21600.5</v>
      </c>
      <c r="CD13" s="132">
        <f t="shared" si="40"/>
        <v>21600.5</v>
      </c>
      <c r="CE13" s="132">
        <f t="shared" si="40"/>
        <v>21600.5</v>
      </c>
      <c r="CF13" s="132">
        <f t="shared" si="40"/>
        <v>21600.5</v>
      </c>
      <c r="CG13" s="132">
        <f t="shared" si="40"/>
        <v>21600.5</v>
      </c>
      <c r="CH13" s="132">
        <f t="shared" si="40"/>
        <v>21600.5</v>
      </c>
      <c r="CI13" s="132">
        <f t="shared" si="40"/>
        <v>21600.5</v>
      </c>
      <c r="CJ13" s="133">
        <f t="shared" si="40"/>
        <v>21600.5</v>
      </c>
      <c r="CL13" s="145">
        <f t="shared" si="19"/>
        <v>9</v>
      </c>
      <c r="CM13" s="139"/>
      <c r="CN13" s="139"/>
      <c r="CO13" s="139"/>
      <c r="CP13" s="139"/>
      <c r="CQ13" s="139"/>
      <c r="CR13" s="139"/>
      <c r="CS13" s="139"/>
      <c r="CT13" s="139"/>
      <c r="CU13" s="139">
        <f>'Property-Level CF'!CI23+'Property-Level CF'!CI14</f>
        <v>30905762.64166249</v>
      </c>
      <c r="CV13" s="140">
        <f>'Property-Level CF'!CI14</f>
        <v>1533943.5</v>
      </c>
      <c r="CX13" s="154" t="s">
        <v>137</v>
      </c>
      <c r="CY13" s="262"/>
      <c r="CZ13" s="132">
        <f>Summary!F8*Summary!C11</f>
        <v>13075</v>
      </c>
      <c r="DA13" s="132">
        <f t="shared" ref="DA13:DI13" si="41">CZ13</f>
        <v>13075</v>
      </c>
      <c r="DB13" s="132">
        <f t="shared" si="41"/>
        <v>13075</v>
      </c>
      <c r="DC13" s="132">
        <f t="shared" si="41"/>
        <v>13075</v>
      </c>
      <c r="DD13" s="132">
        <f t="shared" si="41"/>
        <v>13075</v>
      </c>
      <c r="DE13" s="132">
        <f t="shared" si="41"/>
        <v>13075</v>
      </c>
      <c r="DF13" s="132">
        <f t="shared" si="41"/>
        <v>13075</v>
      </c>
      <c r="DG13" s="132">
        <f t="shared" si="41"/>
        <v>13075</v>
      </c>
      <c r="DH13" s="132">
        <f t="shared" si="41"/>
        <v>13075</v>
      </c>
      <c r="DI13" s="133">
        <f t="shared" si="41"/>
        <v>13075</v>
      </c>
      <c r="DK13" s="145">
        <f t="shared" si="21"/>
        <v>9</v>
      </c>
      <c r="DL13" s="139"/>
      <c r="DM13" s="139"/>
      <c r="DN13" s="139"/>
      <c r="DO13" s="139"/>
      <c r="DP13" s="139"/>
      <c r="DQ13" s="139"/>
      <c r="DR13" s="139"/>
      <c r="DS13" s="139"/>
      <c r="DT13" s="139">
        <f>'Property-Level CF'!DH23+'Property-Level CF'!DH14</f>
        <v>13352635.057040483</v>
      </c>
      <c r="DU13" s="140">
        <f>'Property-Level CF'!DH14</f>
        <v>671325</v>
      </c>
      <c r="DW13" s="154" t="s">
        <v>137</v>
      </c>
      <c r="DX13" s="262"/>
      <c r="DY13" s="132">
        <f>Summary!F9*Summary!C11</f>
        <v>21353.5</v>
      </c>
      <c r="DZ13" s="132">
        <f t="shared" ref="DZ13:EH13" si="42">DY13</f>
        <v>21353.5</v>
      </c>
      <c r="EA13" s="132">
        <f t="shared" si="42"/>
        <v>21353.5</v>
      </c>
      <c r="EB13" s="132">
        <f t="shared" si="42"/>
        <v>21353.5</v>
      </c>
      <c r="EC13" s="132">
        <f t="shared" si="42"/>
        <v>21353.5</v>
      </c>
      <c r="ED13" s="132">
        <f t="shared" si="42"/>
        <v>21353.5</v>
      </c>
      <c r="EE13" s="132">
        <f t="shared" si="42"/>
        <v>21353.5</v>
      </c>
      <c r="EF13" s="132">
        <f t="shared" si="42"/>
        <v>21353.5</v>
      </c>
      <c r="EG13" s="132">
        <f t="shared" si="42"/>
        <v>21353.5</v>
      </c>
      <c r="EH13" s="133">
        <f t="shared" si="42"/>
        <v>21353.5</v>
      </c>
      <c r="EJ13" s="145">
        <f t="shared" si="23"/>
        <v>9</v>
      </c>
      <c r="EK13" s="139"/>
      <c r="EL13" s="139"/>
      <c r="EM13" s="139"/>
      <c r="EN13" s="139"/>
      <c r="EO13" s="139"/>
      <c r="EP13" s="139"/>
      <c r="EQ13" s="139"/>
      <c r="ER13" s="139"/>
      <c r="ES13" s="139">
        <f>'Property-Level CF'!EG23+'Property-Level CF'!EG14</f>
        <v>31746889.215131808</v>
      </c>
      <c r="ET13" s="140">
        <f>'Property-Level CF'!EG14</f>
        <v>1515263.5</v>
      </c>
    </row>
    <row r="14" spans="2:150" x14ac:dyDescent="0.3">
      <c r="B14" s="125" t="s">
        <v>176</v>
      </c>
      <c r="C14" s="259"/>
      <c r="D14" s="132">
        <f>D10-SUM(D11:D13)</f>
        <v>761132.5</v>
      </c>
      <c r="E14" s="132">
        <f t="shared" ref="E14:M14" si="43">E10-SUM(E11:E13)</f>
        <v>731468.5</v>
      </c>
      <c r="F14" s="132">
        <f t="shared" si="43"/>
        <v>732340.5</v>
      </c>
      <c r="G14" s="132">
        <f t="shared" si="43"/>
        <v>476440.5</v>
      </c>
      <c r="H14" s="132">
        <f t="shared" si="43"/>
        <v>824705.5</v>
      </c>
      <c r="I14" s="132">
        <f t="shared" si="43"/>
        <v>776001.5</v>
      </c>
      <c r="J14" s="132">
        <f t="shared" si="43"/>
        <v>343683.5</v>
      </c>
      <c r="K14" s="132">
        <f t="shared" si="43"/>
        <v>832629.5</v>
      </c>
      <c r="L14" s="132">
        <f t="shared" si="43"/>
        <v>452848.5</v>
      </c>
      <c r="M14" s="133">
        <f t="shared" si="43"/>
        <v>638163.5</v>
      </c>
      <c r="O14" s="145">
        <f t="shared" si="13"/>
        <v>10</v>
      </c>
      <c r="P14" s="139"/>
      <c r="Q14" s="139"/>
      <c r="R14" s="139"/>
      <c r="S14" s="139"/>
      <c r="T14" s="139"/>
      <c r="U14" s="139"/>
      <c r="V14" s="139"/>
      <c r="W14" s="139"/>
      <c r="X14" s="139"/>
      <c r="Y14" s="140">
        <f>'Property-Level CF'!M23+'Property-Level CF'!M14</f>
        <v>15200745.154599804</v>
      </c>
      <c r="AA14" s="125" t="s">
        <v>176</v>
      </c>
      <c r="AB14" s="259"/>
      <c r="AC14" s="132">
        <f t="shared" ref="AC14:AL14" si="44">AC10-SUM(AC11:AC13)</f>
        <v>408299</v>
      </c>
      <c r="AD14" s="132">
        <f t="shared" si="44"/>
        <v>547987</v>
      </c>
      <c r="AE14" s="132">
        <f t="shared" si="44"/>
        <v>713558</v>
      </c>
      <c r="AF14" s="132">
        <f t="shared" si="44"/>
        <v>731808</v>
      </c>
      <c r="AG14" s="132">
        <f t="shared" si="44"/>
        <v>749249</v>
      </c>
      <c r="AH14" s="132">
        <f t="shared" si="44"/>
        <v>757476</v>
      </c>
      <c r="AI14" s="132">
        <f t="shared" si="44"/>
        <v>765672</v>
      </c>
      <c r="AJ14" s="132">
        <f t="shared" si="44"/>
        <v>773914</v>
      </c>
      <c r="AK14" s="132">
        <f t="shared" si="44"/>
        <v>668863</v>
      </c>
      <c r="AL14" s="133">
        <f t="shared" si="44"/>
        <v>563742</v>
      </c>
      <c r="AN14" s="145">
        <f t="shared" si="15"/>
        <v>10</v>
      </c>
      <c r="AO14" s="139"/>
      <c r="AP14" s="139"/>
      <c r="AQ14" s="139"/>
      <c r="AR14" s="139"/>
      <c r="AS14" s="139"/>
      <c r="AT14" s="139"/>
      <c r="AU14" s="139"/>
      <c r="AV14" s="139"/>
      <c r="AW14" s="139"/>
      <c r="AX14" s="140">
        <f>'Property-Level CF'!AL23+'Property-Level CF'!AL14</f>
        <v>14914075.075471699</v>
      </c>
      <c r="AZ14" s="125" t="s">
        <v>176</v>
      </c>
      <c r="BA14" s="259"/>
      <c r="BB14" s="132">
        <f t="shared" ref="BB14:BK14" si="45">BB10-SUM(BB11:BB13)</f>
        <v>623299</v>
      </c>
      <c r="BC14" s="132">
        <f t="shared" si="45"/>
        <v>779615</v>
      </c>
      <c r="BD14" s="132">
        <f t="shared" si="45"/>
        <v>862384</v>
      </c>
      <c r="BE14" s="132">
        <f t="shared" si="45"/>
        <v>869405</v>
      </c>
      <c r="BF14" s="132">
        <f t="shared" si="45"/>
        <v>876356</v>
      </c>
      <c r="BG14" s="132">
        <f t="shared" si="45"/>
        <v>883681</v>
      </c>
      <c r="BH14" s="132">
        <f t="shared" si="45"/>
        <v>941057</v>
      </c>
      <c r="BI14" s="132">
        <f t="shared" si="45"/>
        <v>958687</v>
      </c>
      <c r="BJ14" s="132">
        <f t="shared" si="45"/>
        <v>965870</v>
      </c>
      <c r="BK14" s="133">
        <f t="shared" si="45"/>
        <v>972095</v>
      </c>
      <c r="BM14" s="145">
        <f t="shared" si="17"/>
        <v>10</v>
      </c>
      <c r="BN14" s="139"/>
      <c r="BO14" s="139"/>
      <c r="BP14" s="139"/>
      <c r="BQ14" s="139"/>
      <c r="BR14" s="139"/>
      <c r="BS14" s="139"/>
      <c r="BT14" s="139"/>
      <c r="BU14" s="139"/>
      <c r="BV14" s="139"/>
      <c r="BW14" s="140">
        <f>'Property-Level CF'!BK23+'Property-Level CF'!BK14</f>
        <v>18879488.254716981</v>
      </c>
      <c r="BY14" s="125" t="s">
        <v>176</v>
      </c>
      <c r="BZ14" s="259"/>
      <c r="CA14" s="132">
        <f t="shared" ref="CA14:CJ14" si="46">CA10-SUM(CA11:CA13)</f>
        <v>1332627.5</v>
      </c>
      <c r="CB14" s="132">
        <f t="shared" si="46"/>
        <v>1356219.5</v>
      </c>
      <c r="CC14" s="132">
        <f t="shared" si="46"/>
        <v>1380140.5</v>
      </c>
      <c r="CD14" s="132">
        <f t="shared" si="46"/>
        <v>1404707.5</v>
      </c>
      <c r="CE14" s="132">
        <f t="shared" si="46"/>
        <v>1429590.5</v>
      </c>
      <c r="CF14" s="132">
        <f t="shared" si="46"/>
        <v>1454974.5</v>
      </c>
      <c r="CG14" s="132">
        <f t="shared" si="46"/>
        <v>1480641.5</v>
      </c>
      <c r="CH14" s="132">
        <f t="shared" si="46"/>
        <v>1506720.5</v>
      </c>
      <c r="CI14" s="132">
        <f t="shared" si="46"/>
        <v>1533943.5</v>
      </c>
      <c r="CJ14" s="133">
        <f t="shared" si="46"/>
        <v>1562997.5</v>
      </c>
      <c r="CL14" s="145">
        <f t="shared" si="19"/>
        <v>10</v>
      </c>
      <c r="CM14" s="139"/>
      <c r="CN14" s="139"/>
      <c r="CO14" s="139"/>
      <c r="CP14" s="139"/>
      <c r="CQ14" s="139"/>
      <c r="CR14" s="139"/>
      <c r="CS14" s="139"/>
      <c r="CT14" s="139"/>
      <c r="CU14" s="139"/>
      <c r="CV14" s="140">
        <f>'Property-Level CF'!CJ23+'Property-Level CF'!CJ14</f>
        <v>31483414.966969818</v>
      </c>
      <c r="CX14" s="125" t="s">
        <v>176</v>
      </c>
      <c r="CY14" s="259"/>
      <c r="CZ14" s="132">
        <f t="shared" ref="CZ14:DI14" si="47">CZ10-SUM(CZ11:CZ13)</f>
        <v>571054</v>
      </c>
      <c r="DA14" s="132">
        <f t="shared" si="47"/>
        <v>582737</v>
      </c>
      <c r="DB14" s="132">
        <f t="shared" si="47"/>
        <v>594653</v>
      </c>
      <c r="DC14" s="132">
        <f t="shared" si="47"/>
        <v>606807</v>
      </c>
      <c r="DD14" s="132">
        <f t="shared" si="47"/>
        <v>619205</v>
      </c>
      <c r="DE14" s="132">
        <f t="shared" si="47"/>
        <v>631851</v>
      </c>
      <c r="DF14" s="132">
        <f t="shared" si="47"/>
        <v>644749</v>
      </c>
      <c r="DG14" s="132">
        <f t="shared" si="47"/>
        <v>657906</v>
      </c>
      <c r="DH14" s="132">
        <f t="shared" si="47"/>
        <v>671325</v>
      </c>
      <c r="DI14" s="133">
        <f t="shared" si="47"/>
        <v>685013</v>
      </c>
      <c r="DK14" s="145">
        <f t="shared" si="21"/>
        <v>10</v>
      </c>
      <c r="DL14" s="139"/>
      <c r="DM14" s="139"/>
      <c r="DN14" s="139"/>
      <c r="DO14" s="139"/>
      <c r="DP14" s="139"/>
      <c r="DQ14" s="139"/>
      <c r="DR14" s="139"/>
      <c r="DS14" s="139"/>
      <c r="DT14" s="139"/>
      <c r="DU14" s="140">
        <f>'Property-Level CF'!DI23+'Property-Level CF'!DI14</f>
        <v>13619949.258181293</v>
      </c>
      <c r="DW14" s="125" t="s">
        <v>176</v>
      </c>
      <c r="DX14" s="259"/>
      <c r="DY14" s="132">
        <f t="shared" ref="DY14:EH14" si="48">DY10-SUM(DY11:DY13)</f>
        <v>1290193.5</v>
      </c>
      <c r="DZ14" s="132">
        <f t="shared" si="48"/>
        <v>1316526.5</v>
      </c>
      <c r="EA14" s="132">
        <f t="shared" si="48"/>
        <v>1343108.5</v>
      </c>
      <c r="EB14" s="132">
        <f t="shared" si="48"/>
        <v>1370414.5</v>
      </c>
      <c r="EC14" s="132">
        <f t="shared" si="48"/>
        <v>1398269.5</v>
      </c>
      <c r="ED14" s="132">
        <f t="shared" si="48"/>
        <v>1426726.5</v>
      </c>
      <c r="EE14" s="132">
        <f t="shared" si="48"/>
        <v>1455554.5</v>
      </c>
      <c r="EF14" s="132">
        <f t="shared" si="48"/>
        <v>1485285.5</v>
      </c>
      <c r="EG14" s="132">
        <f t="shared" si="48"/>
        <v>1515263.5</v>
      </c>
      <c r="EH14" s="133">
        <f t="shared" si="48"/>
        <v>1545966.5</v>
      </c>
      <c r="EJ14" s="145">
        <f t="shared" si="23"/>
        <v>10</v>
      </c>
      <c r="EK14" s="139"/>
      <c r="EL14" s="139"/>
      <c r="EM14" s="139"/>
      <c r="EN14" s="139"/>
      <c r="EO14" s="139"/>
      <c r="EP14" s="139"/>
      <c r="EQ14" s="139"/>
      <c r="ER14" s="139"/>
      <c r="ES14" s="139"/>
      <c r="ET14" s="140">
        <f>'Property-Level CF'!EH23+'Property-Level CF'!EH14</f>
        <v>32381647.490019236</v>
      </c>
    </row>
    <row r="15" spans="2:150" ht="13.5" thickBot="1" x14ac:dyDescent="0.35">
      <c r="B15" s="207" t="s">
        <v>140</v>
      </c>
      <c r="C15" s="263"/>
      <c r="D15" s="146"/>
      <c r="E15" s="146"/>
      <c r="F15" s="146"/>
      <c r="G15" s="146"/>
      <c r="H15" s="146"/>
      <c r="I15" s="146"/>
      <c r="J15" s="146"/>
      <c r="K15" s="146"/>
      <c r="L15" s="146"/>
      <c r="M15" s="314">
        <f>M23</f>
        <v>14562581.654599804</v>
      </c>
      <c r="O15" s="148">
        <f t="shared" si="13"/>
        <v>11</v>
      </c>
      <c r="P15" s="141"/>
      <c r="Q15" s="141"/>
      <c r="R15" s="141"/>
      <c r="S15" s="141"/>
      <c r="T15" s="141"/>
      <c r="U15" s="141"/>
      <c r="V15" s="141"/>
      <c r="W15" s="141"/>
      <c r="X15" s="141"/>
      <c r="Y15" s="142"/>
      <c r="AA15" s="207" t="s">
        <v>140</v>
      </c>
      <c r="AB15" s="263"/>
      <c r="AC15" s="146"/>
      <c r="AD15" s="146"/>
      <c r="AE15" s="146"/>
      <c r="AF15" s="146"/>
      <c r="AG15" s="146"/>
      <c r="AH15" s="146"/>
      <c r="AI15" s="146"/>
      <c r="AJ15" s="146"/>
      <c r="AK15" s="146"/>
      <c r="AL15" s="314">
        <f>AL23</f>
        <v>14350333.075471699</v>
      </c>
      <c r="AN15" s="148">
        <f t="shared" si="15"/>
        <v>11</v>
      </c>
      <c r="AO15" s="141"/>
      <c r="AP15" s="141"/>
      <c r="AQ15" s="141"/>
      <c r="AR15" s="141"/>
      <c r="AS15" s="141"/>
      <c r="AT15" s="141"/>
      <c r="AU15" s="141"/>
      <c r="AV15" s="141"/>
      <c r="AW15" s="141"/>
      <c r="AX15" s="142"/>
      <c r="AZ15" s="207" t="s">
        <v>140</v>
      </c>
      <c r="BA15" s="263"/>
      <c r="BB15" s="146"/>
      <c r="BC15" s="146"/>
      <c r="BD15" s="146"/>
      <c r="BE15" s="146"/>
      <c r="BF15" s="146"/>
      <c r="BG15" s="146"/>
      <c r="BH15" s="146"/>
      <c r="BI15" s="146"/>
      <c r="BJ15" s="146"/>
      <c r="BK15" s="314">
        <f>BK23</f>
        <v>17907393.254716981</v>
      </c>
      <c r="BM15" s="148">
        <f t="shared" si="17"/>
        <v>11</v>
      </c>
      <c r="BN15" s="141"/>
      <c r="BO15" s="141"/>
      <c r="BP15" s="141"/>
      <c r="BQ15" s="141"/>
      <c r="BR15" s="141"/>
      <c r="BS15" s="141"/>
      <c r="BT15" s="141"/>
      <c r="BU15" s="141"/>
      <c r="BV15" s="141"/>
      <c r="BW15" s="142"/>
      <c r="BY15" s="207" t="s">
        <v>140</v>
      </c>
      <c r="BZ15" s="263"/>
      <c r="CA15" s="132"/>
      <c r="CB15" s="132"/>
      <c r="CC15" s="132"/>
      <c r="CD15" s="132"/>
      <c r="CE15" s="132"/>
      <c r="CF15" s="132"/>
      <c r="CG15" s="132"/>
      <c r="CH15" s="132"/>
      <c r="CI15" s="132"/>
      <c r="CJ15" s="133">
        <f>CJ23</f>
        <v>29920417.466969818</v>
      </c>
      <c r="CL15" s="148">
        <f t="shared" si="19"/>
        <v>11</v>
      </c>
      <c r="CM15" s="141"/>
      <c r="CN15" s="141"/>
      <c r="CO15" s="141"/>
      <c r="CP15" s="141"/>
      <c r="CQ15" s="141"/>
      <c r="CR15" s="141"/>
      <c r="CS15" s="141"/>
      <c r="CT15" s="141"/>
      <c r="CU15" s="141"/>
      <c r="CV15" s="142"/>
      <c r="CX15" s="207" t="s">
        <v>140</v>
      </c>
      <c r="CY15" s="263"/>
      <c r="CZ15" s="146"/>
      <c r="DA15" s="146"/>
      <c r="DB15" s="146"/>
      <c r="DC15" s="146"/>
      <c r="DD15" s="146"/>
      <c r="DE15" s="146"/>
      <c r="DF15" s="146"/>
      <c r="DG15" s="146"/>
      <c r="DH15" s="146"/>
      <c r="DI15" s="314">
        <f>DI23</f>
        <v>12934936.258181293</v>
      </c>
      <c r="DK15" s="148">
        <f t="shared" si="21"/>
        <v>11</v>
      </c>
      <c r="DL15" s="141"/>
      <c r="DM15" s="141"/>
      <c r="DN15" s="141"/>
      <c r="DO15" s="141"/>
      <c r="DP15" s="141"/>
      <c r="DQ15" s="141"/>
      <c r="DR15" s="141"/>
      <c r="DS15" s="141"/>
      <c r="DT15" s="141"/>
      <c r="DU15" s="142"/>
      <c r="DW15" s="207" t="s">
        <v>140</v>
      </c>
      <c r="DX15" s="263"/>
      <c r="DY15" s="146"/>
      <c r="DZ15" s="146"/>
      <c r="EA15" s="146"/>
      <c r="EB15" s="146"/>
      <c r="EC15" s="146"/>
      <c r="ED15" s="146"/>
      <c r="EE15" s="146"/>
      <c r="EF15" s="146"/>
      <c r="EG15" s="146"/>
      <c r="EH15" s="314">
        <f>EH23</f>
        <v>30835680.990019236</v>
      </c>
      <c r="EJ15" s="148">
        <f t="shared" si="23"/>
        <v>11</v>
      </c>
      <c r="EK15" s="141"/>
      <c r="EL15" s="141"/>
      <c r="EM15" s="141"/>
      <c r="EN15" s="141"/>
      <c r="EO15" s="141"/>
      <c r="EP15" s="141"/>
      <c r="EQ15" s="141"/>
      <c r="ER15" s="141"/>
      <c r="ES15" s="141"/>
      <c r="ET15" s="142"/>
    </row>
    <row r="16" spans="2:150" ht="13.5" thickBot="1" x14ac:dyDescent="0.35">
      <c r="B16" s="156" t="s">
        <v>141</v>
      </c>
      <c r="C16" s="303">
        <f>-Summary!J14</f>
        <v>-13422181.164964866</v>
      </c>
      <c r="D16" s="315">
        <f t="shared" ref="D16:M16" si="49">D14+D15</f>
        <v>761132.5</v>
      </c>
      <c r="E16" s="315">
        <f t="shared" si="49"/>
        <v>731468.5</v>
      </c>
      <c r="F16" s="315">
        <f t="shared" si="49"/>
        <v>732340.5</v>
      </c>
      <c r="G16" s="315">
        <f t="shared" si="49"/>
        <v>476440.5</v>
      </c>
      <c r="H16" s="315">
        <f t="shared" si="49"/>
        <v>824705.5</v>
      </c>
      <c r="I16" s="315">
        <f t="shared" si="49"/>
        <v>776001.5</v>
      </c>
      <c r="J16" s="315">
        <f t="shared" si="49"/>
        <v>343683.5</v>
      </c>
      <c r="K16" s="315">
        <f t="shared" si="49"/>
        <v>832629.5</v>
      </c>
      <c r="L16" s="315">
        <f t="shared" si="49"/>
        <v>452848.5</v>
      </c>
      <c r="M16" s="316">
        <f t="shared" si="49"/>
        <v>15200745.154599804</v>
      </c>
      <c r="O16" s="168" t="s">
        <v>109</v>
      </c>
      <c r="P16" s="169" t="str">
        <f t="shared" ref="P16:Y16" si="50">P2</f>
        <v>Year 1</v>
      </c>
      <c r="Q16" s="169" t="str">
        <f t="shared" si="50"/>
        <v>Year 2</v>
      </c>
      <c r="R16" s="169" t="str">
        <f t="shared" si="50"/>
        <v>Year 3</v>
      </c>
      <c r="S16" s="169" t="str">
        <f t="shared" si="50"/>
        <v>Year 4</v>
      </c>
      <c r="T16" s="169" t="str">
        <f t="shared" si="50"/>
        <v>Year 5</v>
      </c>
      <c r="U16" s="169" t="str">
        <f t="shared" si="50"/>
        <v>Year 6</v>
      </c>
      <c r="V16" s="169" t="str">
        <f t="shared" si="50"/>
        <v>Year 7</v>
      </c>
      <c r="W16" s="169" t="str">
        <f t="shared" si="50"/>
        <v>Year 8</v>
      </c>
      <c r="X16" s="169" t="str">
        <f t="shared" si="50"/>
        <v>Year 9</v>
      </c>
      <c r="Y16" s="170" t="str">
        <f t="shared" si="50"/>
        <v>Year 10</v>
      </c>
      <c r="AA16" s="156" t="s">
        <v>141</v>
      </c>
      <c r="AB16" s="303">
        <f>-Summary!J15</f>
        <v>-10961841.989616027</v>
      </c>
      <c r="AC16" s="315">
        <f t="shared" ref="AC16:AL16" si="51">AC14+AC15</f>
        <v>408299</v>
      </c>
      <c r="AD16" s="315">
        <f t="shared" si="51"/>
        <v>547987</v>
      </c>
      <c r="AE16" s="315">
        <f t="shared" si="51"/>
        <v>713558</v>
      </c>
      <c r="AF16" s="315">
        <f t="shared" si="51"/>
        <v>731808</v>
      </c>
      <c r="AG16" s="315">
        <f t="shared" si="51"/>
        <v>749249</v>
      </c>
      <c r="AH16" s="315">
        <f t="shared" si="51"/>
        <v>757476</v>
      </c>
      <c r="AI16" s="315">
        <f t="shared" si="51"/>
        <v>765672</v>
      </c>
      <c r="AJ16" s="315">
        <f t="shared" si="51"/>
        <v>773914</v>
      </c>
      <c r="AK16" s="315">
        <f t="shared" si="51"/>
        <v>668863</v>
      </c>
      <c r="AL16" s="316">
        <f t="shared" si="51"/>
        <v>14914075.075471699</v>
      </c>
      <c r="AN16" s="168" t="s">
        <v>109</v>
      </c>
      <c r="AO16" s="169" t="str">
        <f t="shared" ref="AO16:AX16" si="52">AO2</f>
        <v>Year 1</v>
      </c>
      <c r="AP16" s="169" t="str">
        <f t="shared" si="52"/>
        <v>Year 2</v>
      </c>
      <c r="AQ16" s="169" t="str">
        <f t="shared" si="52"/>
        <v>Year 3</v>
      </c>
      <c r="AR16" s="169" t="str">
        <f t="shared" si="52"/>
        <v>Year 4</v>
      </c>
      <c r="AS16" s="169" t="str">
        <f t="shared" si="52"/>
        <v>Year 5</v>
      </c>
      <c r="AT16" s="169" t="str">
        <f t="shared" si="52"/>
        <v>Year 6</v>
      </c>
      <c r="AU16" s="169" t="str">
        <f t="shared" si="52"/>
        <v>Year 7</v>
      </c>
      <c r="AV16" s="169" t="str">
        <f t="shared" si="52"/>
        <v>Year 8</v>
      </c>
      <c r="AW16" s="169" t="str">
        <f t="shared" si="52"/>
        <v>Year 9</v>
      </c>
      <c r="AX16" s="170" t="str">
        <f t="shared" si="52"/>
        <v>Year 10</v>
      </c>
      <c r="AZ16" s="156" t="s">
        <v>141</v>
      </c>
      <c r="BA16" s="303">
        <f>-Summary!J16</f>
        <v>-14068705.077056095</v>
      </c>
      <c r="BB16" s="315">
        <f t="shared" ref="BB16:BK16" si="53">BB14+BB15</f>
        <v>623299</v>
      </c>
      <c r="BC16" s="315">
        <f t="shared" si="53"/>
        <v>779615</v>
      </c>
      <c r="BD16" s="315">
        <f t="shared" si="53"/>
        <v>862384</v>
      </c>
      <c r="BE16" s="315">
        <f t="shared" si="53"/>
        <v>869405</v>
      </c>
      <c r="BF16" s="315">
        <f t="shared" si="53"/>
        <v>876356</v>
      </c>
      <c r="BG16" s="315">
        <f t="shared" si="53"/>
        <v>883681</v>
      </c>
      <c r="BH16" s="315">
        <f t="shared" si="53"/>
        <v>941057</v>
      </c>
      <c r="BI16" s="315">
        <f t="shared" si="53"/>
        <v>958687</v>
      </c>
      <c r="BJ16" s="315">
        <f t="shared" si="53"/>
        <v>965870</v>
      </c>
      <c r="BK16" s="316">
        <f t="shared" si="53"/>
        <v>18879488.254716981</v>
      </c>
      <c r="BM16" s="168" t="s">
        <v>109</v>
      </c>
      <c r="BN16" s="169" t="str">
        <f t="shared" ref="BN16:BW16" si="54">BN2</f>
        <v>Year 1</v>
      </c>
      <c r="BO16" s="169" t="str">
        <f t="shared" si="54"/>
        <v>Year 2</v>
      </c>
      <c r="BP16" s="169" t="str">
        <f t="shared" si="54"/>
        <v>Year 3</v>
      </c>
      <c r="BQ16" s="169" t="str">
        <f t="shared" si="54"/>
        <v>Year 4</v>
      </c>
      <c r="BR16" s="169" t="str">
        <f t="shared" si="54"/>
        <v>Year 5</v>
      </c>
      <c r="BS16" s="169" t="str">
        <f t="shared" si="54"/>
        <v>Year 6</v>
      </c>
      <c r="BT16" s="169" t="str">
        <f t="shared" si="54"/>
        <v>Year 7</v>
      </c>
      <c r="BU16" s="169" t="str">
        <f t="shared" si="54"/>
        <v>Year 8</v>
      </c>
      <c r="BV16" s="169" t="str">
        <f t="shared" si="54"/>
        <v>Year 9</v>
      </c>
      <c r="BW16" s="170" t="str">
        <f t="shared" si="54"/>
        <v>Year 10</v>
      </c>
      <c r="BY16" s="156" t="s">
        <v>141</v>
      </c>
      <c r="BZ16" s="303">
        <f>-Summary!J17</f>
        <v>-26845115.361278508</v>
      </c>
      <c r="CA16" s="304">
        <f t="shared" ref="CA16:CJ16" si="55">CA14+CA15</f>
        <v>1332627.5</v>
      </c>
      <c r="CB16" s="304">
        <f t="shared" si="55"/>
        <v>1356219.5</v>
      </c>
      <c r="CC16" s="304">
        <f t="shared" si="55"/>
        <v>1380140.5</v>
      </c>
      <c r="CD16" s="304">
        <f t="shared" si="55"/>
        <v>1404707.5</v>
      </c>
      <c r="CE16" s="304">
        <f t="shared" si="55"/>
        <v>1429590.5</v>
      </c>
      <c r="CF16" s="304">
        <f t="shared" si="55"/>
        <v>1454974.5</v>
      </c>
      <c r="CG16" s="304">
        <f t="shared" si="55"/>
        <v>1480641.5</v>
      </c>
      <c r="CH16" s="304">
        <f t="shared" si="55"/>
        <v>1506720.5</v>
      </c>
      <c r="CI16" s="304">
        <f t="shared" si="55"/>
        <v>1533943.5</v>
      </c>
      <c r="CJ16" s="312">
        <f t="shared" si="55"/>
        <v>31483414.966969818</v>
      </c>
      <c r="CL16" s="168" t="s">
        <v>109</v>
      </c>
      <c r="CM16" s="169" t="str">
        <f t="shared" ref="CM16:CV16" si="56">CM2</f>
        <v>Year 1</v>
      </c>
      <c r="CN16" s="169" t="str">
        <f t="shared" si="56"/>
        <v>Year 2</v>
      </c>
      <c r="CO16" s="169" t="str">
        <f t="shared" si="56"/>
        <v>Year 3</v>
      </c>
      <c r="CP16" s="169" t="str">
        <f t="shared" si="56"/>
        <v>Year 4</v>
      </c>
      <c r="CQ16" s="169" t="str">
        <f t="shared" si="56"/>
        <v>Year 5</v>
      </c>
      <c r="CR16" s="169" t="str">
        <f t="shared" si="56"/>
        <v>Year 6</v>
      </c>
      <c r="CS16" s="169" t="str">
        <f t="shared" si="56"/>
        <v>Year 7</v>
      </c>
      <c r="CT16" s="169" t="str">
        <f t="shared" si="56"/>
        <v>Year 8</v>
      </c>
      <c r="CU16" s="169" t="str">
        <f t="shared" si="56"/>
        <v>Year 9</v>
      </c>
      <c r="CV16" s="170" t="str">
        <f t="shared" si="56"/>
        <v>Year 10</v>
      </c>
      <c r="CX16" s="156" t="s">
        <v>141</v>
      </c>
      <c r="CY16" s="303">
        <f>-Summary!J18</f>
        <v>-11362864.518501915</v>
      </c>
      <c r="CZ16" s="315">
        <f t="shared" ref="CZ16:DI16" si="57">CZ14+CZ15</f>
        <v>571054</v>
      </c>
      <c r="DA16" s="315">
        <f t="shared" si="57"/>
        <v>582737</v>
      </c>
      <c r="DB16" s="315">
        <f t="shared" si="57"/>
        <v>594653</v>
      </c>
      <c r="DC16" s="315">
        <f t="shared" si="57"/>
        <v>606807</v>
      </c>
      <c r="DD16" s="315">
        <f t="shared" si="57"/>
        <v>619205</v>
      </c>
      <c r="DE16" s="315">
        <f t="shared" si="57"/>
        <v>631851</v>
      </c>
      <c r="DF16" s="315">
        <f t="shared" si="57"/>
        <v>644749</v>
      </c>
      <c r="DG16" s="315">
        <f t="shared" si="57"/>
        <v>657906</v>
      </c>
      <c r="DH16" s="315">
        <f t="shared" si="57"/>
        <v>671325</v>
      </c>
      <c r="DI16" s="316">
        <f t="shared" si="57"/>
        <v>13619949.258181293</v>
      </c>
      <c r="DK16" s="168" t="s">
        <v>109</v>
      </c>
      <c r="DL16" s="169" t="str">
        <f t="shared" ref="DL16:DU16" si="58">DL2</f>
        <v>Year 1</v>
      </c>
      <c r="DM16" s="169" t="str">
        <f t="shared" si="58"/>
        <v>Year 2</v>
      </c>
      <c r="DN16" s="169" t="str">
        <f t="shared" si="58"/>
        <v>Year 3</v>
      </c>
      <c r="DO16" s="169" t="str">
        <f t="shared" si="58"/>
        <v>Year 4</v>
      </c>
      <c r="DP16" s="169" t="str">
        <f t="shared" si="58"/>
        <v>Year 5</v>
      </c>
      <c r="DQ16" s="169" t="str">
        <f t="shared" si="58"/>
        <v>Year 6</v>
      </c>
      <c r="DR16" s="169" t="str">
        <f t="shared" si="58"/>
        <v>Year 7</v>
      </c>
      <c r="DS16" s="169" t="str">
        <f t="shared" si="58"/>
        <v>Year 8</v>
      </c>
      <c r="DT16" s="169" t="str">
        <f t="shared" si="58"/>
        <v>Year 9</v>
      </c>
      <c r="DU16" s="170" t="str">
        <f t="shared" si="58"/>
        <v>Year 10</v>
      </c>
      <c r="DW16" s="156" t="s">
        <v>141</v>
      </c>
      <c r="DX16" s="303">
        <f>-Summary!J19</f>
        <v>-27089729.418582588</v>
      </c>
      <c r="DY16" s="315">
        <f t="shared" ref="DY16:EH16" si="59">DY14+DY15</f>
        <v>1290193.5</v>
      </c>
      <c r="DZ16" s="315">
        <f t="shared" si="59"/>
        <v>1316526.5</v>
      </c>
      <c r="EA16" s="315">
        <f t="shared" si="59"/>
        <v>1343108.5</v>
      </c>
      <c r="EB16" s="315">
        <f t="shared" si="59"/>
        <v>1370414.5</v>
      </c>
      <c r="EC16" s="315">
        <f t="shared" si="59"/>
        <v>1398269.5</v>
      </c>
      <c r="ED16" s="315">
        <f t="shared" si="59"/>
        <v>1426726.5</v>
      </c>
      <c r="EE16" s="315">
        <f t="shared" si="59"/>
        <v>1455554.5</v>
      </c>
      <c r="EF16" s="315">
        <f t="shared" si="59"/>
        <v>1485285.5</v>
      </c>
      <c r="EG16" s="315">
        <f t="shared" si="59"/>
        <v>1515263.5</v>
      </c>
      <c r="EH16" s="316">
        <f t="shared" si="59"/>
        <v>32381647.490019236</v>
      </c>
      <c r="EJ16" s="168" t="s">
        <v>109</v>
      </c>
      <c r="EK16" s="169" t="str">
        <f t="shared" ref="EK16:ET16" si="60">EK2</f>
        <v>Year 1</v>
      </c>
      <c r="EL16" s="169" t="str">
        <f t="shared" si="60"/>
        <v>Year 2</v>
      </c>
      <c r="EM16" s="169" t="str">
        <f t="shared" si="60"/>
        <v>Year 3</v>
      </c>
      <c r="EN16" s="169" t="str">
        <f t="shared" si="60"/>
        <v>Year 4</v>
      </c>
      <c r="EO16" s="169" t="str">
        <f t="shared" si="60"/>
        <v>Year 5</v>
      </c>
      <c r="EP16" s="169" t="str">
        <f t="shared" si="60"/>
        <v>Year 6</v>
      </c>
      <c r="EQ16" s="169" t="str">
        <f t="shared" si="60"/>
        <v>Year 7</v>
      </c>
      <c r="ER16" s="169" t="str">
        <f t="shared" si="60"/>
        <v>Year 8</v>
      </c>
      <c r="ES16" s="169" t="str">
        <f t="shared" si="60"/>
        <v>Year 9</v>
      </c>
      <c r="ET16" s="170" t="str">
        <f t="shared" si="60"/>
        <v>Year 10</v>
      </c>
    </row>
    <row r="17" spans="2:150" ht="13.5" thickBot="1" x14ac:dyDescent="0.35">
      <c r="B17" s="125"/>
      <c r="C17" s="259"/>
      <c r="D17" s="146"/>
      <c r="E17" s="146"/>
      <c r="F17" s="146"/>
      <c r="G17" s="146"/>
      <c r="H17" s="146"/>
      <c r="I17" s="146"/>
      <c r="J17" s="146"/>
      <c r="K17" s="146"/>
      <c r="L17" s="146"/>
      <c r="M17" s="147"/>
      <c r="O17" s="171" t="s">
        <v>61</v>
      </c>
      <c r="P17" s="172">
        <f t="shared" ref="P17:Y17" si="61">IRR(P18:P29)</f>
        <v>-2.6843350390560627E-2</v>
      </c>
      <c r="Q17" s="172">
        <f t="shared" si="61"/>
        <v>4.0831845377026887E-2</v>
      </c>
      <c r="R17" s="172">
        <f t="shared" si="61"/>
        <v>6.3933131367711615E-2</v>
      </c>
      <c r="S17" s="172">
        <f t="shared" si="61"/>
        <v>5.1863851126367377E-2</v>
      </c>
      <c r="T17" s="172">
        <f t="shared" si="61"/>
        <v>8.5837800412382759E-2</v>
      </c>
      <c r="U17" s="172">
        <f t="shared" si="61"/>
        <v>6.1263800524201661E-2</v>
      </c>
      <c r="V17" s="172">
        <f t="shared" si="61"/>
        <v>6.0346328213419786E-2</v>
      </c>
      <c r="W17" s="172">
        <f t="shared" si="61"/>
        <v>7.8471230674868275E-2</v>
      </c>
      <c r="X17" s="172">
        <f t="shared" si="61"/>
        <v>7.1098616341067178E-2</v>
      </c>
      <c r="Y17" s="173">
        <f t="shared" si="61"/>
        <v>8.0202328433236492E-2</v>
      </c>
      <c r="AA17" s="125"/>
      <c r="AB17" s="259"/>
      <c r="AC17" s="146"/>
      <c r="AD17" s="146"/>
      <c r="AE17" s="146"/>
      <c r="AF17" s="146"/>
      <c r="AG17" s="146"/>
      <c r="AH17" s="146"/>
      <c r="AI17" s="146"/>
      <c r="AJ17" s="146"/>
      <c r="AK17" s="146"/>
      <c r="AL17" s="147"/>
      <c r="AN17" s="171" t="s">
        <v>61</v>
      </c>
      <c r="AO17" s="172">
        <f t="shared" ref="AO17:AX17" si="62">IRR(AO18:AO29)</f>
        <v>-8.2442683479745149E-2</v>
      </c>
      <c r="AP17" s="172">
        <f t="shared" si="62"/>
        <v>-5.907901017714734E-2</v>
      </c>
      <c r="AQ17" s="172">
        <f t="shared" si="62"/>
        <v>0.21737886737956069</v>
      </c>
      <c r="AR17" s="172">
        <f t="shared" si="62"/>
        <v>0.19556344700915784</v>
      </c>
      <c r="AS17" s="172">
        <f t="shared" si="62"/>
        <v>0.181735997763115</v>
      </c>
      <c r="AT17" s="172">
        <f t="shared" si="62"/>
        <v>0.16833302221070801</v>
      </c>
      <c r="AU17" s="172">
        <f t="shared" si="62"/>
        <v>0.15886919152020207</v>
      </c>
      <c r="AV17" s="172">
        <f t="shared" si="62"/>
        <v>0.15184412168167949</v>
      </c>
      <c r="AW17" s="172">
        <f t="shared" si="62"/>
        <v>0.14323919323428291</v>
      </c>
      <c r="AX17" s="173">
        <f t="shared" si="62"/>
        <v>0.13599865459232952</v>
      </c>
      <c r="AZ17" s="125"/>
      <c r="BA17" s="259"/>
      <c r="BB17" s="146"/>
      <c r="BC17" s="146"/>
      <c r="BD17" s="146"/>
      <c r="BE17" s="146"/>
      <c r="BF17" s="146"/>
      <c r="BG17" s="146"/>
      <c r="BH17" s="146"/>
      <c r="BI17" s="146"/>
      <c r="BJ17" s="146"/>
      <c r="BK17" s="147"/>
      <c r="BM17" s="171" t="s">
        <v>61</v>
      </c>
      <c r="BN17" s="172">
        <f t="shared" ref="BN17:BW17" si="63">IRR(BN18:BN29)</f>
        <v>-6.22808637656459E-2</v>
      </c>
      <c r="BO17" s="172">
        <f t="shared" si="63"/>
        <v>9.6457276768428191E-2</v>
      </c>
      <c r="BP17" s="172">
        <f t="shared" si="63"/>
        <v>0.17718996389288466</v>
      </c>
      <c r="BQ17" s="172">
        <f t="shared" si="63"/>
        <v>0.15676106881723806</v>
      </c>
      <c r="BR17" s="172">
        <f t="shared" si="63"/>
        <v>0.14465337964823655</v>
      </c>
      <c r="BS17" s="172">
        <f t="shared" si="63"/>
        <v>0.13678449784790314</v>
      </c>
      <c r="BT17" s="172">
        <f t="shared" si="63"/>
        <v>0.14639500378060655</v>
      </c>
      <c r="BU17" s="172">
        <f t="shared" si="63"/>
        <v>0.14263384229906517</v>
      </c>
      <c r="BV17" s="172">
        <f t="shared" si="63"/>
        <v>0.13753930093793931</v>
      </c>
      <c r="BW17" s="173">
        <f t="shared" si="63"/>
        <v>0.13334285762983966</v>
      </c>
      <c r="BY17" s="125"/>
      <c r="BZ17" s="259"/>
      <c r="CA17" s="132"/>
      <c r="CB17" s="132"/>
      <c r="CC17" s="132"/>
      <c r="CD17" s="132"/>
      <c r="CE17" s="132"/>
      <c r="CF17" s="132"/>
      <c r="CG17" s="132"/>
      <c r="CH17" s="132"/>
      <c r="CI17" s="132"/>
      <c r="CJ17" s="133"/>
      <c r="CL17" s="171" t="s">
        <v>61</v>
      </c>
      <c r="CM17" s="172">
        <f t="shared" ref="CM17:CV17" si="64">IRR(CM18:CM29)</f>
        <v>-4.703113604754261E-2</v>
      </c>
      <c r="CN17" s="172">
        <f t="shared" si="64"/>
        <v>2.0540037493510743E-2</v>
      </c>
      <c r="CO17" s="172">
        <f t="shared" si="64"/>
        <v>5.2697090112387102E-2</v>
      </c>
      <c r="CP17" s="172">
        <f t="shared" si="64"/>
        <v>6.8643753583593092E-2</v>
      </c>
      <c r="CQ17" s="172">
        <f t="shared" si="64"/>
        <v>7.7831229580804573E-2</v>
      </c>
      <c r="CR17" s="172">
        <f t="shared" si="64"/>
        <v>8.3677511448094988E-2</v>
      </c>
      <c r="CS17" s="172">
        <f t="shared" si="64"/>
        <v>8.7572638577033457E-2</v>
      </c>
      <c r="CT17" s="172">
        <f t="shared" si="64"/>
        <v>9.028927299851075E-2</v>
      </c>
      <c r="CU17" s="172">
        <f t="shared" si="64"/>
        <v>9.2340928323717097E-2</v>
      </c>
      <c r="CV17" s="173">
        <f t="shared" si="64"/>
        <v>9.4007474761676368E-2</v>
      </c>
      <c r="CX17" s="125"/>
      <c r="CY17" s="259"/>
      <c r="CZ17" s="146"/>
      <c r="DA17" s="146"/>
      <c r="DB17" s="146"/>
      <c r="DC17" s="146"/>
      <c r="DD17" s="146"/>
      <c r="DE17" s="146"/>
      <c r="DF17" s="146"/>
      <c r="DG17" s="146"/>
      <c r="DH17" s="146"/>
      <c r="DI17" s="147"/>
      <c r="DK17" s="171" t="s">
        <v>61</v>
      </c>
      <c r="DL17" s="172">
        <f t="shared" ref="DL17:DU17" si="65">IRR(DL18:DL29)</f>
        <v>-4.5274491818171114E-2</v>
      </c>
      <c r="DM17" s="172">
        <f t="shared" si="65"/>
        <v>2.6088640446477296E-2</v>
      </c>
      <c r="DN17" s="172">
        <f t="shared" si="65"/>
        <v>5.9491167822170565E-2</v>
      </c>
      <c r="DO17" s="172">
        <f t="shared" si="65"/>
        <v>7.5822836474991329E-2</v>
      </c>
      <c r="DP17" s="172">
        <f t="shared" si="65"/>
        <v>8.5187852640569606E-2</v>
      </c>
      <c r="DQ17" s="172">
        <f t="shared" si="65"/>
        <v>9.1062564196414675E-2</v>
      </c>
      <c r="DR17" s="172">
        <f t="shared" si="65"/>
        <v>9.4960294216622554E-2</v>
      </c>
      <c r="DS17" s="172">
        <f t="shared" si="65"/>
        <v>9.7644186151331747E-2</v>
      </c>
      <c r="DT17" s="172">
        <f t="shared" si="65"/>
        <v>9.9537171408764946E-2</v>
      </c>
      <c r="DU17" s="173">
        <f t="shared" si="65"/>
        <v>0.10089337019127864</v>
      </c>
      <c r="DW17" s="125"/>
      <c r="DX17" s="259"/>
      <c r="DY17" s="146"/>
      <c r="DZ17" s="146"/>
      <c r="EA17" s="146"/>
      <c r="EB17" s="146"/>
      <c r="EC17" s="146"/>
      <c r="ED17" s="146"/>
      <c r="EE17" s="146"/>
      <c r="EF17" s="146"/>
      <c r="EG17" s="146"/>
      <c r="EH17" s="147"/>
      <c r="EJ17" s="171" t="s">
        <v>61</v>
      </c>
      <c r="EK17" s="172">
        <f t="shared" ref="EK17:ET17" si="66">IRR(EK18:EK29)</f>
        <v>-5.2787347061615808E-2</v>
      </c>
      <c r="EL17" s="172">
        <f t="shared" si="66"/>
        <v>1.8454177186890908E-2</v>
      </c>
      <c r="EM17" s="172">
        <f t="shared" si="66"/>
        <v>5.1718579870219106E-2</v>
      </c>
      <c r="EN17" s="172">
        <f t="shared" si="66"/>
        <v>6.814375266604733E-2</v>
      </c>
      <c r="EO17" s="172">
        <f t="shared" si="66"/>
        <v>7.760794290231332E-2</v>
      </c>
      <c r="EP17" s="172">
        <f t="shared" si="66"/>
        <v>8.3591479988130546E-2</v>
      </c>
      <c r="EQ17" s="172">
        <f t="shared" si="66"/>
        <v>8.7544775405570485E-2</v>
      </c>
      <c r="ER17" s="172">
        <f t="shared" si="66"/>
        <v>9.034718714598422E-2</v>
      </c>
      <c r="ES17" s="172">
        <f t="shared" si="66"/>
        <v>9.2291610657639245E-2</v>
      </c>
      <c r="ET17" s="173">
        <f t="shared" si="66"/>
        <v>9.3715507031594036E-2</v>
      </c>
    </row>
    <row r="18" spans="2:150" x14ac:dyDescent="0.3">
      <c r="B18" s="125" t="s">
        <v>143</v>
      </c>
      <c r="C18" s="259"/>
      <c r="D18" s="130">
        <f>Summary!L14</f>
        <v>5.7876062798771902E-2</v>
      </c>
      <c r="E18" s="130">
        <f>Summary!L4</f>
        <v>5.8421567870232151E-2</v>
      </c>
      <c r="F18" s="130">
        <f t="shared" ref="F18:M18" si="67">E18</f>
        <v>5.8421567870232151E-2</v>
      </c>
      <c r="G18" s="130">
        <f t="shared" si="67"/>
        <v>5.8421567870232151E-2</v>
      </c>
      <c r="H18" s="130">
        <f t="shared" si="67"/>
        <v>5.8421567870232151E-2</v>
      </c>
      <c r="I18" s="130">
        <f t="shared" si="67"/>
        <v>5.8421567870232151E-2</v>
      </c>
      <c r="J18" s="130">
        <f t="shared" si="67"/>
        <v>5.8421567870232151E-2</v>
      </c>
      <c r="K18" s="130">
        <f t="shared" si="67"/>
        <v>5.8421567870232151E-2</v>
      </c>
      <c r="L18" s="130">
        <f t="shared" si="67"/>
        <v>5.8421567870232151E-2</v>
      </c>
      <c r="M18" s="131">
        <f t="shared" si="67"/>
        <v>5.8421567870232151E-2</v>
      </c>
      <c r="O18" s="157">
        <v>0</v>
      </c>
      <c r="P18" s="139">
        <f>P4+Summary!I24</f>
        <v>-4697763.4077377021</v>
      </c>
      <c r="Q18" s="139">
        <f t="shared" ref="Q18:Y18" si="68">P18</f>
        <v>-4697763.4077377021</v>
      </c>
      <c r="R18" s="139">
        <f t="shared" si="68"/>
        <v>-4697763.4077377021</v>
      </c>
      <c r="S18" s="139">
        <f t="shared" si="68"/>
        <v>-4697763.4077377021</v>
      </c>
      <c r="T18" s="139">
        <f t="shared" si="68"/>
        <v>-4697763.4077377021</v>
      </c>
      <c r="U18" s="139">
        <f t="shared" si="68"/>
        <v>-4697763.4077377021</v>
      </c>
      <c r="V18" s="139">
        <f t="shared" si="68"/>
        <v>-4697763.4077377021</v>
      </c>
      <c r="W18" s="139">
        <f t="shared" si="68"/>
        <v>-4697763.4077377021</v>
      </c>
      <c r="X18" s="139">
        <f t="shared" si="68"/>
        <v>-4697763.4077377021</v>
      </c>
      <c r="Y18" s="140">
        <f t="shared" si="68"/>
        <v>-4697763.4077377021</v>
      </c>
      <c r="AA18" s="125" t="s">
        <v>143</v>
      </c>
      <c r="AB18" s="259"/>
      <c r="AC18" s="130">
        <f>Summary!L15</f>
        <v>3.8432500705545845E-2</v>
      </c>
      <c r="AD18" s="396">
        <v>5.2999999999999999E-2</v>
      </c>
      <c r="AE18" s="396">
        <f t="shared" ref="AE18:AL18" si="69">AD18</f>
        <v>5.2999999999999999E-2</v>
      </c>
      <c r="AF18" s="396">
        <f t="shared" si="69"/>
        <v>5.2999999999999999E-2</v>
      </c>
      <c r="AG18" s="396">
        <f t="shared" si="69"/>
        <v>5.2999999999999999E-2</v>
      </c>
      <c r="AH18" s="396">
        <f t="shared" si="69"/>
        <v>5.2999999999999999E-2</v>
      </c>
      <c r="AI18" s="396">
        <f t="shared" si="69"/>
        <v>5.2999999999999999E-2</v>
      </c>
      <c r="AJ18" s="396">
        <f t="shared" si="69"/>
        <v>5.2999999999999999E-2</v>
      </c>
      <c r="AK18" s="396">
        <f t="shared" si="69"/>
        <v>5.2999999999999999E-2</v>
      </c>
      <c r="AL18" s="397">
        <f t="shared" si="69"/>
        <v>5.2999999999999999E-2</v>
      </c>
      <c r="AN18" s="157">
        <v>0</v>
      </c>
      <c r="AO18" s="139">
        <f>AO4+Summary!I25</f>
        <v>-3836644.6963656098</v>
      </c>
      <c r="AP18" s="139">
        <f t="shared" ref="AP18:AX18" si="70">AO18</f>
        <v>-3836644.6963656098</v>
      </c>
      <c r="AQ18" s="139">
        <f t="shared" si="70"/>
        <v>-3836644.6963656098</v>
      </c>
      <c r="AR18" s="139">
        <f t="shared" si="70"/>
        <v>-3836644.6963656098</v>
      </c>
      <c r="AS18" s="139">
        <f t="shared" si="70"/>
        <v>-3836644.6963656098</v>
      </c>
      <c r="AT18" s="139">
        <f t="shared" si="70"/>
        <v>-3836644.6963656098</v>
      </c>
      <c r="AU18" s="139">
        <f t="shared" si="70"/>
        <v>-3836644.6963656098</v>
      </c>
      <c r="AV18" s="139">
        <f t="shared" si="70"/>
        <v>-3836644.6963656098</v>
      </c>
      <c r="AW18" s="139">
        <f t="shared" si="70"/>
        <v>-3836644.6963656098</v>
      </c>
      <c r="AX18" s="140">
        <f t="shared" si="70"/>
        <v>-3836644.6963656098</v>
      </c>
      <c r="AZ18" s="125" t="s">
        <v>143</v>
      </c>
      <c r="BA18" s="259"/>
      <c r="BB18" s="130">
        <f>Summary!L16</f>
        <v>4.5370131544015944E-2</v>
      </c>
      <c r="BC18" s="396">
        <v>5.2999999999999999E-2</v>
      </c>
      <c r="BD18" s="396">
        <f t="shared" ref="BD18:BK18" si="71">BC18</f>
        <v>5.2999999999999999E-2</v>
      </c>
      <c r="BE18" s="396">
        <f t="shared" si="71"/>
        <v>5.2999999999999999E-2</v>
      </c>
      <c r="BF18" s="396">
        <f t="shared" si="71"/>
        <v>5.2999999999999999E-2</v>
      </c>
      <c r="BG18" s="396">
        <f t="shared" si="71"/>
        <v>5.2999999999999999E-2</v>
      </c>
      <c r="BH18" s="396">
        <f t="shared" si="71"/>
        <v>5.2999999999999999E-2</v>
      </c>
      <c r="BI18" s="396">
        <f t="shared" si="71"/>
        <v>5.2999999999999999E-2</v>
      </c>
      <c r="BJ18" s="396">
        <f t="shared" si="71"/>
        <v>5.2999999999999999E-2</v>
      </c>
      <c r="BK18" s="397">
        <f t="shared" si="71"/>
        <v>5.2999999999999999E-2</v>
      </c>
      <c r="BM18" s="157">
        <v>0</v>
      </c>
      <c r="BN18" s="139">
        <f>BN4+Summary!I26</f>
        <v>-4924046.7769696321</v>
      </c>
      <c r="BO18" s="139">
        <f t="shared" ref="BO18:BW18" si="72">BN18</f>
        <v>-4924046.7769696321</v>
      </c>
      <c r="BP18" s="139">
        <f t="shared" si="72"/>
        <v>-4924046.7769696321</v>
      </c>
      <c r="BQ18" s="139">
        <f t="shared" si="72"/>
        <v>-4924046.7769696321</v>
      </c>
      <c r="BR18" s="139">
        <f t="shared" si="72"/>
        <v>-4924046.7769696321</v>
      </c>
      <c r="BS18" s="139">
        <f t="shared" si="72"/>
        <v>-4924046.7769696321</v>
      </c>
      <c r="BT18" s="139">
        <f t="shared" si="72"/>
        <v>-4924046.7769696321</v>
      </c>
      <c r="BU18" s="139">
        <f t="shared" si="72"/>
        <v>-4924046.7769696321</v>
      </c>
      <c r="BV18" s="139">
        <f t="shared" si="72"/>
        <v>-4924046.7769696321</v>
      </c>
      <c r="BW18" s="140">
        <f t="shared" si="72"/>
        <v>-4924046.7769696321</v>
      </c>
      <c r="BY18" s="125" t="s">
        <v>143</v>
      </c>
      <c r="BZ18" s="259"/>
      <c r="CA18" s="130">
        <f>Summary!L17</f>
        <v>5.0445974315064535E-2</v>
      </c>
      <c r="CB18" s="130">
        <f>Summary!L7</f>
        <v>5.0921447826787335E-2</v>
      </c>
      <c r="CC18" s="130">
        <f t="shared" ref="CC18:CJ18" si="73">CB18</f>
        <v>5.0921447826787335E-2</v>
      </c>
      <c r="CD18" s="130">
        <f t="shared" si="73"/>
        <v>5.0921447826787335E-2</v>
      </c>
      <c r="CE18" s="130">
        <f t="shared" si="73"/>
        <v>5.0921447826787335E-2</v>
      </c>
      <c r="CF18" s="130">
        <f t="shared" si="73"/>
        <v>5.0921447826787335E-2</v>
      </c>
      <c r="CG18" s="130">
        <f t="shared" si="73"/>
        <v>5.0921447826787335E-2</v>
      </c>
      <c r="CH18" s="130">
        <f t="shared" si="73"/>
        <v>5.0921447826787335E-2</v>
      </c>
      <c r="CI18" s="130">
        <f t="shared" si="73"/>
        <v>5.0921447826787335E-2</v>
      </c>
      <c r="CJ18" s="131">
        <f t="shared" si="73"/>
        <v>5.0921447826787335E-2</v>
      </c>
      <c r="CL18" s="157">
        <v>0</v>
      </c>
      <c r="CM18" s="139">
        <f>CM4+Summary!I27</f>
        <v>-9395790.3764474764</v>
      </c>
      <c r="CN18" s="139">
        <f t="shared" ref="CN18:CV18" si="74">CM18</f>
        <v>-9395790.3764474764</v>
      </c>
      <c r="CO18" s="139">
        <f t="shared" si="74"/>
        <v>-9395790.3764474764</v>
      </c>
      <c r="CP18" s="139">
        <f t="shared" si="74"/>
        <v>-9395790.3764474764</v>
      </c>
      <c r="CQ18" s="139">
        <f t="shared" si="74"/>
        <v>-9395790.3764474764</v>
      </c>
      <c r="CR18" s="139">
        <f t="shared" si="74"/>
        <v>-9395790.3764474764</v>
      </c>
      <c r="CS18" s="139">
        <f t="shared" si="74"/>
        <v>-9395790.3764474764</v>
      </c>
      <c r="CT18" s="139">
        <f t="shared" si="74"/>
        <v>-9395790.3764474764</v>
      </c>
      <c r="CU18" s="139">
        <f t="shared" si="74"/>
        <v>-9395790.3764474764</v>
      </c>
      <c r="CV18" s="140">
        <f t="shared" si="74"/>
        <v>-9395790.3764474764</v>
      </c>
      <c r="CX18" s="125" t="s">
        <v>143</v>
      </c>
      <c r="CY18" s="259"/>
      <c r="CZ18" s="130">
        <f>Summary!L18</f>
        <v>5.1406843674750756E-2</v>
      </c>
      <c r="DA18" s="130">
        <f>Summary!L8</f>
        <v>5.1891373765020413E-2</v>
      </c>
      <c r="DB18" s="130">
        <f t="shared" ref="DB18:DI18" si="75">DA18</f>
        <v>5.1891373765020413E-2</v>
      </c>
      <c r="DC18" s="130">
        <f t="shared" si="75"/>
        <v>5.1891373765020413E-2</v>
      </c>
      <c r="DD18" s="130">
        <f t="shared" si="75"/>
        <v>5.1891373765020413E-2</v>
      </c>
      <c r="DE18" s="130">
        <f t="shared" si="75"/>
        <v>5.1891373765020413E-2</v>
      </c>
      <c r="DF18" s="130">
        <f t="shared" si="75"/>
        <v>5.1891373765020413E-2</v>
      </c>
      <c r="DG18" s="130">
        <f t="shared" si="75"/>
        <v>5.1891373765020413E-2</v>
      </c>
      <c r="DH18" s="130">
        <f t="shared" si="75"/>
        <v>5.1891373765020413E-2</v>
      </c>
      <c r="DI18" s="131">
        <f t="shared" si="75"/>
        <v>5.1891373765020413E-2</v>
      </c>
      <c r="DK18" s="157">
        <v>0</v>
      </c>
      <c r="DL18" s="139">
        <f>DL4+Summary!I28</f>
        <v>-3977002.5814756704</v>
      </c>
      <c r="DM18" s="139">
        <f t="shared" ref="DM18:DU18" si="76">DL18</f>
        <v>-3977002.5814756704</v>
      </c>
      <c r="DN18" s="139">
        <f t="shared" si="76"/>
        <v>-3977002.5814756704</v>
      </c>
      <c r="DO18" s="139">
        <f t="shared" si="76"/>
        <v>-3977002.5814756704</v>
      </c>
      <c r="DP18" s="139">
        <f t="shared" si="76"/>
        <v>-3977002.5814756704</v>
      </c>
      <c r="DQ18" s="139">
        <f t="shared" si="76"/>
        <v>-3977002.5814756704</v>
      </c>
      <c r="DR18" s="139">
        <f t="shared" si="76"/>
        <v>-3977002.5814756704</v>
      </c>
      <c r="DS18" s="139">
        <f t="shared" si="76"/>
        <v>-3977002.5814756704</v>
      </c>
      <c r="DT18" s="139">
        <f t="shared" si="76"/>
        <v>-3977002.5814756704</v>
      </c>
      <c r="DU18" s="140">
        <f t="shared" si="76"/>
        <v>-3977002.5814756704</v>
      </c>
      <c r="DW18" s="125" t="s">
        <v>143</v>
      </c>
      <c r="DX18" s="259"/>
      <c r="DY18" s="130">
        <f>Summary!L19</f>
        <v>4.8414916950049916E-2</v>
      </c>
      <c r="DZ18" s="130">
        <f>Summary!L9</f>
        <v>4.8871246932661302E-2</v>
      </c>
      <c r="EA18" s="130">
        <f t="shared" ref="EA18:EH18" si="77">DZ18</f>
        <v>4.8871246932661302E-2</v>
      </c>
      <c r="EB18" s="130">
        <f t="shared" si="77"/>
        <v>4.8871246932661302E-2</v>
      </c>
      <c r="EC18" s="130">
        <f t="shared" si="77"/>
        <v>4.8871246932661302E-2</v>
      </c>
      <c r="ED18" s="130">
        <f t="shared" si="77"/>
        <v>4.8871246932661302E-2</v>
      </c>
      <c r="EE18" s="130">
        <f t="shared" si="77"/>
        <v>4.8871246932661302E-2</v>
      </c>
      <c r="EF18" s="130">
        <f t="shared" si="77"/>
        <v>4.8871246932661302E-2</v>
      </c>
      <c r="EG18" s="130">
        <f t="shared" si="77"/>
        <v>4.8871246932661302E-2</v>
      </c>
      <c r="EH18" s="131">
        <f t="shared" si="77"/>
        <v>4.8871246932661302E-2</v>
      </c>
      <c r="EJ18" s="157">
        <v>0</v>
      </c>
      <c r="EK18" s="139">
        <f>EK4+Summary!I29</f>
        <v>-9481405.2965039052</v>
      </c>
      <c r="EL18" s="139">
        <f t="shared" ref="EL18:ET18" si="78">EK18</f>
        <v>-9481405.2965039052</v>
      </c>
      <c r="EM18" s="139">
        <f t="shared" si="78"/>
        <v>-9481405.2965039052</v>
      </c>
      <c r="EN18" s="139">
        <f t="shared" si="78"/>
        <v>-9481405.2965039052</v>
      </c>
      <c r="EO18" s="139">
        <f t="shared" si="78"/>
        <v>-9481405.2965039052</v>
      </c>
      <c r="EP18" s="139">
        <f t="shared" si="78"/>
        <v>-9481405.2965039052</v>
      </c>
      <c r="EQ18" s="139">
        <f t="shared" si="78"/>
        <v>-9481405.2965039052</v>
      </c>
      <c r="ER18" s="139">
        <f t="shared" si="78"/>
        <v>-9481405.2965039052</v>
      </c>
      <c r="ES18" s="139">
        <f t="shared" si="78"/>
        <v>-9481405.2965039052</v>
      </c>
      <c r="ET18" s="140">
        <f t="shared" si="78"/>
        <v>-9481405.2965039052</v>
      </c>
    </row>
    <row r="19" spans="2:150" x14ac:dyDescent="0.3">
      <c r="B19" s="190" t="s">
        <v>144</v>
      </c>
      <c r="C19" s="193"/>
      <c r="D19" s="317">
        <f>(D10/$D$23)*(1-'Portfolio-Level CF'!$AC$52)</f>
        <v>5.7876062798771902E-2</v>
      </c>
      <c r="E19" s="317">
        <f>(E10/$D$23)*(1-'Portfolio-Level CF'!$AC$52)</f>
        <v>5.9058210454580387E-2</v>
      </c>
      <c r="F19" s="317">
        <f>(F10/$D$23)*(1-'Portfolio-Level CF'!$AC$52)</f>
        <v>5.9727550250369341E-2</v>
      </c>
      <c r="G19" s="317">
        <f>(G10/$D$23)*(1-'Portfolio-Level CF'!$AC$52)</f>
        <v>5.9459039495246523E-2</v>
      </c>
      <c r="H19" s="317">
        <f>(H10/$D$23)*(1-'Portfolio-Level CF'!$AC$52)</f>
        <v>6.2536482683676925E-2</v>
      </c>
      <c r="I19" s="317">
        <f>(I10/$D$23)*(1-'Portfolio-Level CF'!$AC$52)</f>
        <v>5.8907862312561003E-2</v>
      </c>
      <c r="J19" s="317">
        <f>(J10/$D$23)*(1-'Portfolio-Level CF'!$AC$52)</f>
        <v>6.0060804581019832E-2</v>
      </c>
      <c r="K19" s="317">
        <f>(K10/$D$23)*(1-'Portfolio-Level CF'!$AC$52)</f>
        <v>6.3126848727959178E-2</v>
      </c>
      <c r="L19" s="317">
        <f>(L10/$D$23)*(1-'Portfolio-Level CF'!$AC$52)</f>
        <v>6.2661574125921993E-2</v>
      </c>
      <c r="M19" s="318">
        <f>(M10/$D$23)*(1-'Portfolio-Level CF'!$AC$52)</f>
        <v>6.5923339070227502E-2</v>
      </c>
      <c r="O19" s="145">
        <f t="shared" ref="O19:O29" si="79">O18+1</f>
        <v>1</v>
      </c>
      <c r="P19" s="139">
        <f>D33+D39</f>
        <v>4571659.6985318447</v>
      </c>
      <c r="Q19" s="139">
        <f>'Property-Level CF'!D39</f>
        <v>390650.26564528886</v>
      </c>
      <c r="R19" s="139">
        <f t="shared" ref="R19:Y19" si="80">Q19</f>
        <v>390650.26564528886</v>
      </c>
      <c r="S19" s="139">
        <f t="shared" si="80"/>
        <v>390650.26564528886</v>
      </c>
      <c r="T19" s="139">
        <f t="shared" si="80"/>
        <v>390650.26564528886</v>
      </c>
      <c r="U19" s="139">
        <f t="shared" si="80"/>
        <v>390650.26564528886</v>
      </c>
      <c r="V19" s="139">
        <f t="shared" si="80"/>
        <v>390650.26564528886</v>
      </c>
      <c r="W19" s="139">
        <f t="shared" si="80"/>
        <v>390650.26564528886</v>
      </c>
      <c r="X19" s="139">
        <f t="shared" si="80"/>
        <v>390650.26564528886</v>
      </c>
      <c r="Y19" s="140">
        <f t="shared" si="80"/>
        <v>390650.26564528886</v>
      </c>
      <c r="AA19" s="190" t="s">
        <v>144</v>
      </c>
      <c r="AB19" s="193"/>
      <c r="AC19" s="317">
        <f>(AC10/$AC$23)*(1-'Portfolio-Level CF'!$AC$52)</f>
        <v>3.8432500705545838E-2</v>
      </c>
      <c r="AD19" s="317">
        <f>(AD10/$AC$23)*(1-'Portfolio-Level CF'!$AC$52)</f>
        <v>5.1175614511813447E-2</v>
      </c>
      <c r="AE19" s="317">
        <f>(AE10/$AC$23)*(1-'Portfolio-Level CF'!$AC$52)</f>
        <v>6.6279919076396909E-2</v>
      </c>
      <c r="AF19" s="317">
        <f>(AF10/$AC$23)*(1-'Portfolio-Level CF'!$AC$52)</f>
        <v>6.7944785256486701E-2</v>
      </c>
      <c r="AG19" s="317">
        <f>(AG10/$AC$23)*(1-'Portfolio-Level CF'!$AC$52)</f>
        <v>6.953584997138787E-2</v>
      </c>
      <c r="AH19" s="317">
        <f>(AH10/$AC$23)*(1-'Portfolio-Level CF'!$AC$52)</f>
        <v>7.0286362522817933E-2</v>
      </c>
      <c r="AI19" s="317">
        <f>(AI10/$AC$23)*(1-'Portfolio-Level CF'!$AC$52)</f>
        <v>7.1034047082380453E-2</v>
      </c>
      <c r="AJ19" s="317">
        <f>(AJ10/$AC$23)*(1-'Portfolio-Level CF'!$AC$52)</f>
        <v>7.1785928016972242E-2</v>
      </c>
      <c r="AK19" s="317">
        <f>(AK10/$AC$23)*(1-'Portfolio-Level CF'!$AC$52)</f>
        <v>7.1810285237250832E-2</v>
      </c>
      <c r="AL19" s="318">
        <f>(AL10/$AC$23)*(1-'Portfolio-Level CF'!$AC$52)</f>
        <v>7.2161412356547563E-2</v>
      </c>
      <c r="AN19" s="145">
        <f t="shared" ref="AN19:AN29" si="81">AN18+1</f>
        <v>1</v>
      </c>
      <c r="AO19" s="139">
        <f>AC33+AC39</f>
        <v>3520341.4120388972</v>
      </c>
      <c r="AP19" s="139">
        <f>'Property-Level CF'!AC39</f>
        <v>105727.63227350367</v>
      </c>
      <c r="AQ19" s="139">
        <f t="shared" ref="AQ19:AX19" si="82">AP19</f>
        <v>105727.63227350367</v>
      </c>
      <c r="AR19" s="139">
        <f t="shared" si="82"/>
        <v>105727.63227350367</v>
      </c>
      <c r="AS19" s="139">
        <f t="shared" si="82"/>
        <v>105727.63227350367</v>
      </c>
      <c r="AT19" s="139">
        <f t="shared" si="82"/>
        <v>105727.63227350367</v>
      </c>
      <c r="AU19" s="139">
        <f t="shared" si="82"/>
        <v>105727.63227350367</v>
      </c>
      <c r="AV19" s="139">
        <f t="shared" si="82"/>
        <v>105727.63227350367</v>
      </c>
      <c r="AW19" s="139">
        <f t="shared" si="82"/>
        <v>105727.63227350367</v>
      </c>
      <c r="AX19" s="140">
        <f t="shared" si="82"/>
        <v>105727.63227350367</v>
      </c>
      <c r="AZ19" s="190" t="s">
        <v>144</v>
      </c>
      <c r="BA19" s="193"/>
      <c r="BB19" s="317">
        <f>(BB10/$BB$23)*(1-'Portfolio-Level CF'!$AC$52)</f>
        <v>4.5370131544015944E-2</v>
      </c>
      <c r="BC19" s="317">
        <f>(BC10/$BB$23)*(1-'Portfolio-Level CF'!$AC$52)</f>
        <v>5.6481033303903388E-2</v>
      </c>
      <c r="BD19" s="317">
        <f>(BD10/$BB$23)*(1-'Portfolio-Level CF'!$AC$52)</f>
        <v>6.2364232898085202E-2</v>
      </c>
      <c r="BE19" s="317">
        <f>(BE10/$BB$23)*(1-'Portfolio-Level CF'!$AC$52)</f>
        <v>6.2863283803022446E-2</v>
      </c>
      <c r="BF19" s="317">
        <f>(BF10/$BB$23)*(1-'Portfolio-Level CF'!$AC$52)</f>
        <v>6.3357359125657209E-2</v>
      </c>
      <c r="BG19" s="317">
        <f>(BG10/$BB$23)*(1-'Portfolio-Level CF'!$AC$52)</f>
        <v>6.3878018273736598E-2</v>
      </c>
      <c r="BH19" s="317">
        <f>(BH10/$BB$23)*(1-'Portfolio-Level CF'!$AC$52)</f>
        <v>6.7956289847825632E-2</v>
      </c>
      <c r="BI19" s="317">
        <f>(BI10/$BB$23)*(1-'Portfolio-Level CF'!$AC$52)</f>
        <v>6.9209425790575027E-2</v>
      </c>
      <c r="BJ19" s="317">
        <f>(BJ10/$BB$23)*(1-'Portfolio-Level CF'!$AC$52)</f>
        <v>6.9719991614555124E-2</v>
      </c>
      <c r="BK19" s="318">
        <f>(BK10/$BB$23)*(1-'Portfolio-Level CF'!$AC$52)</f>
        <v>7.0162463040738615E-2</v>
      </c>
      <c r="BM19" s="145">
        <f t="shared" ref="BM19:BM29" si="83">BM18+1</f>
        <v>1</v>
      </c>
      <c r="BN19" s="139">
        <f>BB33+BB39</f>
        <v>4617372.8904775186</v>
      </c>
      <c r="BO19" s="139">
        <f>'Property-Level CF'!BB39</f>
        <v>234971.2589745454</v>
      </c>
      <c r="BP19" s="139">
        <f t="shared" ref="BP19:BW19" si="84">BO19</f>
        <v>234971.2589745454</v>
      </c>
      <c r="BQ19" s="139">
        <f t="shared" si="84"/>
        <v>234971.2589745454</v>
      </c>
      <c r="BR19" s="139">
        <f t="shared" si="84"/>
        <v>234971.2589745454</v>
      </c>
      <c r="BS19" s="139">
        <f t="shared" si="84"/>
        <v>234971.2589745454</v>
      </c>
      <c r="BT19" s="139">
        <f t="shared" si="84"/>
        <v>234971.2589745454</v>
      </c>
      <c r="BU19" s="139">
        <f t="shared" si="84"/>
        <v>234971.2589745454</v>
      </c>
      <c r="BV19" s="139">
        <f t="shared" si="84"/>
        <v>234971.2589745454</v>
      </c>
      <c r="BW19" s="140">
        <f t="shared" si="84"/>
        <v>234971.2589745454</v>
      </c>
      <c r="BY19" s="190" t="s">
        <v>144</v>
      </c>
      <c r="BZ19" s="193"/>
      <c r="CA19" s="222">
        <f>(CA10/$CA$23)*(1-'Portfolio-Level CF'!$AC$52)</f>
        <v>5.0445974315064541E-2</v>
      </c>
      <c r="CB19" s="222">
        <f>(CB10/$CA$23)*(1-'Portfolio-Level CF'!$AC$52)</f>
        <v>5.1324793410549935E-2</v>
      </c>
      <c r="CC19" s="222">
        <f>(CC10/$CA$23)*(1-'Portfolio-Level CF'!$AC$52)</f>
        <v>5.2215867994438808E-2</v>
      </c>
      <c r="CD19" s="222">
        <f>(CD10/$CA$23)*(1-'Portfolio-Level CF'!$AC$52)</f>
        <v>5.3131006546439055E-2</v>
      </c>
      <c r="CE19" s="222">
        <f>(CE10/$CA$23)*(1-'Portfolio-Level CF'!$AC$52)</f>
        <v>5.405791632742258E-2</v>
      </c>
      <c r="CF19" s="222">
        <f>(CF10/$CA$23)*(1-'Portfolio-Level CF'!$AC$52)</f>
        <v>5.5003488721446038E-2</v>
      </c>
      <c r="CG19" s="222">
        <f>(CG10/$CA$23)*(1-'Portfolio-Level CF'!$AC$52)</f>
        <v>5.5959603070539952E-2</v>
      </c>
      <c r="CH19" s="222">
        <f>(CH10/$CA$23)*(1-'Portfolio-Level CF'!$AC$52)</f>
        <v>5.6931064718181684E-2</v>
      </c>
      <c r="CI19" s="222">
        <f>(CI10/$CA$23)*(1-'Portfolio-Level CF'!$AC$52)</f>
        <v>5.7945141194800841E-2</v>
      </c>
      <c r="CJ19" s="236">
        <f>(CJ10/$CA$23)*(1-'Portfolio-Level CF'!$AC$52)</f>
        <v>5.9027423748218642E-2</v>
      </c>
      <c r="CL19" s="145">
        <f t="shared" ref="CL19:CL29" si="85">CL18+1</f>
        <v>1</v>
      </c>
      <c r="CM19" s="139">
        <f>CA33+CA39</f>
        <v>8953895.6809785813</v>
      </c>
      <c r="CN19" s="139">
        <f>'Property-Level CF'!CA39</f>
        <v>591642.24594032764</v>
      </c>
      <c r="CO19" s="139">
        <f t="shared" ref="CO19:CV19" si="86">CN19</f>
        <v>591642.24594032764</v>
      </c>
      <c r="CP19" s="139">
        <f t="shared" si="86"/>
        <v>591642.24594032764</v>
      </c>
      <c r="CQ19" s="139">
        <f t="shared" si="86"/>
        <v>591642.24594032764</v>
      </c>
      <c r="CR19" s="139">
        <f t="shared" si="86"/>
        <v>591642.24594032764</v>
      </c>
      <c r="CS19" s="139">
        <f t="shared" si="86"/>
        <v>591642.24594032764</v>
      </c>
      <c r="CT19" s="139">
        <f t="shared" si="86"/>
        <v>591642.24594032764</v>
      </c>
      <c r="CU19" s="139">
        <f t="shared" si="86"/>
        <v>591642.24594032764</v>
      </c>
      <c r="CV19" s="140">
        <f t="shared" si="86"/>
        <v>591642.24594032764</v>
      </c>
      <c r="CX19" s="190" t="s">
        <v>144</v>
      </c>
      <c r="CY19" s="193"/>
      <c r="CZ19" s="317">
        <f>(CZ10/$CZ$23)*(1-'Portfolio-Level CF'!$AC$52)</f>
        <v>5.1406843674750763E-2</v>
      </c>
      <c r="DA19" s="317">
        <f>(DA10/$CZ$23)*(1-'Portfolio-Level CF'!$AC$52)</f>
        <v>5.2435017510756354E-2</v>
      </c>
      <c r="DB19" s="317">
        <f>(DB10/$CZ$23)*(1-'Portfolio-Level CF'!$AC$52)</f>
        <v>5.3483696739536873E-2</v>
      </c>
      <c r="DC19" s="317">
        <f>(DC10/$CZ$23)*(1-'Portfolio-Level CF'!$AC$52)</f>
        <v>5.455332139098016E-2</v>
      </c>
      <c r="DD19" s="317">
        <f>(DD10/$CZ$23)*(1-'Portfolio-Level CF'!$AC$52)</f>
        <v>5.5644419500951697E-2</v>
      </c>
      <c r="DE19" s="317">
        <f>(DE10/$CZ$23)*(1-'Portfolio-Level CF'!$AC$52)</f>
        <v>5.6757343093361758E-2</v>
      </c>
      <c r="DF19" s="317">
        <f>(DF10/$CZ$23)*(1-'Portfolio-Level CF'!$AC$52)</f>
        <v>5.7892444192120654E-2</v>
      </c>
      <c r="DG19" s="317">
        <f>(DG10/$CZ$23)*(1-'Portfolio-Level CF'!$AC$52)</f>
        <v>5.905033883907141E-2</v>
      </c>
      <c r="DH19" s="317">
        <f>(DH10/$CZ$23)*(1-'Portfolio-Level CF'!$AC$52)</f>
        <v>6.0231291052146745E-2</v>
      </c>
      <c r="DI19" s="318">
        <f>(DI10/$CZ$23)*(1-'Portfolio-Level CF'!$AC$52)</f>
        <v>6.1435916873189667E-2</v>
      </c>
      <c r="DK19" s="145">
        <f t="shared" ref="DK19:DK29" si="87">DK18+1</f>
        <v>1</v>
      </c>
      <c r="DL19" s="139">
        <f>CZ33+CZ39</f>
        <v>3796945.8106398047</v>
      </c>
      <c r="DM19" s="139">
        <f>'Property-Level CF'!CZ39</f>
        <v>257413.51312645857</v>
      </c>
      <c r="DN19" s="139">
        <f t="shared" ref="DN19:DU19" si="88">DM19</f>
        <v>257413.51312645857</v>
      </c>
      <c r="DO19" s="139">
        <f t="shared" si="88"/>
        <v>257413.51312645857</v>
      </c>
      <c r="DP19" s="139">
        <f t="shared" si="88"/>
        <v>257413.51312645857</v>
      </c>
      <c r="DQ19" s="139">
        <f t="shared" si="88"/>
        <v>257413.51312645857</v>
      </c>
      <c r="DR19" s="139">
        <f t="shared" si="88"/>
        <v>257413.51312645857</v>
      </c>
      <c r="DS19" s="139">
        <f t="shared" si="88"/>
        <v>257413.51312645857</v>
      </c>
      <c r="DT19" s="139">
        <f t="shared" si="88"/>
        <v>257413.51312645857</v>
      </c>
      <c r="DU19" s="140">
        <f t="shared" si="88"/>
        <v>257413.51312645857</v>
      </c>
      <c r="DW19" s="190" t="s">
        <v>144</v>
      </c>
      <c r="DX19" s="193"/>
      <c r="DY19" s="317">
        <f>(DY10/$DY$23)*(1-'Portfolio-Level CF'!$AC$52)</f>
        <v>4.8414916950049909E-2</v>
      </c>
      <c r="DZ19" s="317">
        <f>(DZ10/$DY$23)*(1-'Portfolio-Level CF'!$AC$52)</f>
        <v>4.9386982768541865E-2</v>
      </c>
      <c r="EA19" s="317">
        <f>(EA10/$DY$23)*(1-'Portfolio-Level CF'!$AC$52)</f>
        <v>5.0368240262452665E-2</v>
      </c>
      <c r="EB19" s="317">
        <f>(EB10/$DY$23)*(1-'Portfolio-Level CF'!$AC$52)</f>
        <v>5.1376223752360436E-2</v>
      </c>
      <c r="EC19" s="317">
        <f>(EC10/$DY$23)*(1-'Portfolio-Level CF'!$AC$52)</f>
        <v>5.2404473225420592E-2</v>
      </c>
      <c r="ED19" s="317">
        <f>(ED10/$DY$23)*(1-'Portfolio-Level CF'!$AC$52)</f>
        <v>5.3454945142666091E-2</v>
      </c>
      <c r="EE19" s="317">
        <f>(EE10/$DY$23)*(1-'Portfolio-Level CF'!$AC$52)</f>
        <v>5.4519112287142069E-2</v>
      </c>
      <c r="EF19" s="317">
        <f>(EF10/$DY$23)*(1-'Portfolio-Level CF'!$AC$52)</f>
        <v>5.5616613097896034E-2</v>
      </c>
      <c r="EG19" s="317">
        <f>(EG10/$DY$23)*(1-'Portfolio-Level CF'!$AC$52)</f>
        <v>5.6723231755350621E-2</v>
      </c>
      <c r="EH19" s="318">
        <f>(EH10/$DY$23)*(1-'Portfolio-Level CF'!$AC$52)</f>
        <v>5.7856613323161298E-2</v>
      </c>
      <c r="EJ19" s="145">
        <f t="shared" ref="EJ19:EJ29" si="89">EJ18+1</f>
        <v>1</v>
      </c>
      <c r="EK19" s="139">
        <f>DY33+DY39</f>
        <v>8980907.0644855108</v>
      </c>
      <c r="EL19" s="139">
        <f>'Property-Level CF'!DY39</f>
        <v>542456.35059703281</v>
      </c>
      <c r="EM19" s="139">
        <f t="shared" ref="EM19:ET19" si="90">EL19</f>
        <v>542456.35059703281</v>
      </c>
      <c r="EN19" s="139">
        <f t="shared" si="90"/>
        <v>542456.35059703281</v>
      </c>
      <c r="EO19" s="139">
        <f t="shared" si="90"/>
        <v>542456.35059703281</v>
      </c>
      <c r="EP19" s="139">
        <f t="shared" si="90"/>
        <v>542456.35059703281</v>
      </c>
      <c r="EQ19" s="139">
        <f t="shared" si="90"/>
        <v>542456.35059703281</v>
      </c>
      <c r="ER19" s="139">
        <f t="shared" si="90"/>
        <v>542456.35059703281</v>
      </c>
      <c r="ES19" s="139">
        <f t="shared" si="90"/>
        <v>542456.35059703281</v>
      </c>
      <c r="ET19" s="140">
        <f t="shared" si="90"/>
        <v>542456.35059703281</v>
      </c>
    </row>
    <row r="20" spans="2:150" x14ac:dyDescent="0.3">
      <c r="B20" s="125" t="s">
        <v>146</v>
      </c>
      <c r="C20" s="130"/>
      <c r="D20" s="319">
        <f t="shared" ref="D20:M20" si="91">D19-D18</f>
        <v>0</v>
      </c>
      <c r="E20" s="319">
        <f t="shared" si="91"/>
        <v>6.3664258434823623E-4</v>
      </c>
      <c r="F20" s="319">
        <f t="shared" si="91"/>
        <v>1.3059823801371898E-3</v>
      </c>
      <c r="G20" s="319">
        <f t="shared" si="91"/>
        <v>1.0374716250143717E-3</v>
      </c>
      <c r="H20" s="319">
        <f t="shared" si="91"/>
        <v>4.1149148134447741E-3</v>
      </c>
      <c r="I20" s="319">
        <f t="shared" si="91"/>
        <v>4.8629444232885233E-4</v>
      </c>
      <c r="J20" s="319">
        <f t="shared" si="91"/>
        <v>1.639236710787681E-3</v>
      </c>
      <c r="K20" s="319">
        <f t="shared" si="91"/>
        <v>4.7052808577270275E-3</v>
      </c>
      <c r="L20" s="319">
        <f t="shared" si="91"/>
        <v>4.2400062556898419E-3</v>
      </c>
      <c r="M20" s="320">
        <f t="shared" si="91"/>
        <v>7.501771199995351E-3</v>
      </c>
      <c r="O20" s="145">
        <f t="shared" si="79"/>
        <v>2</v>
      </c>
      <c r="P20" s="139"/>
      <c r="Q20" s="139">
        <f>E33+E39</f>
        <v>4682631.1661845082</v>
      </c>
      <c r="R20" s="139">
        <f>'Property-Level CF'!E39</f>
        <v>360986.26564528886</v>
      </c>
      <c r="S20" s="139">
        <f t="shared" ref="S20:Y20" si="92">R20</f>
        <v>360986.26564528886</v>
      </c>
      <c r="T20" s="139">
        <f t="shared" si="92"/>
        <v>360986.26564528886</v>
      </c>
      <c r="U20" s="139">
        <f t="shared" si="92"/>
        <v>360986.26564528886</v>
      </c>
      <c r="V20" s="139">
        <f t="shared" si="92"/>
        <v>360986.26564528886</v>
      </c>
      <c r="W20" s="139">
        <f t="shared" si="92"/>
        <v>360986.26564528886</v>
      </c>
      <c r="X20" s="139">
        <f t="shared" si="92"/>
        <v>360986.26564528886</v>
      </c>
      <c r="Y20" s="140">
        <f t="shared" si="92"/>
        <v>360986.26564528886</v>
      </c>
      <c r="AA20" s="125" t="s">
        <v>146</v>
      </c>
      <c r="AB20" s="130"/>
      <c r="AC20" s="319">
        <f t="shared" ref="AC20:AL20" si="93">AC19-AC18</f>
        <v>0</v>
      </c>
      <c r="AD20" s="319">
        <f t="shared" si="93"/>
        <v>-1.8243854881865515E-3</v>
      </c>
      <c r="AE20" s="319">
        <f t="shared" si="93"/>
        <v>1.3279919076396911E-2</v>
      </c>
      <c r="AF20" s="319">
        <f t="shared" si="93"/>
        <v>1.4944785256486702E-2</v>
      </c>
      <c r="AG20" s="319">
        <f t="shared" si="93"/>
        <v>1.6535849971387871E-2</v>
      </c>
      <c r="AH20" s="319">
        <f t="shared" si="93"/>
        <v>1.7286362522817934E-2</v>
      </c>
      <c r="AI20" s="319">
        <f t="shared" si="93"/>
        <v>1.8034047082380454E-2</v>
      </c>
      <c r="AJ20" s="319">
        <f t="shared" si="93"/>
        <v>1.8785928016972243E-2</v>
      </c>
      <c r="AK20" s="319">
        <f t="shared" si="93"/>
        <v>1.8810285237250833E-2</v>
      </c>
      <c r="AL20" s="320">
        <f t="shared" si="93"/>
        <v>1.9161412356547565E-2</v>
      </c>
      <c r="AN20" s="145">
        <f t="shared" si="81"/>
        <v>2</v>
      </c>
      <c r="AO20" s="139"/>
      <c r="AP20" s="139">
        <f>AD33+AD39</f>
        <v>3297224.1597778043</v>
      </c>
      <c r="AQ20" s="139">
        <f>'Property-Level CF'!AD39</f>
        <v>245415.63227350367</v>
      </c>
      <c r="AR20" s="139">
        <f t="shared" ref="AR20:AX20" si="94">AQ20</f>
        <v>245415.63227350367</v>
      </c>
      <c r="AS20" s="139">
        <f t="shared" si="94"/>
        <v>245415.63227350367</v>
      </c>
      <c r="AT20" s="139">
        <f t="shared" si="94"/>
        <v>245415.63227350367</v>
      </c>
      <c r="AU20" s="139">
        <f t="shared" si="94"/>
        <v>245415.63227350367</v>
      </c>
      <c r="AV20" s="139">
        <f t="shared" si="94"/>
        <v>245415.63227350367</v>
      </c>
      <c r="AW20" s="139">
        <f t="shared" si="94"/>
        <v>245415.63227350367</v>
      </c>
      <c r="AX20" s="140">
        <f t="shared" si="94"/>
        <v>245415.63227350367</v>
      </c>
      <c r="AZ20" s="125" t="s">
        <v>146</v>
      </c>
      <c r="BA20" s="130"/>
      <c r="BB20" s="319">
        <f t="shared" ref="BB20:BK20" si="95">BB19-BB18</f>
        <v>0</v>
      </c>
      <c r="BC20" s="319">
        <f t="shared" si="95"/>
        <v>3.48103330390339E-3</v>
      </c>
      <c r="BD20" s="319">
        <f t="shared" si="95"/>
        <v>9.3642328980852035E-3</v>
      </c>
      <c r="BE20" s="319">
        <f t="shared" si="95"/>
        <v>9.8632838030224476E-3</v>
      </c>
      <c r="BF20" s="319">
        <f t="shared" si="95"/>
        <v>1.035735912565721E-2</v>
      </c>
      <c r="BG20" s="319">
        <f t="shared" si="95"/>
        <v>1.0878018273736599E-2</v>
      </c>
      <c r="BH20" s="319">
        <f t="shared" si="95"/>
        <v>1.4956289847825634E-2</v>
      </c>
      <c r="BI20" s="319">
        <f t="shared" si="95"/>
        <v>1.6209425790575029E-2</v>
      </c>
      <c r="BJ20" s="319">
        <f t="shared" si="95"/>
        <v>1.6719991614555126E-2</v>
      </c>
      <c r="BK20" s="320">
        <f t="shared" si="95"/>
        <v>1.7162463040738617E-2</v>
      </c>
      <c r="BM20" s="145">
        <f t="shared" si="83"/>
        <v>2</v>
      </c>
      <c r="BN20" s="139"/>
      <c r="BO20" s="139">
        <f>BC33+BC39</f>
        <v>5662144.4777560076</v>
      </c>
      <c r="BP20" s="139">
        <f>'Property-Level CF'!BC39</f>
        <v>391287.2589745454</v>
      </c>
      <c r="BQ20" s="139">
        <f t="shared" ref="BQ20:BW20" si="96">BP20</f>
        <v>391287.2589745454</v>
      </c>
      <c r="BR20" s="139">
        <f t="shared" si="96"/>
        <v>391287.2589745454</v>
      </c>
      <c r="BS20" s="139">
        <f t="shared" si="96"/>
        <v>391287.2589745454</v>
      </c>
      <c r="BT20" s="139">
        <f t="shared" si="96"/>
        <v>391287.2589745454</v>
      </c>
      <c r="BU20" s="139">
        <f t="shared" si="96"/>
        <v>391287.2589745454</v>
      </c>
      <c r="BV20" s="139">
        <f t="shared" si="96"/>
        <v>391287.2589745454</v>
      </c>
      <c r="BW20" s="140">
        <f t="shared" si="96"/>
        <v>391287.2589745454</v>
      </c>
      <c r="BY20" s="125" t="s">
        <v>146</v>
      </c>
      <c r="BZ20" s="130"/>
      <c r="CA20" s="130">
        <f t="shared" ref="CA20:CJ20" si="97">CA19-CA18</f>
        <v>0</v>
      </c>
      <c r="CB20" s="130">
        <f t="shared" si="97"/>
        <v>4.0334558376260016E-4</v>
      </c>
      <c r="CC20" s="130">
        <f t="shared" si="97"/>
        <v>1.2944201676514736E-3</v>
      </c>
      <c r="CD20" s="130">
        <f t="shared" si="97"/>
        <v>2.2095587196517205E-3</v>
      </c>
      <c r="CE20" s="130">
        <f t="shared" si="97"/>
        <v>3.136468500635245E-3</v>
      </c>
      <c r="CF20" s="130">
        <f t="shared" si="97"/>
        <v>4.0820408946587033E-3</v>
      </c>
      <c r="CG20" s="130">
        <f t="shared" si="97"/>
        <v>5.0381552437526178E-3</v>
      </c>
      <c r="CH20" s="130">
        <f t="shared" si="97"/>
        <v>6.0096168913943496E-3</v>
      </c>
      <c r="CI20" s="130">
        <f t="shared" si="97"/>
        <v>7.0236933680135061E-3</v>
      </c>
      <c r="CJ20" s="131">
        <f t="shared" si="97"/>
        <v>8.1059759214313076E-3</v>
      </c>
      <c r="CL20" s="145">
        <f t="shared" si="85"/>
        <v>2</v>
      </c>
      <c r="CM20" s="139"/>
      <c r="CN20" s="139">
        <f>CB33+CB39</f>
        <v>9181939.5693264939</v>
      </c>
      <c r="CO20" s="139">
        <f>'Property-Level CF'!CB39</f>
        <v>615234.24594032764</v>
      </c>
      <c r="CP20" s="139">
        <f t="shared" ref="CP20:CV20" si="98">CO20</f>
        <v>615234.24594032764</v>
      </c>
      <c r="CQ20" s="139">
        <f t="shared" si="98"/>
        <v>615234.24594032764</v>
      </c>
      <c r="CR20" s="139">
        <f t="shared" si="98"/>
        <v>615234.24594032764</v>
      </c>
      <c r="CS20" s="139">
        <f t="shared" si="98"/>
        <v>615234.24594032764</v>
      </c>
      <c r="CT20" s="139">
        <f t="shared" si="98"/>
        <v>615234.24594032764</v>
      </c>
      <c r="CU20" s="139">
        <f t="shared" si="98"/>
        <v>615234.24594032764</v>
      </c>
      <c r="CV20" s="140">
        <f t="shared" si="98"/>
        <v>615234.24594032764</v>
      </c>
      <c r="CX20" s="125" t="s">
        <v>146</v>
      </c>
      <c r="CY20" s="130"/>
      <c r="CZ20" s="319">
        <f t="shared" ref="CZ20:DI20" si="99">CZ19-CZ18</f>
        <v>0</v>
      </c>
      <c r="DA20" s="319">
        <f t="shared" si="99"/>
        <v>5.4364374573594165E-4</v>
      </c>
      <c r="DB20" s="319">
        <f t="shared" si="99"/>
        <v>1.5923229745164608E-3</v>
      </c>
      <c r="DC20" s="319">
        <f t="shared" si="99"/>
        <v>2.6619476259597472E-3</v>
      </c>
      <c r="DD20" s="319">
        <f t="shared" si="99"/>
        <v>3.7530457359312847E-3</v>
      </c>
      <c r="DE20" s="319">
        <f t="shared" si="99"/>
        <v>4.8659693283413449E-3</v>
      </c>
      <c r="DF20" s="319">
        <f t="shared" si="99"/>
        <v>6.0010704271002413E-3</v>
      </c>
      <c r="DG20" s="319">
        <f t="shared" si="99"/>
        <v>7.1589650740509977E-3</v>
      </c>
      <c r="DH20" s="319">
        <f t="shared" si="99"/>
        <v>8.3399172871263319E-3</v>
      </c>
      <c r="DI20" s="320">
        <f t="shared" si="99"/>
        <v>9.5445431081692539E-3</v>
      </c>
      <c r="DK20" s="145">
        <f t="shared" si="87"/>
        <v>2</v>
      </c>
      <c r="DL20" s="139"/>
      <c r="DM20" s="139">
        <f>DA33+DA39</f>
        <v>3923089.496768544</v>
      </c>
      <c r="DN20" s="139">
        <f>'Property-Level CF'!DA39</f>
        <v>269096.51312645857</v>
      </c>
      <c r="DO20" s="139">
        <f t="shared" ref="DO20:DU20" si="100">DN20</f>
        <v>269096.51312645857</v>
      </c>
      <c r="DP20" s="139">
        <f t="shared" si="100"/>
        <v>269096.51312645857</v>
      </c>
      <c r="DQ20" s="139">
        <f t="shared" si="100"/>
        <v>269096.51312645857</v>
      </c>
      <c r="DR20" s="139">
        <f t="shared" si="100"/>
        <v>269096.51312645857</v>
      </c>
      <c r="DS20" s="139">
        <f t="shared" si="100"/>
        <v>269096.51312645857</v>
      </c>
      <c r="DT20" s="139">
        <f t="shared" si="100"/>
        <v>269096.51312645857</v>
      </c>
      <c r="DU20" s="140">
        <f t="shared" si="100"/>
        <v>269096.51312645857</v>
      </c>
      <c r="DW20" s="125" t="s">
        <v>146</v>
      </c>
      <c r="DX20" s="130"/>
      <c r="DY20" s="319">
        <f t="shared" ref="DY20:EH20" si="101">DY19-DY18</f>
        <v>0</v>
      </c>
      <c r="DZ20" s="319">
        <f t="shared" si="101"/>
        <v>5.1573583588056249E-4</v>
      </c>
      <c r="EA20" s="319">
        <f t="shared" si="101"/>
        <v>1.4969933297913629E-3</v>
      </c>
      <c r="EB20" s="319">
        <f t="shared" si="101"/>
        <v>2.504976819699134E-3</v>
      </c>
      <c r="EC20" s="319">
        <f t="shared" si="101"/>
        <v>3.5332262927592895E-3</v>
      </c>
      <c r="ED20" s="319">
        <f t="shared" si="101"/>
        <v>4.5836982100047885E-3</v>
      </c>
      <c r="EE20" s="319">
        <f t="shared" si="101"/>
        <v>5.6478653544807661E-3</v>
      </c>
      <c r="EF20" s="319">
        <f t="shared" si="101"/>
        <v>6.7453661652347313E-3</v>
      </c>
      <c r="EG20" s="319">
        <f t="shared" si="101"/>
        <v>7.8519848226893188E-3</v>
      </c>
      <c r="EH20" s="320">
        <f t="shared" si="101"/>
        <v>8.985366390499995E-3</v>
      </c>
      <c r="EJ20" s="145">
        <f t="shared" si="89"/>
        <v>2</v>
      </c>
      <c r="EK20" s="139"/>
      <c r="EL20" s="139">
        <f>DZ33+DZ39</f>
        <v>9282110.3826202136</v>
      </c>
      <c r="EM20" s="139">
        <f>'Property-Level CF'!DZ39</f>
        <v>568789.35059703281</v>
      </c>
      <c r="EN20" s="139">
        <f t="shared" ref="EN20:ET20" si="102">EM20</f>
        <v>568789.35059703281</v>
      </c>
      <c r="EO20" s="139">
        <f t="shared" si="102"/>
        <v>568789.35059703281</v>
      </c>
      <c r="EP20" s="139">
        <f t="shared" si="102"/>
        <v>568789.35059703281</v>
      </c>
      <c r="EQ20" s="139">
        <f t="shared" si="102"/>
        <v>568789.35059703281</v>
      </c>
      <c r="ER20" s="139">
        <f t="shared" si="102"/>
        <v>568789.35059703281</v>
      </c>
      <c r="ES20" s="139">
        <f t="shared" si="102"/>
        <v>568789.35059703281</v>
      </c>
      <c r="ET20" s="140">
        <f t="shared" si="102"/>
        <v>568789.35059703281</v>
      </c>
    </row>
    <row r="21" spans="2:150" x14ac:dyDescent="0.3">
      <c r="B21" s="322" t="s">
        <v>147</v>
      </c>
      <c r="C21" s="130"/>
      <c r="D21" s="130">
        <f>AVERAGE($D$19:D19)</f>
        <v>5.7876062798771902E-2</v>
      </c>
      <c r="E21" s="130">
        <f>AVERAGE($D$19:E19)</f>
        <v>5.8467136626676144E-2</v>
      </c>
      <c r="F21" s="130">
        <f>AVERAGE($D$19:F19)</f>
        <v>5.8887274501240539E-2</v>
      </c>
      <c r="G21" s="130">
        <f>AVERAGE($D$19:G19)</f>
        <v>5.9030215749742036E-2</v>
      </c>
      <c r="H21" s="130">
        <f>AVERAGE($D$19:H19)</f>
        <v>5.9731469136529013E-2</v>
      </c>
      <c r="I21" s="130">
        <f>AVERAGE($D$19:I19)</f>
        <v>5.9594201332534347E-2</v>
      </c>
      <c r="J21" s="130">
        <f>AVERAGE($D$19:J19)</f>
        <v>5.966085893946084E-2</v>
      </c>
      <c r="K21" s="130">
        <f>AVERAGE($D$19:K19)</f>
        <v>6.009410766302313E-2</v>
      </c>
      <c r="L21" s="130">
        <f>AVERAGE($D$19:L19)</f>
        <v>6.0379381714456337E-2</v>
      </c>
      <c r="M21" s="131">
        <f>AVERAGE($D$19:M19)</f>
        <v>6.0933777450033456E-2</v>
      </c>
      <c r="O21" s="145">
        <f t="shared" si="79"/>
        <v>3</v>
      </c>
      <c r="P21" s="139"/>
      <c r="Q21" s="139"/>
      <c r="R21" s="139">
        <f>F33+F39</f>
        <v>4831361.505405861</v>
      </c>
      <c r="S21" s="139">
        <f>'Property-Level CF'!F39</f>
        <v>361858.26564528886</v>
      </c>
      <c r="T21" s="139">
        <f t="shared" ref="T21:Y21" si="103">S21</f>
        <v>361858.26564528886</v>
      </c>
      <c r="U21" s="139">
        <f t="shared" si="103"/>
        <v>361858.26564528886</v>
      </c>
      <c r="V21" s="139">
        <f t="shared" si="103"/>
        <v>361858.26564528886</v>
      </c>
      <c r="W21" s="139">
        <f t="shared" si="103"/>
        <v>361858.26564528886</v>
      </c>
      <c r="X21" s="139">
        <f t="shared" si="103"/>
        <v>361858.26564528886</v>
      </c>
      <c r="Y21" s="140">
        <f t="shared" si="103"/>
        <v>361858.26564528886</v>
      </c>
      <c r="AA21" s="322" t="s">
        <v>147</v>
      </c>
      <c r="AB21" s="130"/>
      <c r="AC21" s="130">
        <f>AVERAGE($AC$19:AC19)</f>
        <v>3.8432500705545838E-2</v>
      </c>
      <c r="AD21" s="130">
        <f>AVERAGE($AC$19:AD19)</f>
        <v>4.4804057608679643E-2</v>
      </c>
      <c r="AE21" s="130">
        <f>AVERAGE($AC$19:AE19)</f>
        <v>5.1962678097918734E-2</v>
      </c>
      <c r="AF21" s="130">
        <f>AVERAGE($AC$19:AF19)</f>
        <v>5.5958204887560724E-2</v>
      </c>
      <c r="AG21" s="130">
        <f>AVERAGE($AC$19:AG19)</f>
        <v>5.8673733904326154E-2</v>
      </c>
      <c r="AH21" s="130">
        <f>AVERAGE($AC$19:AH19)</f>
        <v>6.0609172007408119E-2</v>
      </c>
      <c r="AI21" s="130">
        <f>AVERAGE($AC$19:AI19)</f>
        <v>6.2098439875261313E-2</v>
      </c>
      <c r="AJ21" s="130">
        <f>AVERAGE($AC$19:AJ19)</f>
        <v>6.3309375892975181E-2</v>
      </c>
      <c r="AK21" s="130">
        <f>AVERAGE($AC$19:AK19)</f>
        <v>6.4253921375672485E-2</v>
      </c>
      <c r="AL21" s="131">
        <f>AVERAGE($AC$19:AL19)</f>
        <v>6.5044670473759988E-2</v>
      </c>
      <c r="AN21" s="145">
        <f t="shared" si="81"/>
        <v>3</v>
      </c>
      <c r="AO21" s="139"/>
      <c r="AP21" s="139"/>
      <c r="AQ21" s="139">
        <f>AE33+AE39</f>
        <v>6466503.0182683701</v>
      </c>
      <c r="AR21" s="139">
        <f>'Property-Level CF'!AE39</f>
        <v>410986.6322735037</v>
      </c>
      <c r="AS21" s="139">
        <f t="shared" ref="AS21:AX21" si="104">AR21</f>
        <v>410986.6322735037</v>
      </c>
      <c r="AT21" s="139">
        <f t="shared" si="104"/>
        <v>410986.6322735037</v>
      </c>
      <c r="AU21" s="139">
        <f t="shared" si="104"/>
        <v>410986.6322735037</v>
      </c>
      <c r="AV21" s="139">
        <f t="shared" si="104"/>
        <v>410986.6322735037</v>
      </c>
      <c r="AW21" s="139">
        <f t="shared" si="104"/>
        <v>410986.6322735037</v>
      </c>
      <c r="AX21" s="140">
        <f t="shared" si="104"/>
        <v>410986.6322735037</v>
      </c>
      <c r="AZ21" s="322" t="s">
        <v>147</v>
      </c>
      <c r="BA21" s="130"/>
      <c r="BB21" s="130">
        <f>AVERAGE($BB$19:BB19)</f>
        <v>4.5370131544015944E-2</v>
      </c>
      <c r="BC21" s="130">
        <f>AVERAGE($BB$19:BC19)</f>
        <v>5.092558242395967E-2</v>
      </c>
      <c r="BD21" s="130">
        <f>AVERAGE($BB$19:BD19)</f>
        <v>5.473846591533485E-2</v>
      </c>
      <c r="BE21" s="130">
        <f>AVERAGE($BB$19:BE19)</f>
        <v>5.6769670387256749E-2</v>
      </c>
      <c r="BF21" s="130">
        <f>AVERAGE($BB$19:BF19)</f>
        <v>5.8087208134936841E-2</v>
      </c>
      <c r="BG21" s="130">
        <f>AVERAGE($BB$19:BG19)</f>
        <v>5.9052343158070141E-2</v>
      </c>
      <c r="BH21" s="130">
        <f>AVERAGE($BB$19:BH19)</f>
        <v>6.0324335542320924E-2</v>
      </c>
      <c r="BI21" s="130">
        <f>AVERAGE($BB$19:BI19)</f>
        <v>6.143497182335269E-2</v>
      </c>
      <c r="BJ21" s="130">
        <f>AVERAGE($BB$19:BJ19)</f>
        <v>6.2355529577930745E-2</v>
      </c>
      <c r="BK21" s="131">
        <f>AVERAGE($BB$19:BK19)</f>
        <v>6.3136222924211532E-2</v>
      </c>
      <c r="BM21" s="145">
        <f t="shared" si="83"/>
        <v>3</v>
      </c>
      <c r="BN21" s="139"/>
      <c r="BO21" s="139"/>
      <c r="BP21" s="139">
        <f>BD33+BD39</f>
        <v>7246468.0720956298</v>
      </c>
      <c r="BQ21" s="139">
        <f>'Property-Level CF'!BD39</f>
        <v>474056.2589745454</v>
      </c>
      <c r="BR21" s="139">
        <f t="shared" ref="BR21:BW21" si="105">BQ21</f>
        <v>474056.2589745454</v>
      </c>
      <c r="BS21" s="139">
        <f t="shared" si="105"/>
        <v>474056.2589745454</v>
      </c>
      <c r="BT21" s="139">
        <f t="shared" si="105"/>
        <v>474056.2589745454</v>
      </c>
      <c r="BU21" s="139">
        <f t="shared" si="105"/>
        <v>474056.2589745454</v>
      </c>
      <c r="BV21" s="139">
        <f t="shared" si="105"/>
        <v>474056.2589745454</v>
      </c>
      <c r="BW21" s="140">
        <f t="shared" si="105"/>
        <v>474056.2589745454</v>
      </c>
      <c r="BY21" s="322" t="s">
        <v>147</v>
      </c>
      <c r="BZ21" s="130"/>
      <c r="CA21" s="130">
        <f>AVERAGE($CA$19:CA19)</f>
        <v>5.0445974315064541E-2</v>
      </c>
      <c r="CB21" s="130">
        <f>AVERAGE($CA$19:CB19)</f>
        <v>5.0885383862807235E-2</v>
      </c>
      <c r="CC21" s="130">
        <f>AVERAGE($CA$19:CC19)</f>
        <v>5.132887857335109E-2</v>
      </c>
      <c r="CD21" s="130">
        <f>AVERAGE($CA$19:CD19)</f>
        <v>5.177941056662308E-2</v>
      </c>
      <c r="CE21" s="130">
        <f>AVERAGE($CA$19:CE19)</f>
        <v>5.2235111718782978E-2</v>
      </c>
      <c r="CF21" s="130">
        <f>AVERAGE($CA$19:CF19)</f>
        <v>5.2696507885893494E-2</v>
      </c>
      <c r="CG21" s="130">
        <f>AVERAGE($CA$19:CG19)</f>
        <v>5.3162664340842984E-2</v>
      </c>
      <c r="CH21" s="130">
        <f>AVERAGE($CA$19:CH19)</f>
        <v>5.3633714388010317E-2</v>
      </c>
      <c r="CI21" s="130">
        <f>AVERAGE($CA$19:CI19)</f>
        <v>5.4112761810987037E-2</v>
      </c>
      <c r="CJ21" s="131">
        <f>AVERAGE($CA$19:CJ19)</f>
        <v>5.4604228004710195E-2</v>
      </c>
      <c r="CL21" s="145">
        <f t="shared" si="85"/>
        <v>3</v>
      </c>
      <c r="CM21" s="139"/>
      <c r="CN21" s="139"/>
      <c r="CO21" s="139">
        <f>CC33+CC39</f>
        <v>9657537.4654398225</v>
      </c>
      <c r="CP21" s="139">
        <f>'Property-Level CF'!CC39</f>
        <v>639155.24594032764</v>
      </c>
      <c r="CQ21" s="139">
        <f t="shared" ref="CQ21:CV21" si="106">CP21</f>
        <v>639155.24594032764</v>
      </c>
      <c r="CR21" s="139">
        <f t="shared" si="106"/>
        <v>639155.24594032764</v>
      </c>
      <c r="CS21" s="139">
        <f t="shared" si="106"/>
        <v>639155.24594032764</v>
      </c>
      <c r="CT21" s="139">
        <f t="shared" si="106"/>
        <v>639155.24594032764</v>
      </c>
      <c r="CU21" s="139">
        <f t="shared" si="106"/>
        <v>639155.24594032764</v>
      </c>
      <c r="CV21" s="140">
        <f t="shared" si="106"/>
        <v>639155.24594032764</v>
      </c>
      <c r="CX21" s="125" t="s">
        <v>147</v>
      </c>
      <c r="CY21" s="130"/>
      <c r="CZ21" s="130">
        <f>AVERAGE($CZ$19:CZ19)</f>
        <v>5.1406843674750763E-2</v>
      </c>
      <c r="DA21" s="130">
        <f>AVERAGE($CZ$19:DA19)</f>
        <v>5.1920930592753559E-2</v>
      </c>
      <c r="DB21" s="130">
        <f>AVERAGE($CZ$19:DB19)</f>
        <v>5.244185264168133E-2</v>
      </c>
      <c r="DC21" s="130">
        <f>AVERAGE($CZ$19:DC19)</f>
        <v>5.2969719829006036E-2</v>
      </c>
      <c r="DD21" s="130">
        <f>AVERAGE($CZ$19:DD19)</f>
        <v>5.350465976339517E-2</v>
      </c>
      <c r="DE21" s="130">
        <f>AVERAGE($CZ$19:DE19)</f>
        <v>5.4046773651722939E-2</v>
      </c>
      <c r="DF21" s="130">
        <f>AVERAGE($CZ$19:DF19)</f>
        <v>5.4596155157494039E-2</v>
      </c>
      <c r="DG21" s="130">
        <f>AVERAGE($CZ$19:DG19)</f>
        <v>5.5152928117691208E-2</v>
      </c>
      <c r="DH21" s="130">
        <f>AVERAGE($CZ$19:DH19)</f>
        <v>5.5717190665964048E-2</v>
      </c>
      <c r="DI21" s="131">
        <f>AVERAGE($CZ$19:DI19)</f>
        <v>5.6289063286686612E-2</v>
      </c>
      <c r="DK21" s="145">
        <f t="shared" si="87"/>
        <v>3</v>
      </c>
      <c r="DL21" s="139"/>
      <c r="DM21" s="139"/>
      <c r="DN21" s="139">
        <f>DB33+DB39</f>
        <v>4155798.1482000076</v>
      </c>
      <c r="DO21" s="139">
        <f>'Property-Level CF'!DB39</f>
        <v>281012.51312645857</v>
      </c>
      <c r="DP21" s="139">
        <f t="shared" ref="DP21:DU21" si="107">DO21</f>
        <v>281012.51312645857</v>
      </c>
      <c r="DQ21" s="139">
        <f t="shared" si="107"/>
        <v>281012.51312645857</v>
      </c>
      <c r="DR21" s="139">
        <f t="shared" si="107"/>
        <v>281012.51312645857</v>
      </c>
      <c r="DS21" s="139">
        <f t="shared" si="107"/>
        <v>281012.51312645857</v>
      </c>
      <c r="DT21" s="139">
        <f t="shared" si="107"/>
        <v>281012.51312645857</v>
      </c>
      <c r="DU21" s="140">
        <f t="shared" si="107"/>
        <v>281012.51312645857</v>
      </c>
      <c r="DW21" s="125" t="s">
        <v>147</v>
      </c>
      <c r="DX21" s="130"/>
      <c r="DY21" s="130">
        <f>AVERAGE($DY$19:DY19)</f>
        <v>4.8414916950049909E-2</v>
      </c>
      <c r="DZ21" s="130">
        <f>AVERAGE($DY$19:DZ19)</f>
        <v>4.8900949859295884E-2</v>
      </c>
      <c r="EA21" s="130">
        <f>AVERAGE($DY$19:EA19)</f>
        <v>4.9390046660348151E-2</v>
      </c>
      <c r="EB21" s="130">
        <f>AVERAGE($DY$19:EB19)</f>
        <v>4.9886590933351224E-2</v>
      </c>
      <c r="EC21" s="130">
        <f>AVERAGE($DY$19:EC19)</f>
        <v>5.0390167391765092E-2</v>
      </c>
      <c r="ED21" s="130">
        <f>AVERAGE($DY$19:ED19)</f>
        <v>5.0900963683581928E-2</v>
      </c>
      <c r="EE21" s="130">
        <f>AVERAGE($DY$19:EE19)</f>
        <v>5.1417842055519088E-2</v>
      </c>
      <c r="EF21" s="130">
        <f>AVERAGE($DY$19:EF19)</f>
        <v>5.1942688435816203E-2</v>
      </c>
      <c r="EG21" s="130">
        <f>AVERAGE($DY$19:EG19)</f>
        <v>5.2473859915764469E-2</v>
      </c>
      <c r="EH21" s="131">
        <f>AVERAGE($DY$19:EH19)</f>
        <v>5.3012135256504153E-2</v>
      </c>
      <c r="EJ21" s="145">
        <f t="shared" si="89"/>
        <v>3</v>
      </c>
      <c r="EK21" s="139"/>
      <c r="EL21" s="139"/>
      <c r="EM21" s="139">
        <f>EA33+EA39</f>
        <v>9831670.5058348048</v>
      </c>
      <c r="EN21" s="139">
        <f>'Property-Level CF'!EA39</f>
        <v>595371.35059703281</v>
      </c>
      <c r="EO21" s="139">
        <f t="shared" ref="EO21:ET21" si="108">EN21</f>
        <v>595371.35059703281</v>
      </c>
      <c r="EP21" s="139">
        <f t="shared" si="108"/>
        <v>595371.35059703281</v>
      </c>
      <c r="EQ21" s="139">
        <f t="shared" si="108"/>
        <v>595371.35059703281</v>
      </c>
      <c r="ER21" s="139">
        <f t="shared" si="108"/>
        <v>595371.35059703281</v>
      </c>
      <c r="ES21" s="139">
        <f t="shared" si="108"/>
        <v>595371.35059703281</v>
      </c>
      <c r="ET21" s="140">
        <f t="shared" si="108"/>
        <v>595371.35059703281</v>
      </c>
    </row>
    <row r="22" spans="2:150" x14ac:dyDescent="0.3">
      <c r="B22" s="125"/>
      <c r="C22" s="259"/>
      <c r="D22" s="146"/>
      <c r="E22" s="146"/>
      <c r="F22" s="146"/>
      <c r="G22" s="146"/>
      <c r="H22" s="146"/>
      <c r="I22" s="146"/>
      <c r="J22" s="146"/>
      <c r="K22" s="146"/>
      <c r="L22" s="146"/>
      <c r="M22" s="147"/>
      <c r="O22" s="145">
        <f t="shared" si="79"/>
        <v>4</v>
      </c>
      <c r="P22" s="139"/>
      <c r="Q22" s="139"/>
      <c r="R22" s="139"/>
      <c r="S22" s="139">
        <f>G33+G39</f>
        <v>4516147.0069025485</v>
      </c>
      <c r="T22" s="139">
        <f>'Property-Level CF'!G39</f>
        <v>105958.26564528883</v>
      </c>
      <c r="U22" s="139">
        <f>T22</f>
        <v>105958.26564528883</v>
      </c>
      <c r="V22" s="139">
        <f>U22</f>
        <v>105958.26564528883</v>
      </c>
      <c r="W22" s="139">
        <f>V22</f>
        <v>105958.26564528883</v>
      </c>
      <c r="X22" s="139">
        <f>W22</f>
        <v>105958.26564528883</v>
      </c>
      <c r="Y22" s="140">
        <f>X22</f>
        <v>105958.26564528883</v>
      </c>
      <c r="AA22" s="125"/>
      <c r="AB22" s="259"/>
      <c r="AC22" s="146"/>
      <c r="AD22" s="146"/>
      <c r="AE22" s="146"/>
      <c r="AF22" s="146"/>
      <c r="AG22" s="146"/>
      <c r="AH22" s="146"/>
      <c r="AI22" s="146"/>
      <c r="AJ22" s="146"/>
      <c r="AK22" s="146"/>
      <c r="AL22" s="147"/>
      <c r="AN22" s="145">
        <f t="shared" si="81"/>
        <v>4</v>
      </c>
      <c r="AO22" s="139"/>
      <c r="AP22" s="139"/>
      <c r="AQ22" s="139"/>
      <c r="AR22" s="139">
        <f>AF33+AF39</f>
        <v>6815835.5654381821</v>
      </c>
      <c r="AS22" s="139">
        <f>'Property-Level CF'!AF39</f>
        <v>429236.6322735037</v>
      </c>
      <c r="AT22" s="139">
        <f>AS22</f>
        <v>429236.6322735037</v>
      </c>
      <c r="AU22" s="139">
        <f>AT22</f>
        <v>429236.6322735037</v>
      </c>
      <c r="AV22" s="139">
        <f>AU22</f>
        <v>429236.6322735037</v>
      </c>
      <c r="AW22" s="139">
        <f>AV22</f>
        <v>429236.6322735037</v>
      </c>
      <c r="AX22" s="140">
        <f>AW22</f>
        <v>429236.6322735037</v>
      </c>
      <c r="AZ22" s="125"/>
      <c r="BA22" s="259"/>
      <c r="BB22" s="146"/>
      <c r="BC22" s="146"/>
      <c r="BD22" s="146"/>
      <c r="BE22" s="146"/>
      <c r="BF22" s="146"/>
      <c r="BG22" s="146"/>
      <c r="BH22" s="146"/>
      <c r="BI22" s="146"/>
      <c r="BJ22" s="146"/>
      <c r="BK22" s="147"/>
      <c r="BM22" s="145">
        <f t="shared" si="83"/>
        <v>4</v>
      </c>
      <c r="BN22" s="139"/>
      <c r="BO22" s="139"/>
      <c r="BP22" s="139"/>
      <c r="BQ22" s="139">
        <f>BE33+BE39</f>
        <v>7380860.6098314794</v>
      </c>
      <c r="BR22" s="139">
        <f>'Property-Level CF'!BE39</f>
        <v>481077.2589745454</v>
      </c>
      <c r="BS22" s="139">
        <f>BR22</f>
        <v>481077.2589745454</v>
      </c>
      <c r="BT22" s="139">
        <f>BS22</f>
        <v>481077.2589745454</v>
      </c>
      <c r="BU22" s="139">
        <f>BT22</f>
        <v>481077.2589745454</v>
      </c>
      <c r="BV22" s="139">
        <f>BU22</f>
        <v>481077.2589745454</v>
      </c>
      <c r="BW22" s="140">
        <f>BV22</f>
        <v>481077.2589745454</v>
      </c>
      <c r="BY22" s="125"/>
      <c r="BZ22" s="259"/>
      <c r="CA22" s="132"/>
      <c r="CB22" s="132"/>
      <c r="CC22" s="132"/>
      <c r="CD22" s="132"/>
      <c r="CE22" s="132"/>
      <c r="CF22" s="132"/>
      <c r="CG22" s="132"/>
      <c r="CH22" s="132"/>
      <c r="CI22" s="132"/>
      <c r="CJ22" s="133"/>
      <c r="CL22" s="145">
        <f t="shared" si="85"/>
        <v>4</v>
      </c>
      <c r="CM22" s="139"/>
      <c r="CN22" s="139"/>
      <c r="CO22" s="139"/>
      <c r="CP22" s="139">
        <f>CD33+CD39</f>
        <v>10145979.149057396</v>
      </c>
      <c r="CQ22" s="139">
        <f>'Property-Level CF'!CD39</f>
        <v>663722.24594032764</v>
      </c>
      <c r="CR22" s="139">
        <f>CQ22</f>
        <v>663722.24594032764</v>
      </c>
      <c r="CS22" s="139">
        <f>CR22</f>
        <v>663722.24594032764</v>
      </c>
      <c r="CT22" s="139">
        <f>CS22</f>
        <v>663722.24594032764</v>
      </c>
      <c r="CU22" s="139">
        <f>CT22</f>
        <v>663722.24594032764</v>
      </c>
      <c r="CV22" s="140">
        <f>CU22</f>
        <v>663722.24594032764</v>
      </c>
      <c r="CX22" s="125"/>
      <c r="CY22" s="259"/>
      <c r="CZ22" s="146"/>
      <c r="DA22" s="146"/>
      <c r="DB22" s="146"/>
      <c r="DC22" s="146"/>
      <c r="DD22" s="146"/>
      <c r="DE22" s="146"/>
      <c r="DF22" s="146"/>
      <c r="DG22" s="146"/>
      <c r="DH22" s="146"/>
      <c r="DI22" s="147"/>
      <c r="DK22" s="145">
        <f t="shared" si="87"/>
        <v>4</v>
      </c>
      <c r="DL22" s="139"/>
      <c r="DM22" s="139"/>
      <c r="DN22" s="139"/>
      <c r="DO22" s="139">
        <f>DC33+DC39</f>
        <v>4393154.7233509002</v>
      </c>
      <c r="DP22" s="139">
        <f>'Property-Level CF'!DC39</f>
        <v>293166.51312645857</v>
      </c>
      <c r="DQ22" s="139">
        <f>DP22</f>
        <v>293166.51312645857</v>
      </c>
      <c r="DR22" s="139">
        <f>DQ22</f>
        <v>293166.51312645857</v>
      </c>
      <c r="DS22" s="139">
        <f>DR22</f>
        <v>293166.51312645857</v>
      </c>
      <c r="DT22" s="139">
        <f>DS22</f>
        <v>293166.51312645857</v>
      </c>
      <c r="DU22" s="140">
        <f>DT22</f>
        <v>293166.51312645857</v>
      </c>
      <c r="DW22" s="125"/>
      <c r="DX22" s="259"/>
      <c r="DY22" s="146"/>
      <c r="DZ22" s="146"/>
      <c r="EA22" s="146"/>
      <c r="EB22" s="146"/>
      <c r="EC22" s="146"/>
      <c r="ED22" s="146"/>
      <c r="EE22" s="146"/>
      <c r="EF22" s="146"/>
      <c r="EG22" s="146"/>
      <c r="EH22" s="147"/>
      <c r="EJ22" s="145">
        <f t="shared" si="89"/>
        <v>4</v>
      </c>
      <c r="EK22" s="139"/>
      <c r="EL22" s="139"/>
      <c r="EM22" s="139"/>
      <c r="EN22" s="139">
        <f>EB33+EB39</f>
        <v>10396198.710051855</v>
      </c>
      <c r="EO22" s="139">
        <f>'Property-Level CF'!EB39</f>
        <v>622677.35059703281</v>
      </c>
      <c r="EP22" s="139">
        <f>EO22</f>
        <v>622677.35059703281</v>
      </c>
      <c r="EQ22" s="139">
        <f>EP22</f>
        <v>622677.35059703281</v>
      </c>
      <c r="ER22" s="139">
        <f>EQ22</f>
        <v>622677.35059703281</v>
      </c>
      <c r="ES22" s="139">
        <f>ER22</f>
        <v>622677.35059703281</v>
      </c>
      <c r="ET22" s="140">
        <f>ES22</f>
        <v>622677.35059703281</v>
      </c>
    </row>
    <row r="23" spans="2:150" x14ac:dyDescent="0.3">
      <c r="B23" s="125" t="s">
        <v>148</v>
      </c>
      <c r="C23" s="259"/>
      <c r="D23" s="132">
        <f>(D10/D18)*(1-'Portfolio-Level CF'!$AC$52)</f>
        <v>12905427.19011372</v>
      </c>
      <c r="E23" s="132">
        <f>(E10/E18)*(1-'Portfolio-Level CF'!$AC$52)</f>
        <v>13046062.657766383</v>
      </c>
      <c r="F23" s="132">
        <f>(F10/F18)*(1-'Portfolio-Level CF'!$AC$52)</f>
        <v>13193920.996987736</v>
      </c>
      <c r="G23" s="132">
        <f>(G10/G18)*(1-'Portfolio-Level CF'!$AC$52)</f>
        <v>13134606.498484423</v>
      </c>
      <c r="H23" s="132">
        <f>(H10/H18)*(1-'Portfolio-Level CF'!$AC$52)</f>
        <v>13814419.116458284</v>
      </c>
      <c r="I23" s="132">
        <f>(I10/I18)*(1-'Portfolio-Level CF'!$AC$52)</f>
        <v>13012850.488515638</v>
      </c>
      <c r="J23" s="132">
        <f>(J10/J18)*(1-'Portfolio-Level CF'!$AC$52)</f>
        <v>13267537.465302195</v>
      </c>
      <c r="K23" s="132">
        <f>(K10/K18)*(1-'Portfolio-Level CF'!$AC$52)</f>
        <v>13944832.014943365</v>
      </c>
      <c r="L23" s="132">
        <f>(L10/L18)*(1-'Portfolio-Level CF'!$AC$52)</f>
        <v>13842052.036266014</v>
      </c>
      <c r="M23" s="133">
        <f>(M10/M18)*(1-'Portfolio-Level CF'!$AC$52)</f>
        <v>14562581.654599804</v>
      </c>
      <c r="O23" s="145">
        <f t="shared" si="79"/>
        <v>5</v>
      </c>
      <c r="P23" s="139"/>
      <c r="Q23" s="139"/>
      <c r="R23" s="139"/>
      <c r="S23" s="139"/>
      <c r="T23" s="139">
        <f>H33+H39</f>
        <v>5544224.6248764088</v>
      </c>
      <c r="U23" s="139">
        <f>'Property-Level CF'!H39</f>
        <v>454223.26564528886</v>
      </c>
      <c r="V23" s="139">
        <f>U23</f>
        <v>454223.26564528886</v>
      </c>
      <c r="W23" s="139">
        <f>V23</f>
        <v>454223.26564528886</v>
      </c>
      <c r="X23" s="139">
        <f>W23</f>
        <v>454223.26564528886</v>
      </c>
      <c r="Y23" s="140">
        <f>X23</f>
        <v>454223.26564528886</v>
      </c>
      <c r="AA23" s="125" t="s">
        <v>148</v>
      </c>
      <c r="AB23" s="259"/>
      <c r="AC23" s="132">
        <f>(AC10/AC18)*(1-'Portfolio-Level CF'!$AC$52)</f>
        <v>10539811.073015811</v>
      </c>
      <c r="AD23" s="132">
        <f>(AD10/AD18)*(1-'Portfolio-Level CF'!$AC$52)</f>
        <v>10177005.820754718</v>
      </c>
      <c r="AE23" s="132">
        <f>(AE10/AE18)*(1-'Portfolio-Level CF'!$AC$52)</f>
        <v>13180713.679245284</v>
      </c>
      <c r="AF23" s="132">
        <f>(AF10/AF18)*(1-'Portfolio-Level CF'!$AC$52)</f>
        <v>13511796.226415096</v>
      </c>
      <c r="AG23" s="132">
        <f>(AG10/AG18)*(1-'Portfolio-Level CF'!$AC$52)</f>
        <v>13828202.292452831</v>
      </c>
      <c r="AH23" s="132">
        <f>(AH10/AH18)*(1-'Portfolio-Level CF'!$AC$52)</f>
        <v>13977452.490566039</v>
      </c>
      <c r="AI23" s="132">
        <f>(AI10/AI18)*(1-'Portfolio-Level CF'!$AC$52)</f>
        <v>14126140.301886793</v>
      </c>
      <c r="AJ23" s="132">
        <f>(AJ10/AJ18)*(1-'Portfolio-Level CF'!$AC$52)</f>
        <v>14275662.622641509</v>
      </c>
      <c r="AK23" s="132">
        <f>(AK10/AK18)*(1-'Portfolio-Level CF'!$AC$52)</f>
        <v>14280506.405660378</v>
      </c>
      <c r="AL23" s="133">
        <f>(AL10/AL18)*(1-'Portfolio-Level CF'!$AC$52)</f>
        <v>14350333.075471699</v>
      </c>
      <c r="AN23" s="145">
        <f t="shared" si="81"/>
        <v>5</v>
      </c>
      <c r="AO23" s="139"/>
      <c r="AP23" s="139"/>
      <c r="AQ23" s="139"/>
      <c r="AR23" s="139"/>
      <c r="AS23" s="139">
        <f>AG33+AG39</f>
        <v>7149682.6314759171</v>
      </c>
      <c r="AT23" s="139">
        <f>'Property-Level CF'!AG39</f>
        <v>446677.6322735037</v>
      </c>
      <c r="AU23" s="139">
        <f>AT23</f>
        <v>446677.6322735037</v>
      </c>
      <c r="AV23" s="139">
        <f>AU23</f>
        <v>446677.6322735037</v>
      </c>
      <c r="AW23" s="139">
        <f>AV23</f>
        <v>446677.6322735037</v>
      </c>
      <c r="AX23" s="140">
        <f>AW23</f>
        <v>446677.6322735037</v>
      </c>
      <c r="AZ23" s="125" t="s">
        <v>148</v>
      </c>
      <c r="BA23" s="259"/>
      <c r="BB23" s="132">
        <f>(BB10/BB18)*(1-'Portfolio-Level CF'!$AC$52)</f>
        <v>13527059.931589436</v>
      </c>
      <c r="BC23" s="132">
        <f>(BC10/BC18)*(1-'Portfolio-Level CF'!$AC$52)</f>
        <v>14415515.518867925</v>
      </c>
      <c r="BD23" s="132">
        <f>(BD10/BD18)*(1-'Portfolio-Level CF'!$AC$52)</f>
        <v>15917070.113207547</v>
      </c>
      <c r="BE23" s="132">
        <f>(BE10/BE18)*(1-'Portfolio-Level CF'!$AC$52)</f>
        <v>16044441.650943397</v>
      </c>
      <c r="BF23" s="132">
        <f>(BF10/BF18)*(1-'Portfolio-Level CF'!$AC$52)</f>
        <v>16170543.283018868</v>
      </c>
      <c r="BG23" s="132">
        <f>(BG10/BG18)*(1-'Portfolio-Level CF'!$AC$52)</f>
        <v>16303429.839622643</v>
      </c>
      <c r="BH23" s="132">
        <f>(BH10/BH18)*(1-'Portfolio-Level CF'!$AC$52)</f>
        <v>17344317.084905662</v>
      </c>
      <c r="BI23" s="132">
        <f>(BI10/BI18)*(1-'Portfolio-Level CF'!$AC$52)</f>
        <v>17664151.896226417</v>
      </c>
      <c r="BJ23" s="132">
        <f>(BJ10/BJ18)*(1-'Portfolio-Level CF'!$AC$52)</f>
        <v>17794462.358490568</v>
      </c>
      <c r="BK23" s="133">
        <f>(BK10/BK18)*(1-'Portfolio-Level CF'!$AC$52)</f>
        <v>17907393.254716981</v>
      </c>
      <c r="BM23" s="145">
        <f t="shared" si="83"/>
        <v>5</v>
      </c>
      <c r="BN23" s="139"/>
      <c r="BO23" s="139"/>
      <c r="BP23" s="139"/>
      <c r="BQ23" s="139"/>
      <c r="BR23" s="139">
        <f>BF33+BF39</f>
        <v>7513913.2419069512</v>
      </c>
      <c r="BS23" s="139">
        <f>'Property-Level CF'!BF39</f>
        <v>488028.2589745454</v>
      </c>
      <c r="BT23" s="139">
        <f>BS23</f>
        <v>488028.2589745454</v>
      </c>
      <c r="BU23" s="139">
        <f>BT23</f>
        <v>488028.2589745454</v>
      </c>
      <c r="BV23" s="139">
        <f>BU23</f>
        <v>488028.2589745454</v>
      </c>
      <c r="BW23" s="140">
        <f>BV23</f>
        <v>488028.2589745454</v>
      </c>
      <c r="BY23" s="125" t="s">
        <v>148</v>
      </c>
      <c r="BZ23" s="259"/>
      <c r="CA23" s="132">
        <f>(CA10/CA18)*(1-'Portfolio-Level CF'!$AC$52)</f>
        <v>25811578.419869285</v>
      </c>
      <c r="CB23" s="132">
        <f>(CB10/CB18)*(1-'Portfolio-Level CF'!$AC$52)</f>
        <v>26016030.308217198</v>
      </c>
      <c r="CC23" s="132">
        <f>(CC10/CC18)*(1-'Portfolio-Level CF'!$AC$52)</f>
        <v>26467707.204330526</v>
      </c>
      <c r="CD23" s="132">
        <f>(CD10/CD18)*(1-'Portfolio-Level CF'!$AC$52)</f>
        <v>26931581.8879481</v>
      </c>
      <c r="CE23" s="132">
        <f>(CE10/CE18)*(1-'Portfolio-Level CF'!$AC$52)</f>
        <v>27401423.291149803</v>
      </c>
      <c r="CF23" s="132">
        <f>(CF10/CF18)*(1-'Portfolio-Level CF'!$AC$52)</f>
        <v>27880724.588375703</v>
      </c>
      <c r="CG23" s="132">
        <f>(CG10/CG18)*(1-'Portfolio-Level CF'!$AC$52)</f>
        <v>28365369.498393707</v>
      </c>
      <c r="CH23" s="132">
        <f>(CH10/CH18)*(1-'Portfolio-Level CF'!$AC$52)</f>
        <v>28857793.802299876</v>
      </c>
      <c r="CI23" s="132">
        <f>(CI10/CI18)*(1-'Portfolio-Level CF'!$AC$52)</f>
        <v>29371819.14166249</v>
      </c>
      <c r="CJ23" s="133">
        <f>(CJ10/CJ18)*(1-'Portfolio-Level CF'!$AC$52)</f>
        <v>29920417.466969818</v>
      </c>
      <c r="CL23" s="145">
        <f t="shared" si="85"/>
        <v>5</v>
      </c>
      <c r="CM23" s="139"/>
      <c r="CN23" s="139"/>
      <c r="CO23" s="139"/>
      <c r="CP23" s="139"/>
      <c r="CQ23" s="139">
        <f>CE33+CE39</f>
        <v>10640703.552259099</v>
      </c>
      <c r="CR23" s="139">
        <f>'Property-Level CF'!CE39</f>
        <v>688605.24594032764</v>
      </c>
      <c r="CS23" s="139">
        <f>CR23</f>
        <v>688605.24594032764</v>
      </c>
      <c r="CT23" s="139">
        <f>CS23</f>
        <v>688605.24594032764</v>
      </c>
      <c r="CU23" s="139">
        <f>CT23</f>
        <v>688605.24594032764</v>
      </c>
      <c r="CV23" s="140">
        <f>CU23</f>
        <v>688605.24594032764</v>
      </c>
      <c r="CX23" s="125" t="s">
        <v>148</v>
      </c>
      <c r="CY23" s="259"/>
      <c r="CZ23" s="132">
        <f>(CZ10/CZ18)*(1-'Portfolio-Level CF'!$AC$52)</f>
        <v>10925394.234539591</v>
      </c>
      <c r="DA23" s="132">
        <f>(DA10/DA18)*(1-'Portfolio-Level CF'!$AC$52)</f>
        <v>11039854.92066833</v>
      </c>
      <c r="DB23" s="132">
        <f>(DB10/DB18)*(1-'Portfolio-Level CF'!$AC$52)</f>
        <v>11260647.572099794</v>
      </c>
      <c r="DC23" s="132">
        <f>(DC10/DC18)*(1-'Portfolio-Level CF'!$AC$52)</f>
        <v>11485850.147250686</v>
      </c>
      <c r="DD23" s="132">
        <f>(DD10/DD18)*(1-'Portfolio-Level CF'!$AC$52)</f>
        <v>11715573.82066855</v>
      </c>
      <c r="DE23" s="132">
        <f>(DE10/DE18)*(1-'Portfolio-Level CF'!$AC$52)</f>
        <v>11949892.708718427</v>
      </c>
      <c r="DF23" s="132">
        <f>(DF10/DF18)*(1-'Portfolio-Level CF'!$AC$52)</f>
        <v>12188880.92776534</v>
      </c>
      <c r="DG23" s="132">
        <f>(DG10/DG18)*(1-'Portfolio-Level CF'!$AC$52)</f>
        <v>12432668.1814481</v>
      </c>
      <c r="DH23" s="132">
        <f>(DH10/DH18)*(1-'Portfolio-Level CF'!$AC$52)</f>
        <v>12681310.057040483</v>
      </c>
      <c r="DI23" s="133">
        <f>(DI10/DI18)*(1-'Portfolio-Level CF'!$AC$52)</f>
        <v>12934936.258181293</v>
      </c>
      <c r="DK23" s="145">
        <f t="shared" si="87"/>
        <v>5</v>
      </c>
      <c r="DL23" s="139"/>
      <c r="DM23" s="139"/>
      <c r="DN23" s="139"/>
      <c r="DO23" s="139"/>
      <c r="DP23" s="139">
        <f>DD33+DD39</f>
        <v>4635276.3967687646</v>
      </c>
      <c r="DQ23" s="139">
        <f>'Property-Level CF'!DD39</f>
        <v>305564.51312645857</v>
      </c>
      <c r="DR23" s="139">
        <f>DQ23</f>
        <v>305564.51312645857</v>
      </c>
      <c r="DS23" s="139">
        <f>DR23</f>
        <v>305564.51312645857</v>
      </c>
      <c r="DT23" s="139">
        <f>DS23</f>
        <v>305564.51312645857</v>
      </c>
      <c r="DU23" s="140">
        <f>DT23</f>
        <v>305564.51312645857</v>
      </c>
      <c r="DW23" s="125" t="s">
        <v>148</v>
      </c>
      <c r="DX23" s="259"/>
      <c r="DY23" s="132">
        <f>(DY10/DY18)*(1-'Portfolio-Level CF'!$AC$52)</f>
        <v>26046774.835967161</v>
      </c>
      <c r="DZ23" s="132">
        <f>(DZ10/DZ18)*(1-'Portfolio-Level CF'!$AC$52)</f>
        <v>26321645.154101864</v>
      </c>
      <c r="EA23" s="132">
        <f>(EA10/EA18)*(1-'Portfolio-Level CF'!$AC$52)</f>
        <v>26844623.277316455</v>
      </c>
      <c r="EB23" s="132">
        <f>(EB10/EB18)*(1-'Portfolio-Level CF'!$AC$52)</f>
        <v>27381845.481533505</v>
      </c>
      <c r="EC23" s="132">
        <f>(EC10/EC18)*(1-'Portfolio-Level CF'!$AC$52)</f>
        <v>27929868.791372582</v>
      </c>
      <c r="ED23" s="132">
        <f>(ED10/ED18)*(1-'Portfolio-Level CF'!$AC$52)</f>
        <v>28489735.936520338</v>
      </c>
      <c r="EE23" s="132">
        <f>(EE10/EE18)*(1-'Portfolio-Level CF'!$AC$52)</f>
        <v>29056902.189474598</v>
      </c>
      <c r="EF23" s="132">
        <f>(EF10/EF18)*(1-'Portfolio-Level CF'!$AC$52)</f>
        <v>29641834.195391875</v>
      </c>
      <c r="EG23" s="132">
        <f>(EG10/EG18)*(1-'Portfolio-Level CF'!$AC$52)</f>
        <v>30231625.715131808</v>
      </c>
      <c r="EH23" s="133">
        <f>(EH10/EH18)*(1-'Portfolio-Level CF'!$AC$52)</f>
        <v>30835680.990019236</v>
      </c>
      <c r="EJ23" s="145">
        <f t="shared" si="89"/>
        <v>5</v>
      </c>
      <c r="EK23" s="139"/>
      <c r="EL23" s="139"/>
      <c r="EM23" s="139"/>
      <c r="EN23" s="139"/>
      <c r="EO23" s="139">
        <f>EC33+EC39</f>
        <v>10972077.019890932</v>
      </c>
      <c r="EP23" s="139">
        <f>'Property-Level CF'!EC39</f>
        <v>650532.35059703281</v>
      </c>
      <c r="EQ23" s="139">
        <f>EP23</f>
        <v>650532.35059703281</v>
      </c>
      <c r="ER23" s="139">
        <f>EQ23</f>
        <v>650532.35059703281</v>
      </c>
      <c r="ES23" s="139">
        <f>ER23</f>
        <v>650532.35059703281</v>
      </c>
      <c r="ET23" s="140">
        <f>ES23</f>
        <v>650532.35059703281</v>
      </c>
    </row>
    <row r="24" spans="2:150" x14ac:dyDescent="0.3">
      <c r="B24" s="125" t="s">
        <v>149</v>
      </c>
      <c r="C24" s="259"/>
      <c r="D24" s="134">
        <f>D23/Summary!$F$4</f>
        <v>439.84278620748165</v>
      </c>
      <c r="E24" s="134">
        <f>E23/Summary!$F$4</f>
        <v>444.63592439815898</v>
      </c>
      <c r="F24" s="134">
        <f>F23/Summary!$F$4</f>
        <v>449.67523250699486</v>
      </c>
      <c r="G24" s="134">
        <f>G23/Summary!$F$4</f>
        <v>447.6536756921858</v>
      </c>
      <c r="H24" s="134">
        <f>H23/Summary!$F$4</f>
        <v>470.82305021840716</v>
      </c>
      <c r="I24" s="134">
        <f>I23/Summary!$F$4</f>
        <v>443.50398720274148</v>
      </c>
      <c r="J24" s="134">
        <f>J23/Summary!$F$4</f>
        <v>452.18422907543015</v>
      </c>
      <c r="K24" s="134">
        <f>K23/Summary!$F$4</f>
        <v>475.26778279347553</v>
      </c>
      <c r="L24" s="134">
        <f>L23/Summary!$F$4</f>
        <v>471.76483542708206</v>
      </c>
      <c r="M24" s="135">
        <f>M23/Summary!$F$4</f>
        <v>496.32192681230373</v>
      </c>
      <c r="O24" s="145">
        <f t="shared" si="79"/>
        <v>6</v>
      </c>
      <c r="P24" s="139"/>
      <c r="Q24" s="139"/>
      <c r="R24" s="139"/>
      <c r="S24" s="139"/>
      <c r="T24" s="139"/>
      <c r="U24" s="139">
        <f>I33+I39</f>
        <v>4693951.9969337629</v>
      </c>
      <c r="V24" s="139">
        <f>'Property-Level CF'!I39</f>
        <v>405519.26564528886</v>
      </c>
      <c r="W24" s="139">
        <f>V24</f>
        <v>405519.26564528886</v>
      </c>
      <c r="X24" s="139">
        <f>W24</f>
        <v>405519.26564528886</v>
      </c>
      <c r="Y24" s="140">
        <f>X24</f>
        <v>405519.26564528886</v>
      </c>
      <c r="AA24" s="125" t="s">
        <v>149</v>
      </c>
      <c r="AB24" s="259"/>
      <c r="AC24" s="134">
        <f>AC23/Summary!$F$5</f>
        <v>405.62696555633511</v>
      </c>
      <c r="AD24" s="134">
        <f>AD23/Summary!$F$5</f>
        <v>391.66432499825731</v>
      </c>
      <c r="AE24" s="134">
        <f>AE23/Summary!$F$5</f>
        <v>507.26268777883638</v>
      </c>
      <c r="AF24" s="134">
        <f>AF23/Summary!$F$5</f>
        <v>520.00447299934945</v>
      </c>
      <c r="AG24" s="134">
        <f>AG23/Summary!$F$5</f>
        <v>532.18143059008742</v>
      </c>
      <c r="AH24" s="134">
        <f>AH23/Summary!$F$5</f>
        <v>537.92535754949347</v>
      </c>
      <c r="AI24" s="134">
        <f>AI23/Summary!$F$5</f>
        <v>543.64764092852499</v>
      </c>
      <c r="AJ24" s="134">
        <f>AJ23/Summary!$F$5</f>
        <v>549.4020405881123</v>
      </c>
      <c r="AK24" s="134">
        <f>AK23/Summary!$F$5</f>
        <v>549.58845465133845</v>
      </c>
      <c r="AL24" s="135">
        <f>AL23/Summary!$F$5</f>
        <v>552.27574951784561</v>
      </c>
      <c r="AN24" s="145">
        <f t="shared" si="81"/>
        <v>6</v>
      </c>
      <c r="AO24" s="139"/>
      <c r="AP24" s="139"/>
      <c r="AQ24" s="139"/>
      <c r="AR24" s="139"/>
      <c r="AS24" s="139"/>
      <c r="AT24" s="139">
        <f>AH33+AH39</f>
        <v>7307159.8295891257</v>
      </c>
      <c r="AU24" s="139">
        <f>'Property-Level CF'!AH39</f>
        <v>454904.6322735037</v>
      </c>
      <c r="AV24" s="139">
        <f>AU24</f>
        <v>454904.6322735037</v>
      </c>
      <c r="AW24" s="139">
        <f>AV24</f>
        <v>454904.6322735037</v>
      </c>
      <c r="AX24" s="140">
        <f>AW24</f>
        <v>454904.6322735037</v>
      </c>
      <c r="AZ24" s="125" t="s">
        <v>149</v>
      </c>
      <c r="BA24" s="259"/>
      <c r="BB24" s="134">
        <f>BB23/Summary!$F$6</f>
        <v>450.90199771964785</v>
      </c>
      <c r="BC24" s="134">
        <f>BC23/Summary!$F$6</f>
        <v>480.51718396226414</v>
      </c>
      <c r="BD24" s="134">
        <f>BD23/Summary!$F$6</f>
        <v>530.56900377358488</v>
      </c>
      <c r="BE24" s="134">
        <f>BE23/Summary!$F$6</f>
        <v>534.8147216981132</v>
      </c>
      <c r="BF24" s="134">
        <f>BF23/Summary!$F$6</f>
        <v>539.01810943396231</v>
      </c>
      <c r="BG24" s="134">
        <f>BG23/Summary!$F$6</f>
        <v>543.44766132075472</v>
      </c>
      <c r="BH24" s="134">
        <f>BH23/Summary!$F$6</f>
        <v>578.14390283018872</v>
      </c>
      <c r="BI24" s="134">
        <f>BI23/Summary!$F$6</f>
        <v>588.80506320754728</v>
      </c>
      <c r="BJ24" s="134">
        <f>BJ23/Summary!$F$6</f>
        <v>593.14874528301891</v>
      </c>
      <c r="BK24" s="135">
        <f>BK23/Summary!$F$6</f>
        <v>596.91310849056606</v>
      </c>
      <c r="BM24" s="145">
        <f t="shared" si="83"/>
        <v>6</v>
      </c>
      <c r="BN24" s="139"/>
      <c r="BO24" s="139"/>
      <c r="BP24" s="139"/>
      <c r="BQ24" s="139"/>
      <c r="BR24" s="139"/>
      <c r="BS24" s="139">
        <f>BG33+BG39</f>
        <v>7654124.7985107256</v>
      </c>
      <c r="BT24" s="139">
        <f>'Property-Level CF'!BG39</f>
        <v>495353.2589745454</v>
      </c>
      <c r="BU24" s="139">
        <f>BT24</f>
        <v>495353.2589745454</v>
      </c>
      <c r="BV24" s="139">
        <f>BU24</f>
        <v>495353.2589745454</v>
      </c>
      <c r="BW24" s="140">
        <f>BV24</f>
        <v>495353.2589745454</v>
      </c>
      <c r="BY24" s="125" t="s">
        <v>149</v>
      </c>
      <c r="BZ24" s="259"/>
      <c r="CA24" s="134">
        <f>CA23/Summary!$F$7</f>
        <v>597.47641072820738</v>
      </c>
      <c r="CB24" s="134">
        <f>CB23/Summary!$F$7</f>
        <v>602.20898377855133</v>
      </c>
      <c r="CC24" s="134">
        <f>CC23/Summary!$F$7</f>
        <v>612.66422546539491</v>
      </c>
      <c r="CD24" s="134">
        <f>CD23/Summary!$F$7</f>
        <v>623.40181680859473</v>
      </c>
      <c r="CE24" s="134">
        <f>CE23/Summary!$F$7</f>
        <v>634.27752346357261</v>
      </c>
      <c r="CF24" s="134">
        <f>CF23/Summary!$F$7</f>
        <v>645.37220407804682</v>
      </c>
      <c r="CG24" s="134">
        <f>CG23/Summary!$F$7</f>
        <v>656.59057656984112</v>
      </c>
      <c r="CH24" s="134">
        <f>CH23/Summary!$F$7</f>
        <v>667.98902345547265</v>
      </c>
      <c r="CI24" s="134">
        <f>CI23/Summary!$F$7</f>
        <v>679.88748273564249</v>
      </c>
      <c r="CJ24" s="135">
        <f>CJ23/Summary!$F$7</f>
        <v>692.58622409133625</v>
      </c>
      <c r="CL24" s="145">
        <f t="shared" si="85"/>
        <v>6</v>
      </c>
      <c r="CM24" s="139"/>
      <c r="CN24" s="139"/>
      <c r="CO24" s="139"/>
      <c r="CP24" s="139"/>
      <c r="CQ24" s="139"/>
      <c r="CR24" s="139">
        <f>CF33+CF39</f>
        <v>11145388.849484999</v>
      </c>
      <c r="CS24" s="139">
        <f>'Property-Level CF'!CF39</f>
        <v>713989.24594032764</v>
      </c>
      <c r="CT24" s="139">
        <f>CS24</f>
        <v>713989.24594032764</v>
      </c>
      <c r="CU24" s="139">
        <f>CT24</f>
        <v>713989.24594032764</v>
      </c>
      <c r="CV24" s="140">
        <f>CU24</f>
        <v>713989.24594032764</v>
      </c>
      <c r="CX24" s="125" t="s">
        <v>149</v>
      </c>
      <c r="CY24" s="259"/>
      <c r="CZ24" s="134">
        <f>CZ23/Summary!$F$8</f>
        <v>417.79710265925775</v>
      </c>
      <c r="DA24" s="134">
        <f>DA23/Summary!$F$8</f>
        <v>422.17418434678126</v>
      </c>
      <c r="DB24" s="134">
        <f>DB23/Summary!$F$8</f>
        <v>430.61749797704755</v>
      </c>
      <c r="DC24" s="134">
        <f>DC23/Summary!$F$8</f>
        <v>439.22945113769356</v>
      </c>
      <c r="DD24" s="134">
        <f>DD23/Summary!$F$8</f>
        <v>448.01429524545125</v>
      </c>
      <c r="DE24" s="134">
        <f>DE23/Summary!$F$8</f>
        <v>456.9748645781425</v>
      </c>
      <c r="DF24" s="134">
        <f>DF23/Summary!$F$8</f>
        <v>466.1139934135885</v>
      </c>
      <c r="DG24" s="134">
        <f>DG23/Summary!$F$8</f>
        <v>475.43664173797708</v>
      </c>
      <c r="DH24" s="134">
        <f>DH23/Summary!$F$8</f>
        <v>484.94493525967431</v>
      </c>
      <c r="DI24" s="135">
        <f>DI23/Summary!$F$8</f>
        <v>494.64383396486778</v>
      </c>
      <c r="DK24" s="145">
        <f t="shared" si="87"/>
        <v>6</v>
      </c>
      <c r="DL24" s="139"/>
      <c r="DM24" s="139"/>
      <c r="DN24" s="139"/>
      <c r="DO24" s="139"/>
      <c r="DP24" s="139"/>
      <c r="DQ24" s="139">
        <f>DE33+DE39</f>
        <v>4882241.2848186409</v>
      </c>
      <c r="DR24" s="139">
        <f>'Property-Level CF'!DE39</f>
        <v>318210.51312645857</v>
      </c>
      <c r="DS24" s="139">
        <f>DR24</f>
        <v>318210.51312645857</v>
      </c>
      <c r="DT24" s="139">
        <f>DS24</f>
        <v>318210.51312645857</v>
      </c>
      <c r="DU24" s="140">
        <f>DT24</f>
        <v>318210.51312645857</v>
      </c>
      <c r="DW24" s="125" t="s">
        <v>149</v>
      </c>
      <c r="DX24" s="259"/>
      <c r="DY24" s="134">
        <f>DY23/Summary!$F$9</f>
        <v>609.8947440927052</v>
      </c>
      <c r="DZ24" s="134">
        <f>DZ23/Summary!$F$9</f>
        <v>616.33093296419474</v>
      </c>
      <c r="EA24" s="134">
        <f>EA23/Summary!$F$9</f>
        <v>628.57665669132587</v>
      </c>
      <c r="EB24" s="134">
        <f>EB23/Summary!$F$9</f>
        <v>641.15591077653562</v>
      </c>
      <c r="EC24" s="134">
        <f>EC23/Summary!$F$9</f>
        <v>653.98807669404505</v>
      </c>
      <c r="ED24" s="134">
        <f>ED23/Summary!$F$9</f>
        <v>667.09757034023312</v>
      </c>
      <c r="EE24" s="134">
        <f>EE23/Summary!$F$9</f>
        <v>680.37797526107192</v>
      </c>
      <c r="EF24" s="134">
        <f>EF23/Summary!$F$9</f>
        <v>694.07437177492852</v>
      </c>
      <c r="EG24" s="134">
        <f>EG23/Summary!$F$9</f>
        <v>707.88455557945554</v>
      </c>
      <c r="EH24" s="135">
        <f>EH23/Summary!$F$9</f>
        <v>722.02873041935129</v>
      </c>
      <c r="EJ24" s="145">
        <f t="shared" si="89"/>
        <v>6</v>
      </c>
      <c r="EK24" s="139"/>
      <c r="EL24" s="139"/>
      <c r="EM24" s="139"/>
      <c r="EN24" s="139"/>
      <c r="EO24" s="139"/>
      <c r="EP24" s="139">
        <f>ED33+ED39</f>
        <v>11560401.165038688</v>
      </c>
      <c r="EQ24" s="139">
        <f>'Property-Level CF'!ED39</f>
        <v>678989.35059703281</v>
      </c>
      <c r="ER24" s="139">
        <f>EQ24</f>
        <v>678989.35059703281</v>
      </c>
      <c r="ES24" s="139">
        <f>ER24</f>
        <v>678989.35059703281</v>
      </c>
      <c r="ET24" s="140">
        <f>ES24</f>
        <v>678989.35059703281</v>
      </c>
    </row>
    <row r="25" spans="2:150" x14ac:dyDescent="0.3">
      <c r="B25" s="125"/>
      <c r="C25" s="259"/>
      <c r="D25" s="146"/>
      <c r="E25" s="146"/>
      <c r="F25" s="146"/>
      <c r="G25" s="146"/>
      <c r="H25" s="146"/>
      <c r="I25" s="146"/>
      <c r="J25" s="146"/>
      <c r="K25" s="146"/>
      <c r="L25" s="146"/>
      <c r="M25" s="147"/>
      <c r="O25" s="145">
        <f t="shared" si="79"/>
        <v>7</v>
      </c>
      <c r="P25" s="139"/>
      <c r="Q25" s="139"/>
      <c r="R25" s="139"/>
      <c r="S25" s="139"/>
      <c r="T25" s="139"/>
      <c r="U25" s="139"/>
      <c r="V25" s="139">
        <f>J33+J39</f>
        <v>4516320.9737203205</v>
      </c>
      <c r="W25" s="139">
        <f>'Property-Level CF'!J39</f>
        <v>-26798.734354711167</v>
      </c>
      <c r="X25" s="139">
        <f>W25</f>
        <v>-26798.734354711167</v>
      </c>
      <c r="Y25" s="140">
        <f>X25</f>
        <v>-26798.734354711167</v>
      </c>
      <c r="AA25" s="125"/>
      <c r="AB25" s="259"/>
      <c r="AC25" s="146"/>
      <c r="AD25" s="146"/>
      <c r="AE25" s="146"/>
      <c r="AF25" s="146"/>
      <c r="AG25" s="146"/>
      <c r="AH25" s="146"/>
      <c r="AI25" s="146"/>
      <c r="AJ25" s="146"/>
      <c r="AK25" s="146"/>
      <c r="AL25" s="147"/>
      <c r="AN25" s="145">
        <f t="shared" si="81"/>
        <v>7</v>
      </c>
      <c r="AO25" s="139"/>
      <c r="AP25" s="139"/>
      <c r="AQ25" s="139"/>
      <c r="AR25" s="139"/>
      <c r="AS25" s="139"/>
      <c r="AT25" s="139"/>
      <c r="AU25" s="139">
        <f>AI33+AI39</f>
        <v>7464043.6409098795</v>
      </c>
      <c r="AV25" s="139">
        <f>'Property-Level CF'!AI39</f>
        <v>463100.6322735037</v>
      </c>
      <c r="AW25" s="139">
        <f>AV25</f>
        <v>463100.6322735037</v>
      </c>
      <c r="AX25" s="140">
        <f>AW25</f>
        <v>463100.6322735037</v>
      </c>
      <c r="AZ25" s="125"/>
      <c r="BA25" s="259"/>
      <c r="BB25" s="146"/>
      <c r="BC25" s="146"/>
      <c r="BD25" s="146"/>
      <c r="BE25" s="146"/>
      <c r="BF25" s="146"/>
      <c r="BG25" s="146"/>
      <c r="BH25" s="146"/>
      <c r="BI25" s="146"/>
      <c r="BJ25" s="146"/>
      <c r="BK25" s="147"/>
      <c r="BM25" s="145">
        <f t="shared" si="83"/>
        <v>7</v>
      </c>
      <c r="BN25" s="139"/>
      <c r="BO25" s="139"/>
      <c r="BP25" s="139"/>
      <c r="BQ25" s="139"/>
      <c r="BR25" s="139"/>
      <c r="BS25" s="139"/>
      <c r="BT25" s="139">
        <f>BH33+BH39</f>
        <v>8752388.0437937435</v>
      </c>
      <c r="BU25" s="139">
        <f>'Property-Level CF'!BH39</f>
        <v>552729.2589745454</v>
      </c>
      <c r="BV25" s="139">
        <f>BU25</f>
        <v>552729.2589745454</v>
      </c>
      <c r="BW25" s="140">
        <f>BV25</f>
        <v>552729.2589745454</v>
      </c>
      <c r="BY25" s="125"/>
      <c r="BZ25" s="259"/>
      <c r="CA25" s="132"/>
      <c r="CB25" s="132"/>
      <c r="CC25" s="132"/>
      <c r="CD25" s="132"/>
      <c r="CE25" s="132"/>
      <c r="CF25" s="132"/>
      <c r="CG25" s="132"/>
      <c r="CH25" s="132"/>
      <c r="CI25" s="132"/>
      <c r="CJ25" s="133"/>
      <c r="CL25" s="145">
        <f t="shared" si="85"/>
        <v>7</v>
      </c>
      <c r="CM25" s="139"/>
      <c r="CN25" s="139"/>
      <c r="CO25" s="139"/>
      <c r="CP25" s="139"/>
      <c r="CQ25" s="139"/>
      <c r="CR25" s="139"/>
      <c r="CS25" s="139">
        <f>CG33+CG39</f>
        <v>11655700.759503003</v>
      </c>
      <c r="CT25" s="139">
        <f>'Property-Level CF'!CG39</f>
        <v>739656.24594032764</v>
      </c>
      <c r="CU25" s="139">
        <f>CT25</f>
        <v>739656.24594032764</v>
      </c>
      <c r="CV25" s="140">
        <f>CU25</f>
        <v>739656.24594032764</v>
      </c>
      <c r="CX25" s="125"/>
      <c r="CY25" s="259"/>
      <c r="CZ25" s="146"/>
      <c r="DA25" s="146"/>
      <c r="DB25" s="146"/>
      <c r="DC25" s="146"/>
      <c r="DD25" s="146"/>
      <c r="DE25" s="146"/>
      <c r="DF25" s="146"/>
      <c r="DG25" s="146"/>
      <c r="DH25" s="146"/>
      <c r="DI25" s="147"/>
      <c r="DK25" s="145">
        <f t="shared" si="87"/>
        <v>7</v>
      </c>
      <c r="DL25" s="139"/>
      <c r="DM25" s="139"/>
      <c r="DN25" s="139"/>
      <c r="DO25" s="139"/>
      <c r="DP25" s="139"/>
      <c r="DQ25" s="139"/>
      <c r="DR25" s="139">
        <f>DF33+DF39</f>
        <v>5134127.503865554</v>
      </c>
      <c r="DS25" s="139">
        <f>'Property-Level CF'!DF39</f>
        <v>331108.51312645857</v>
      </c>
      <c r="DT25" s="139">
        <f>DS25</f>
        <v>331108.51312645857</v>
      </c>
      <c r="DU25" s="140">
        <f>DT25</f>
        <v>331108.51312645857</v>
      </c>
      <c r="DW25" s="125"/>
      <c r="DX25" s="259"/>
      <c r="DY25" s="146"/>
      <c r="DZ25" s="146"/>
      <c r="EA25" s="146"/>
      <c r="EB25" s="146"/>
      <c r="EC25" s="146"/>
      <c r="ED25" s="146"/>
      <c r="EE25" s="146"/>
      <c r="EF25" s="146"/>
      <c r="EG25" s="146"/>
      <c r="EH25" s="147"/>
      <c r="EJ25" s="145">
        <f t="shared" si="89"/>
        <v>7</v>
      </c>
      <c r="EK25" s="139"/>
      <c r="EL25" s="139"/>
      <c r="EM25" s="139"/>
      <c r="EN25" s="139"/>
      <c r="EO25" s="139"/>
      <c r="EP25" s="139"/>
      <c r="EQ25" s="139">
        <f>EE33+EE39</f>
        <v>12156395.417992948</v>
      </c>
      <c r="ER25" s="139">
        <f>'Property-Level CF'!EE39</f>
        <v>707817.35059703281</v>
      </c>
      <c r="ES25" s="139">
        <f>ER25</f>
        <v>707817.35059703281</v>
      </c>
      <c r="ET25" s="140">
        <f>ES25</f>
        <v>707817.35059703281</v>
      </c>
    </row>
    <row r="26" spans="2:150" x14ac:dyDescent="0.3">
      <c r="B26" s="125" t="s">
        <v>112</v>
      </c>
      <c r="C26" s="259"/>
      <c r="D26" s="130">
        <f>'Property-Level CF'!P3</f>
        <v>1.8207065017624702E-2</v>
      </c>
      <c r="E26" s="130">
        <f>'Property-Level CF'!Q3</f>
        <v>4.1901141113831697E-2</v>
      </c>
      <c r="F26" s="130">
        <f>'Property-Level CF'!R3</f>
        <v>4.9895375606495485E-2</v>
      </c>
      <c r="G26" s="130">
        <f>'Property-Level CF'!S3</f>
        <v>4.5662949409928544E-2</v>
      </c>
      <c r="H26" s="130">
        <f>'Property-Level CF'!T3</f>
        <v>5.7865900656673297E-2</v>
      </c>
      <c r="I26" s="130">
        <f>'Property-Level CF'!U3</f>
        <v>4.8907337349973545E-2</v>
      </c>
      <c r="J26" s="130">
        <f>'Property-Level CF'!V3</f>
        <v>4.8552772114268006E-2</v>
      </c>
      <c r="K26" s="130">
        <f>'Property-Level CF'!W3</f>
        <v>5.5276830697952972E-2</v>
      </c>
      <c r="L26" s="130">
        <f>'Property-Level CF'!X3</f>
        <v>5.2497170507007196E-2</v>
      </c>
      <c r="M26" s="131">
        <f>'Property-Level CF'!Y3</f>
        <v>5.6123945363821814E-2</v>
      </c>
      <c r="O26" s="145">
        <f t="shared" si="79"/>
        <v>8</v>
      </c>
      <c r="P26" s="139"/>
      <c r="Q26" s="139"/>
      <c r="R26" s="139"/>
      <c r="S26" s="139"/>
      <c r="T26" s="139"/>
      <c r="U26" s="139"/>
      <c r="V26" s="139"/>
      <c r="W26" s="139">
        <f>K33+K39</f>
        <v>5682561.5233614901</v>
      </c>
      <c r="X26" s="139">
        <f>'Property-Level CF'!K39</f>
        <v>462147.26564528886</v>
      </c>
      <c r="Y26" s="140">
        <f>X26</f>
        <v>462147.26564528886</v>
      </c>
      <c r="AA26" s="125" t="s">
        <v>112</v>
      </c>
      <c r="AB26" s="259"/>
      <c r="AC26" s="130">
        <f>'Property-Level CF'!AO3</f>
        <v>-1.2527015635895866E-3</v>
      </c>
      <c r="AD26" s="130">
        <f>'Property-Level CF'!AP3</f>
        <v>7.9366158813134469E-3</v>
      </c>
      <c r="AE26" s="130">
        <f>'Property-Level CF'!AQ3</f>
        <v>0.11035436838414592</v>
      </c>
      <c r="AF26" s="130">
        <f>'Property-Level CF'!AR3</f>
        <v>0.10336454732213807</v>
      </c>
      <c r="AG26" s="130">
        <f>'Property-Level CF'!AS3</f>
        <v>9.889782735787378E-2</v>
      </c>
      <c r="AH26" s="130">
        <f>'Property-Level CF'!AT3</f>
        <v>9.3966435174564378E-2</v>
      </c>
      <c r="AI26" s="130">
        <f>'Property-Level CF'!AU3</f>
        <v>9.0460676714636756E-2</v>
      </c>
      <c r="AJ26" s="130">
        <f>'Property-Level CF'!AV3</f>
        <v>8.7849783019191996E-2</v>
      </c>
      <c r="AK26" s="130">
        <f>'Property-Level CF'!AW3</f>
        <v>8.4182874484285408E-2</v>
      </c>
      <c r="AL26" s="131">
        <f>'Property-Level CF'!AX3</f>
        <v>8.1037425176233135E-2</v>
      </c>
      <c r="AN26" s="145">
        <f t="shared" si="81"/>
        <v>8</v>
      </c>
      <c r="AO26" s="139"/>
      <c r="AP26" s="139"/>
      <c r="AQ26" s="139"/>
      <c r="AR26" s="139"/>
      <c r="AS26" s="139"/>
      <c r="AT26" s="139"/>
      <c r="AU26" s="139"/>
      <c r="AV26" s="139">
        <f>AJ33+AJ39</f>
        <v>7621807.9616645956</v>
      </c>
      <c r="AW26" s="139">
        <f>'Property-Level CF'!AJ39</f>
        <v>471342.6322735037</v>
      </c>
      <c r="AX26" s="140">
        <f>AW26</f>
        <v>471342.6322735037</v>
      </c>
      <c r="AZ26" s="125" t="s">
        <v>112</v>
      </c>
      <c r="BA26" s="259"/>
      <c r="BB26" s="130">
        <f>'Property-Level CF'!BN3</f>
        <v>5.8039353363448232E-3</v>
      </c>
      <c r="BC26" s="130">
        <f>'Property-Level CF'!BO3</f>
        <v>6.1650281899852333E-2</v>
      </c>
      <c r="BD26" s="130">
        <f>'Property-Level CF'!BP3</f>
        <v>9.3123559974656933E-2</v>
      </c>
      <c r="BE26" s="130">
        <f>'Property-Level CF'!BQ3</f>
        <v>8.5985008742313962E-2</v>
      </c>
      <c r="BF26" s="130">
        <f>'Property-Level CF'!BR3</f>
        <v>8.17195939336266E-2</v>
      </c>
      <c r="BG26" s="130">
        <f>'Property-Level CF'!BS3</f>
        <v>7.8954768856476898E-2</v>
      </c>
      <c r="BH26" s="130">
        <f>'Property-Level CF'!BT3</f>
        <v>8.4043198733977809E-2</v>
      </c>
      <c r="BI26" s="130">
        <f>'Property-Level CF'!BU3</f>
        <v>8.2970210374254671E-2</v>
      </c>
      <c r="BJ26" s="130">
        <f>'Property-Level CF'!BV3</f>
        <v>8.1088493995786548E-2</v>
      </c>
      <c r="BK26" s="131">
        <f>'Property-Level CF'!BW3</f>
        <v>7.9510417684231394E-2</v>
      </c>
      <c r="BM26" s="145">
        <f t="shared" si="83"/>
        <v>8</v>
      </c>
      <c r="BN26" s="139"/>
      <c r="BO26" s="139"/>
      <c r="BP26" s="139"/>
      <c r="BQ26" s="139"/>
      <c r="BR26" s="139"/>
      <c r="BS26" s="139"/>
      <c r="BT26" s="139"/>
      <c r="BU26" s="139">
        <f>BI33+BI39</f>
        <v>9089852.8551144991</v>
      </c>
      <c r="BV26" s="139">
        <f>'Property-Level CF'!BI39</f>
        <v>570359.2589745454</v>
      </c>
      <c r="BW26" s="140">
        <f>BV26</f>
        <v>570359.2589745454</v>
      </c>
      <c r="BY26" s="125" t="s">
        <v>112</v>
      </c>
      <c r="BZ26" s="259"/>
      <c r="CA26" s="130">
        <f>'Property-Level CF'!CM3</f>
        <v>1.1141340037680969E-2</v>
      </c>
      <c r="CB26" s="130">
        <f>'Property-Level CF'!CN3</f>
        <v>3.489601660760222E-2</v>
      </c>
      <c r="CC26" s="130">
        <f>'Property-Level CF'!CO3</f>
        <v>4.6020665080465539E-2</v>
      </c>
      <c r="CD26" s="130">
        <f>'Property-Level CF'!CP3</f>
        <v>5.1663947258433263E-2</v>
      </c>
      <c r="CE26" s="130">
        <f>'Property-Level CF'!CQ3</f>
        <v>5.5046562106691344E-2</v>
      </c>
      <c r="CF26" s="130">
        <f>'Property-Level CF'!CR3</f>
        <v>5.7312168580576195E-2</v>
      </c>
      <c r="CG26" s="130">
        <f>'Property-Level CF'!CS3</f>
        <v>5.8917248501647146E-2</v>
      </c>
      <c r="CH26" s="130">
        <f>'Property-Level CF'!CT3</f>
        <v>6.0118142411593523E-2</v>
      </c>
      <c r="CI26" s="130">
        <f>'Property-Level CF'!CU3</f>
        <v>6.1093929702962235E-2</v>
      </c>
      <c r="CJ26" s="131">
        <f>'Property-Level CF'!CV3</f>
        <v>6.1944999937030065E-2</v>
      </c>
      <c r="CL26" s="145">
        <f t="shared" si="85"/>
        <v>8</v>
      </c>
      <c r="CM26" s="139"/>
      <c r="CN26" s="139"/>
      <c r="CO26" s="139"/>
      <c r="CP26" s="139"/>
      <c r="CQ26" s="139"/>
      <c r="CR26" s="139"/>
      <c r="CS26" s="139"/>
      <c r="CT26" s="139">
        <f>CH33+CH39</f>
        <v>12174204.063409172</v>
      </c>
      <c r="CU26" s="139">
        <f>'Property-Level CF'!CH39</f>
        <v>765735.24594032764</v>
      </c>
      <c r="CV26" s="140">
        <f>CU26</f>
        <v>765735.24594032764</v>
      </c>
      <c r="CX26" s="125" t="s">
        <v>112</v>
      </c>
      <c r="CY26" s="259"/>
      <c r="CZ26" s="130">
        <f>'Property-Level CF'!DL3</f>
        <v>1.1756165517961215E-2</v>
      </c>
      <c r="DA26" s="130">
        <f>'Property-Level CF'!DM3</f>
        <v>3.6804406725170491E-2</v>
      </c>
      <c r="DB26" s="130">
        <f>'Property-Level CF'!DN3</f>
        <v>4.8400461093587754E-2</v>
      </c>
      <c r="DC26" s="130">
        <f>'Property-Level CF'!DO3</f>
        <v>5.4245237797410528E-2</v>
      </c>
      <c r="DD26" s="130">
        <f>'Property-Level CF'!DP3</f>
        <v>5.7766297270707812E-2</v>
      </c>
      <c r="DE26" s="130">
        <f>'Property-Level CF'!DQ3</f>
        <v>6.0118578209727991E-2</v>
      </c>
      <c r="DF26" s="130">
        <f>'Property-Level CF'!DR3</f>
        <v>6.1800261490941866E-2</v>
      </c>
      <c r="DG26" s="130">
        <f>'Property-Level CF'!DS3</f>
        <v>6.3061997861109775E-2</v>
      </c>
      <c r="DH26" s="130">
        <f>'Property-Level CF'!DT3</f>
        <v>6.4042848329183943E-2</v>
      </c>
      <c r="DI26" s="131">
        <f>'Property-Level CF'!DU3</f>
        <v>6.4826947827157477E-2</v>
      </c>
      <c r="DK26" s="145">
        <f t="shared" si="87"/>
        <v>8</v>
      </c>
      <c r="DL26" s="139"/>
      <c r="DM26" s="139"/>
      <c r="DN26" s="139"/>
      <c r="DO26" s="139"/>
      <c r="DP26" s="139"/>
      <c r="DQ26" s="139"/>
      <c r="DR26" s="139"/>
      <c r="DS26" s="139">
        <f>DG33+DG39</f>
        <v>5391071.7575483145</v>
      </c>
      <c r="DT26" s="139">
        <f>'Property-Level CF'!DG39</f>
        <v>344265.51312645857</v>
      </c>
      <c r="DU26" s="140">
        <f>DT26</f>
        <v>344265.51312645857</v>
      </c>
      <c r="DW26" s="125" t="s">
        <v>112</v>
      </c>
      <c r="DX26" s="259"/>
      <c r="DY26" s="130">
        <f>'Property-Level CF'!EK3</f>
        <v>9.1266661827555939E-3</v>
      </c>
      <c r="DZ26" s="130">
        <f>'Property-Level CF'!EL3</f>
        <v>3.4165978689426835E-2</v>
      </c>
      <c r="EA26" s="130">
        <f>'Property-Level CF'!EM3</f>
        <v>4.5690436440505078E-2</v>
      </c>
      <c r="EB26" s="130">
        <f>'Property-Level CF'!EN3</f>
        <v>5.1532586804782232E-2</v>
      </c>
      <c r="EC26" s="130">
        <f>'Property-Level CF'!EO3</f>
        <v>5.5051513330927504E-2</v>
      </c>
      <c r="ED26" s="130">
        <f>'Property-Level CF'!EP3</f>
        <v>5.7406681675341575E-2</v>
      </c>
      <c r="EE26" s="130">
        <f>'Property-Level CF'!EQ3</f>
        <v>5.907259631746542E-2</v>
      </c>
      <c r="EF26" s="130">
        <f>'Property-Level CF'!ER3</f>
        <v>6.0346406603180913E-2</v>
      </c>
      <c r="EG26" s="130">
        <f>'Property-Level CF'!ES3</f>
        <v>6.1314430866765912E-2</v>
      </c>
      <c r="EH26" s="131">
        <f>'Property-Level CF'!ET3</f>
        <v>6.2094975509403572E-2</v>
      </c>
      <c r="EJ26" s="145">
        <f t="shared" si="89"/>
        <v>8</v>
      </c>
      <c r="EK26" s="139"/>
      <c r="EL26" s="139"/>
      <c r="EM26" s="139"/>
      <c r="EN26" s="139"/>
      <c r="EO26" s="139"/>
      <c r="EP26" s="139"/>
      <c r="EQ26" s="139"/>
      <c r="ER26" s="139">
        <f>EF33+EF39</f>
        <v>12771058.423910225</v>
      </c>
      <c r="ES26" s="139">
        <f>'Property-Level CF'!EF39</f>
        <v>737548.35059703281</v>
      </c>
      <c r="ET26" s="140">
        <f>ES26</f>
        <v>737548.35059703281</v>
      </c>
    </row>
    <row r="27" spans="2:150" x14ac:dyDescent="0.3">
      <c r="B27" s="125" t="s">
        <v>151</v>
      </c>
      <c r="C27" s="259"/>
      <c r="D27" s="136">
        <f>(SUM($D$14:D14)+D23)/-'Property-Level CF'!P4</f>
        <v>1.0182070650176247</v>
      </c>
      <c r="E27" s="136">
        <f>(SUM($D$14:E14)+E23)/-'Property-Level CF'!Q4</f>
        <v>1.08318189712085</v>
      </c>
      <c r="F27" s="136">
        <f>(SUM($D$14:F14)+F23)/-'Property-Level CF'!R4</f>
        <v>1.1487598258049661</v>
      </c>
      <c r="G27" s="136">
        <f>(SUM($D$14:G14)+G23)/-'Property-Level CF'!S4</f>
        <v>1.179837189190992</v>
      </c>
      <c r="H27" s="136">
        <f>(SUM($D$14:H14)+H23)/-'Property-Level CF'!T4</f>
        <v>1.2919291137062874</v>
      </c>
      <c r="I27" s="136">
        <f>(SUM($D$14:I14)+I23)/-'Property-Level CF'!U4</f>
        <v>1.2900242721884734</v>
      </c>
      <c r="J27" s="136">
        <f>(SUM($D$14:J14)+J23)/-'Property-Level CF'!V4</f>
        <v>1.3346049904362982</v>
      </c>
      <c r="K27" s="136">
        <f>(SUM($D$14:K14)+K23)/-'Property-Level CF'!W4</f>
        <v>1.4470996759932504</v>
      </c>
      <c r="L27" s="136">
        <f>(SUM($D$14:L14)+L23)/-'Property-Level CF'!X4</f>
        <v>1.4731810197793418</v>
      </c>
      <c r="M27" s="137">
        <f>(SUM($D$14:M14)+M23)/-'Property-Level CF'!Y4</f>
        <v>1.5744084657238435</v>
      </c>
      <c r="O27" s="145">
        <f t="shared" si="79"/>
        <v>9</v>
      </c>
      <c r="P27" s="139"/>
      <c r="Q27" s="139"/>
      <c r="R27" s="139"/>
      <c r="S27" s="139"/>
      <c r="T27" s="139"/>
      <c r="U27" s="139"/>
      <c r="V27" s="139"/>
      <c r="W27" s="139"/>
      <c r="X27" s="139">
        <f>L33+L39</f>
        <v>5200000.5446841391</v>
      </c>
      <c r="Y27" s="140">
        <f>'Property-Level CF'!L39</f>
        <v>82366.265645288833</v>
      </c>
      <c r="AA27" s="125" t="s">
        <v>151</v>
      </c>
      <c r="AB27" s="259"/>
      <c r="AC27" s="136">
        <f>(SUM($AC$14:AC14)+AC23)/-'Property-Level CF'!AO4</f>
        <v>0.99874729843641019</v>
      </c>
      <c r="AD27" s="136">
        <f>(SUM($AC$14:AD14)+AD23)/-'Property-Level CF'!AP4</f>
        <v>1.0156406041339678</v>
      </c>
      <c r="AE27" s="136">
        <f>(SUM($AC$14:AE14)+AE23)/-'Property-Level CF'!AQ4</f>
        <v>1.3547502046930593</v>
      </c>
      <c r="AF27" s="136">
        <f>(SUM($AC$14:AF14)+AF23)/-'Property-Level CF'!AR4</f>
        <v>1.451712973192794</v>
      </c>
      <c r="AG27" s="136">
        <f>(SUM($AC$14:AG14)+AG23)/-'Property-Level CF'!AS4</f>
        <v>1.54892793643047</v>
      </c>
      <c r="AH27" s="136">
        <f>(SUM($AC$14:AH14)+AH23)/-'Property-Level CF'!AT4</f>
        <v>1.6316445272162279</v>
      </c>
      <c r="AI27" s="136">
        <f>(SUM($AC$14:AI14)+AI23)/-'Property-Level CF'!AU4</f>
        <v>1.7150574985204041</v>
      </c>
      <c r="AJ27" s="136">
        <f>(SUM($AC$14:AJ14)+AJ23)/-'Property-Level CF'!AV4</f>
        <v>1.799298479336354</v>
      </c>
      <c r="AK27" s="136">
        <f>(SUM($AC$14:AK14)+AK23)/-'Property-Level CF'!AW4</f>
        <v>1.8607577471908858</v>
      </c>
      <c r="AL27" s="137">
        <f>(SUM($AC$14:AL14)+AL23)/-'Property-Level CF'!AX4</f>
        <v>1.9185553938283297</v>
      </c>
      <c r="AN27" s="145">
        <f t="shared" si="81"/>
        <v>9</v>
      </c>
      <c r="AO27" s="139"/>
      <c r="AP27" s="139"/>
      <c r="AQ27" s="139"/>
      <c r="AR27" s="139"/>
      <c r="AS27" s="139"/>
      <c r="AT27" s="139"/>
      <c r="AU27" s="139"/>
      <c r="AV27" s="139"/>
      <c r="AW27" s="139">
        <f>AK33+AK39</f>
        <v>7521600.7446834641</v>
      </c>
      <c r="AX27" s="140">
        <f>'Property-Level CF'!AK39</f>
        <v>366291.6322735037</v>
      </c>
      <c r="AZ27" s="125" t="s">
        <v>151</v>
      </c>
      <c r="BA27" s="259"/>
      <c r="BB27" s="136">
        <f>(SUM($BB$14:BB14)+BB23)/-'Property-Level CF'!BN4</f>
        <v>1.0058039353363448</v>
      </c>
      <c r="BC27" s="136">
        <f>(SUM($BB$14:BC14)+BC23)/-'Property-Level CF'!BO4</f>
        <v>1.1243699709552775</v>
      </c>
      <c r="BD27" s="136">
        <f>(SUM($BB$14:BD14)+BD23)/-'Property-Level CF'!BP4</f>
        <v>1.2923981285854238</v>
      </c>
      <c r="BE27" s="136">
        <f>(SUM($BB$14:BE14)+BE23)/-'Property-Level CF'!BQ4</f>
        <v>1.3632487528807216</v>
      </c>
      <c r="BF27" s="136">
        <f>(SUM($BB$14:BF14)+BF23)/-'Property-Level CF'!BR4</f>
        <v>1.4345031879253745</v>
      </c>
      <c r="BG27" s="136">
        <f>(SUM($BB$14:BG14)+BG23)/-'Property-Level CF'!BS4</f>
        <v>1.5067605528382007</v>
      </c>
      <c r="BH27" s="136">
        <f>(SUM($BB$14:BH14)+BH23)/-'Property-Level CF'!BT4</f>
        <v>1.6476366487139518</v>
      </c>
      <c r="BI27" s="136">
        <f>(SUM($BB$14:BI14)+BI23)/-'Property-Level CF'!BU4</f>
        <v>1.7385136558242811</v>
      </c>
      <c r="BJ27" s="136">
        <f>(SUM($BB$14:BJ14)+BJ23)/-'Property-Level CF'!BV4</f>
        <v>1.8164298859435586</v>
      </c>
      <c r="BK27" s="137">
        <f>(SUM($BB$14:BK14)+BK23)/-'Property-Level CF'!BW4</f>
        <v>1.8935532523289929</v>
      </c>
      <c r="BM27" s="145">
        <f t="shared" si="83"/>
        <v>9</v>
      </c>
      <c r="BN27" s="139"/>
      <c r="BO27" s="139"/>
      <c r="BP27" s="139"/>
      <c r="BQ27" s="139"/>
      <c r="BR27" s="139"/>
      <c r="BS27" s="139"/>
      <c r="BT27" s="139"/>
      <c r="BU27" s="139"/>
      <c r="BV27" s="139">
        <f>BJ33+BJ39</f>
        <v>9227346.3173786495</v>
      </c>
      <c r="BW27" s="140">
        <f>'Property-Level CF'!BJ39</f>
        <v>577542.2589745454</v>
      </c>
      <c r="BY27" s="125" t="s">
        <v>151</v>
      </c>
      <c r="BZ27" s="259"/>
      <c r="CA27" s="136">
        <f>(SUM($CA$14:CA14)+CA23)/-'Property-Level CF'!CM4</f>
        <v>1.011141340037681</v>
      </c>
      <c r="CB27" s="136">
        <f>(SUM($CA$14:CB14)+CB23)/-'Property-Level CF'!CN4</f>
        <v>1.0692774801639042</v>
      </c>
      <c r="CC27" s="136">
        <f>(SUM($CA$14:CC14)+CC23)/-'Property-Level CF'!CO4</f>
        <v>1.1375140055600865</v>
      </c>
      <c r="CD27" s="136">
        <f>(SUM($CA$14:CD14)+CD23)/-'Property-Level CF'!CP4</f>
        <v>1.2071200459316926</v>
      </c>
      <c r="CE27" s="136">
        <f>(SUM($CA$14:CE14)+CE23)/-'Property-Level CF'!CQ4</f>
        <v>1.2778752607124586</v>
      </c>
      <c r="CF27" s="136">
        <f>(SUM($CA$14:CF14)+CF23)/-'Property-Level CF'!CR4</f>
        <v>1.3499284357945782</v>
      </c>
      <c r="CG27" s="136">
        <f>(SUM($CA$14:CG14)+CG23)/-'Property-Level CF'!CS4</f>
        <v>1.4231367786744431</v>
      </c>
      <c r="CH27" s="136">
        <f>(SUM($CA$14:CH14)+CH23)/-'Property-Level CF'!CT4</f>
        <v>1.4976063712614707</v>
      </c>
      <c r="CI27" s="136">
        <f>(SUM($CA$14:CI14)+CI23)/-'Property-Level CF'!CU4</f>
        <v>1.5738946945486421</v>
      </c>
      <c r="CJ27" s="137">
        <f>(SUM($CA$14:CJ14)+CJ23)/-'Property-Level CF'!CV4</f>
        <v>1.6525531691683151</v>
      </c>
      <c r="CL27" s="145">
        <f t="shared" si="85"/>
        <v>9</v>
      </c>
      <c r="CM27" s="139"/>
      <c r="CN27" s="139"/>
      <c r="CO27" s="139"/>
      <c r="CP27" s="139"/>
      <c r="CQ27" s="139"/>
      <c r="CR27" s="139"/>
      <c r="CS27" s="139"/>
      <c r="CT27" s="139"/>
      <c r="CU27" s="139">
        <f>CI33+CI39</f>
        <v>12715452.402771786</v>
      </c>
      <c r="CV27" s="140">
        <f>'Property-Level CF'!CI39</f>
        <v>792958.24594032764</v>
      </c>
      <c r="CX27" s="125" t="s">
        <v>151</v>
      </c>
      <c r="CY27" s="259"/>
      <c r="CZ27" s="136">
        <f>(SUM($CZ$14:CZ14)+CZ23)/-'Property-Level CF'!DL4</f>
        <v>1.011756165517961</v>
      </c>
      <c r="DA27" s="136">
        <f>(SUM($CZ$14:DA14)+DA23)/-'Property-Level CF'!DM4</f>
        <v>1.0731137294485622</v>
      </c>
      <c r="DB27" s="136">
        <f>(SUM($CZ$14:DB14)+DB23)/-'Property-Level CF'!DN4</f>
        <v>1.1448778211618524</v>
      </c>
      <c r="DC27" s="136">
        <f>(SUM($CZ$14:DC14)+DC23)/-'Property-Level CF'!DO4</f>
        <v>1.2180996371745443</v>
      </c>
      <c r="DD27" s="136">
        <f>(SUM($CZ$14:DD14)+DD23)/-'Property-Level CF'!DP4</f>
        <v>1.2928104349699041</v>
      </c>
      <c r="DE27" s="136">
        <f>(SUM($CZ$14:DE14)+DE23)/-'Property-Level CF'!DQ4</f>
        <v>1.3690385627135297</v>
      </c>
      <c r="DF27" s="136">
        <f>(SUM($CZ$14:DF14)+DF23)/-'Property-Level CF'!DR4</f>
        <v>1.4468127205949286</v>
      </c>
      <c r="DG27" s="136">
        <f>(SUM($CZ$14:DG14)+DG23)/-'Property-Level CF'!DS4</f>
        <v>1.5261671168578212</v>
      </c>
      <c r="DH27" s="136">
        <f>(SUM($CZ$14:DH14)+DH23)/-'Property-Level CF'!DT4</f>
        <v>1.6071297010807006</v>
      </c>
      <c r="DI27" s="137">
        <f>(SUM($CZ$14:DI14)+DI23)/-'Property-Level CF'!DU4</f>
        <v>1.6897355615670633</v>
      </c>
      <c r="DK27" s="145">
        <f t="shared" si="87"/>
        <v>9</v>
      </c>
      <c r="DL27" s="139"/>
      <c r="DM27" s="139"/>
      <c r="DN27" s="139"/>
      <c r="DO27" s="139"/>
      <c r="DP27" s="139"/>
      <c r="DQ27" s="139"/>
      <c r="DR27" s="139"/>
      <c r="DS27" s="139"/>
      <c r="DT27" s="139">
        <f>DH33+DH39</f>
        <v>5653132.6331406971</v>
      </c>
      <c r="DU27" s="140">
        <f>'Property-Level CF'!DH39</f>
        <v>357684.51312645857</v>
      </c>
      <c r="DW27" s="125" t="s">
        <v>151</v>
      </c>
      <c r="DX27" s="259"/>
      <c r="DY27" s="136">
        <f>(SUM($DY$14:DY14)+DY23)/-'Property-Level CF'!EK4</f>
        <v>1.0091266661827554</v>
      </c>
      <c r="DZ27" s="136">
        <f>(SUM($DY$14:DZ14)+DZ23)/-'Property-Level CF'!EL4</f>
        <v>1.0678720598168114</v>
      </c>
      <c r="EA27" s="136">
        <f>(SUM($DY$14:EA14)+EA23)/-'Property-Level CF'!EM4</f>
        <v>1.1367574515599466</v>
      </c>
      <c r="EB27" s="136">
        <f>(SUM($DY$14:EB14)+EB23)/-'Property-Level CF'!EN4</f>
        <v>1.2071766379143321</v>
      </c>
      <c r="EC27" s="136">
        <f>(SUM($DY$14:EC14)+EC23)/-'Property-Level CF'!EO4</f>
        <v>1.2790227896335142</v>
      </c>
      <c r="ED27" s="136">
        <f>(SUM($DY$14:ED14)+ED23)/-'Property-Level CF'!EP4</f>
        <v>1.3523566208597879</v>
      </c>
      <c r="EE27" s="136">
        <f>(SUM($DY$14:EE14)+EE23)/-'Property-Level CF'!EQ4</f>
        <v>1.4270240611173028</v>
      </c>
      <c r="EF27" s="136">
        <f>(SUM($DY$14:EF14)+EF23)/-'Property-Level CF'!ER4</f>
        <v>1.5034448135703409</v>
      </c>
      <c r="EG27" s="136">
        <f>(SUM($DY$14:EG14)+EG23)/-'Property-Level CF'!ES4</f>
        <v>1.5811515705191914</v>
      </c>
      <c r="EH27" s="137">
        <f>(SUM($DY$14:EH14)+EH23)/-'Property-Level CF'!ET4</f>
        <v>1.6605182464156509</v>
      </c>
      <c r="EJ27" s="145">
        <f t="shared" si="89"/>
        <v>9</v>
      </c>
      <c r="EK27" s="139"/>
      <c r="EL27" s="139"/>
      <c r="EM27" s="139"/>
      <c r="EN27" s="139"/>
      <c r="EO27" s="139"/>
      <c r="EP27" s="139"/>
      <c r="EQ27" s="139"/>
      <c r="ER27" s="139"/>
      <c r="ES27" s="139">
        <f>EG33+EG39</f>
        <v>13390827.943650158</v>
      </c>
      <c r="ET27" s="140">
        <f>'Property-Level CF'!EG39</f>
        <v>767526.35059703281</v>
      </c>
    </row>
    <row r="28" spans="2:150" x14ac:dyDescent="0.3">
      <c r="B28" s="145"/>
      <c r="C28" s="155"/>
      <c r="D28" s="146"/>
      <c r="E28" s="146"/>
      <c r="F28" s="146"/>
      <c r="G28" s="146"/>
      <c r="H28" s="146"/>
      <c r="I28" s="146"/>
      <c r="J28" s="146"/>
      <c r="K28" s="146"/>
      <c r="L28" s="146"/>
      <c r="M28" s="147"/>
      <c r="O28" s="145">
        <f t="shared" si="79"/>
        <v>10</v>
      </c>
      <c r="P28" s="139"/>
      <c r="Q28" s="139"/>
      <c r="R28" s="139"/>
      <c r="S28" s="139"/>
      <c r="T28" s="139"/>
      <c r="U28" s="139"/>
      <c r="V28" s="139"/>
      <c r="W28" s="139"/>
      <c r="X28" s="139"/>
      <c r="Y28" s="140">
        <f>M33+M36+M38</f>
        <v>6105845.1630179295</v>
      </c>
      <c r="AA28" s="145"/>
      <c r="AB28" s="155"/>
      <c r="AC28" s="146"/>
      <c r="AD28" s="146"/>
      <c r="AE28" s="146"/>
      <c r="AF28" s="146"/>
      <c r="AG28" s="146"/>
      <c r="AH28" s="146"/>
      <c r="AI28" s="146"/>
      <c r="AJ28" s="146"/>
      <c r="AK28" s="146"/>
      <c r="AL28" s="147"/>
      <c r="AN28" s="145">
        <f t="shared" si="81"/>
        <v>10</v>
      </c>
      <c r="AO28" s="139"/>
      <c r="AP28" s="139"/>
      <c r="AQ28" s="139"/>
      <c r="AR28" s="139"/>
      <c r="AS28" s="139"/>
      <c r="AT28" s="139"/>
      <c r="AU28" s="139"/>
      <c r="AV28" s="139"/>
      <c r="AW28" s="139"/>
      <c r="AX28" s="140">
        <f>AL33+AL36+AL38</f>
        <v>7486306.4144947855</v>
      </c>
      <c r="AZ28" s="145"/>
      <c r="BA28" s="155"/>
      <c r="BB28" s="146"/>
      <c r="BC28" s="146"/>
      <c r="BD28" s="146"/>
      <c r="BE28" s="146"/>
      <c r="BF28" s="146"/>
      <c r="BG28" s="146"/>
      <c r="BH28" s="146"/>
      <c r="BI28" s="146"/>
      <c r="BJ28" s="146"/>
      <c r="BK28" s="147"/>
      <c r="BM28" s="145">
        <f t="shared" si="83"/>
        <v>10</v>
      </c>
      <c r="BN28" s="139"/>
      <c r="BO28" s="139"/>
      <c r="BP28" s="139"/>
      <c r="BQ28" s="139"/>
      <c r="BR28" s="139"/>
      <c r="BS28" s="139"/>
      <c r="BT28" s="139"/>
      <c r="BU28" s="139"/>
      <c r="BV28" s="139"/>
      <c r="BW28" s="140">
        <f>BK33+BK36+BK38</f>
        <v>9346502.213605063</v>
      </c>
      <c r="BY28" s="145"/>
      <c r="BZ28" s="155"/>
      <c r="CA28" s="146"/>
      <c r="CB28" s="146"/>
      <c r="CC28" s="146"/>
      <c r="CD28" s="146"/>
      <c r="CE28" s="146"/>
      <c r="CF28" s="146"/>
      <c r="CG28" s="146"/>
      <c r="CH28" s="146"/>
      <c r="CI28" s="146"/>
      <c r="CJ28" s="147"/>
      <c r="CL28" s="145">
        <f t="shared" si="85"/>
        <v>10</v>
      </c>
      <c r="CM28" s="139"/>
      <c r="CN28" s="139"/>
      <c r="CO28" s="139"/>
      <c r="CP28" s="139"/>
      <c r="CQ28" s="139"/>
      <c r="CR28" s="139"/>
      <c r="CS28" s="139"/>
      <c r="CT28" s="139"/>
      <c r="CU28" s="139"/>
      <c r="CV28" s="140">
        <f>CJ33+CJ36+CJ38</f>
        <v>13293104.728079114</v>
      </c>
      <c r="CX28" s="145"/>
      <c r="CY28" s="155"/>
      <c r="CZ28" s="146"/>
      <c r="DA28" s="146"/>
      <c r="DB28" s="146"/>
      <c r="DC28" s="146"/>
      <c r="DD28" s="146"/>
      <c r="DE28" s="146"/>
      <c r="DF28" s="146"/>
      <c r="DG28" s="146"/>
      <c r="DH28" s="146"/>
      <c r="DI28" s="147"/>
      <c r="DK28" s="145">
        <f t="shared" si="87"/>
        <v>10</v>
      </c>
      <c r="DL28" s="139"/>
      <c r="DM28" s="139"/>
      <c r="DN28" s="139"/>
      <c r="DO28" s="139"/>
      <c r="DP28" s="139"/>
      <c r="DQ28" s="139"/>
      <c r="DR28" s="139"/>
      <c r="DS28" s="139"/>
      <c r="DT28" s="139"/>
      <c r="DU28" s="140">
        <f>DI33+DI36+DI38</f>
        <v>5920446.8342815069</v>
      </c>
      <c r="DW28" s="145"/>
      <c r="DX28" s="155"/>
      <c r="DY28" s="128"/>
      <c r="DZ28" s="128"/>
      <c r="EA28" s="128"/>
      <c r="EB28" s="128"/>
      <c r="EC28" s="128"/>
      <c r="ED28" s="128"/>
      <c r="EE28" s="128"/>
      <c r="EF28" s="128"/>
      <c r="EG28" s="128"/>
      <c r="EH28" s="129"/>
      <c r="EJ28" s="145">
        <f t="shared" si="89"/>
        <v>10</v>
      </c>
      <c r="EK28" s="139"/>
      <c r="EL28" s="139"/>
      <c r="EM28" s="139"/>
      <c r="EN28" s="139"/>
      <c r="EO28" s="139"/>
      <c r="EP28" s="139"/>
      <c r="EQ28" s="139"/>
      <c r="ER28" s="139"/>
      <c r="ES28" s="139"/>
      <c r="ET28" s="140">
        <f>EH33+EH36+EH38</f>
        <v>14025586.218537586</v>
      </c>
    </row>
    <row r="29" spans="2:150" ht="13.5" thickBot="1" x14ac:dyDescent="0.35">
      <c r="B29" s="190" t="s">
        <v>152</v>
      </c>
      <c r="C29" s="155"/>
      <c r="D29" s="309">
        <f>Summary!I24</f>
        <v>8724417.7572271638</v>
      </c>
      <c r="E29" s="308">
        <f t="shared" ref="E29:M29" si="109">D29</f>
        <v>8724417.7572271638</v>
      </c>
      <c r="F29" s="308">
        <f t="shared" si="109"/>
        <v>8724417.7572271638</v>
      </c>
      <c r="G29" s="308">
        <f t="shared" si="109"/>
        <v>8724417.7572271638</v>
      </c>
      <c r="H29" s="308">
        <f t="shared" si="109"/>
        <v>8724417.7572271638</v>
      </c>
      <c r="I29" s="308">
        <f t="shared" si="109"/>
        <v>8724417.7572271638</v>
      </c>
      <c r="J29" s="308">
        <f t="shared" si="109"/>
        <v>8724417.7572271638</v>
      </c>
      <c r="K29" s="308">
        <f t="shared" si="109"/>
        <v>8724417.7572271638</v>
      </c>
      <c r="L29" s="308">
        <f t="shared" si="109"/>
        <v>8724417.7572271638</v>
      </c>
      <c r="M29" s="305">
        <f t="shared" si="109"/>
        <v>8724417.7572271638</v>
      </c>
      <c r="O29" s="148">
        <f t="shared" si="79"/>
        <v>11</v>
      </c>
      <c r="P29" s="141"/>
      <c r="Q29" s="141"/>
      <c r="R29" s="141"/>
      <c r="S29" s="141"/>
      <c r="T29" s="141"/>
      <c r="U29" s="141"/>
      <c r="V29" s="141"/>
      <c r="W29" s="141"/>
      <c r="X29" s="141"/>
      <c r="Y29" s="142"/>
      <c r="AA29" s="190" t="s">
        <v>152</v>
      </c>
      <c r="AB29" s="155"/>
      <c r="AC29" s="309">
        <f>Summary!I25</f>
        <v>7125197.2932504173</v>
      </c>
      <c r="AD29" s="308">
        <f t="shared" ref="AD29:AL29" si="110">AC29</f>
        <v>7125197.2932504173</v>
      </c>
      <c r="AE29" s="308">
        <f t="shared" si="110"/>
        <v>7125197.2932504173</v>
      </c>
      <c r="AF29" s="308">
        <f t="shared" si="110"/>
        <v>7125197.2932504173</v>
      </c>
      <c r="AG29" s="308">
        <f t="shared" si="110"/>
        <v>7125197.2932504173</v>
      </c>
      <c r="AH29" s="308">
        <f t="shared" si="110"/>
        <v>7125197.2932504173</v>
      </c>
      <c r="AI29" s="308">
        <f t="shared" si="110"/>
        <v>7125197.2932504173</v>
      </c>
      <c r="AJ29" s="308">
        <f t="shared" si="110"/>
        <v>7125197.2932504173</v>
      </c>
      <c r="AK29" s="308">
        <f t="shared" si="110"/>
        <v>7125197.2932504173</v>
      </c>
      <c r="AL29" s="305">
        <f t="shared" si="110"/>
        <v>7125197.2932504173</v>
      </c>
      <c r="AN29" s="148">
        <f t="shared" si="81"/>
        <v>11</v>
      </c>
      <c r="AO29" s="141"/>
      <c r="AP29" s="141"/>
      <c r="AQ29" s="141"/>
      <c r="AR29" s="141"/>
      <c r="AS29" s="141"/>
      <c r="AT29" s="141"/>
      <c r="AU29" s="141"/>
      <c r="AV29" s="141"/>
      <c r="AW29" s="141"/>
      <c r="AX29" s="142"/>
      <c r="AZ29" s="190" t="s">
        <v>152</v>
      </c>
      <c r="BA29" s="155"/>
      <c r="BB29" s="309">
        <f>Summary!I26</f>
        <v>9144658.3000864629</v>
      </c>
      <c r="BC29" s="309">
        <f t="shared" ref="BC29:BK29" si="111">BB29</f>
        <v>9144658.3000864629</v>
      </c>
      <c r="BD29" s="309">
        <f t="shared" si="111"/>
        <v>9144658.3000864629</v>
      </c>
      <c r="BE29" s="309">
        <f t="shared" si="111"/>
        <v>9144658.3000864629</v>
      </c>
      <c r="BF29" s="309">
        <f t="shared" si="111"/>
        <v>9144658.3000864629</v>
      </c>
      <c r="BG29" s="309">
        <f t="shared" si="111"/>
        <v>9144658.3000864629</v>
      </c>
      <c r="BH29" s="309">
        <f t="shared" si="111"/>
        <v>9144658.3000864629</v>
      </c>
      <c r="BI29" s="309">
        <f t="shared" si="111"/>
        <v>9144658.3000864629</v>
      </c>
      <c r="BJ29" s="309">
        <f t="shared" si="111"/>
        <v>9144658.3000864629</v>
      </c>
      <c r="BK29" s="310">
        <f t="shared" si="111"/>
        <v>9144658.3000864629</v>
      </c>
      <c r="BM29" s="148">
        <f t="shared" si="83"/>
        <v>11</v>
      </c>
      <c r="BN29" s="141"/>
      <c r="BO29" s="141"/>
      <c r="BP29" s="141"/>
      <c r="BQ29" s="141"/>
      <c r="BR29" s="141"/>
      <c r="BS29" s="141"/>
      <c r="BT29" s="141"/>
      <c r="BU29" s="141"/>
      <c r="BV29" s="141"/>
      <c r="BW29" s="142"/>
      <c r="BY29" s="190" t="s">
        <v>152</v>
      </c>
      <c r="BZ29" s="155"/>
      <c r="CA29" s="309">
        <f>Summary!$I$27</f>
        <v>17449324.984831031</v>
      </c>
      <c r="CB29" s="309">
        <f>Summary!$I$27</f>
        <v>17449324.984831031</v>
      </c>
      <c r="CC29" s="309">
        <f>Summary!$I$27</f>
        <v>17449324.984831031</v>
      </c>
      <c r="CD29" s="309">
        <f>Summary!$I$27</f>
        <v>17449324.984831031</v>
      </c>
      <c r="CE29" s="309">
        <f>Summary!$I$27</f>
        <v>17449324.984831031</v>
      </c>
      <c r="CF29" s="309">
        <f>Summary!$I$27</f>
        <v>17449324.984831031</v>
      </c>
      <c r="CG29" s="309">
        <f>Summary!$I$27</f>
        <v>17449324.984831031</v>
      </c>
      <c r="CH29" s="309">
        <f>Summary!$I$27</f>
        <v>17449324.984831031</v>
      </c>
      <c r="CI29" s="309">
        <f>Summary!$I$27</f>
        <v>17449324.984831031</v>
      </c>
      <c r="CJ29" s="310">
        <f>Summary!$I$27</f>
        <v>17449324.984831031</v>
      </c>
      <c r="CL29" s="148">
        <f t="shared" si="85"/>
        <v>11</v>
      </c>
      <c r="CM29" s="141"/>
      <c r="CN29" s="141"/>
      <c r="CO29" s="141"/>
      <c r="CP29" s="141"/>
      <c r="CQ29" s="141"/>
      <c r="CR29" s="141"/>
      <c r="CS29" s="141"/>
      <c r="CT29" s="141"/>
      <c r="CU29" s="141"/>
      <c r="CV29" s="142"/>
      <c r="CX29" s="190" t="s">
        <v>152</v>
      </c>
      <c r="CY29" s="155"/>
      <c r="CZ29" s="309">
        <f>Summary!I28</f>
        <v>7385861.9370262446</v>
      </c>
      <c r="DA29" s="309">
        <f t="shared" ref="DA29:DI29" si="112">CZ29</f>
        <v>7385861.9370262446</v>
      </c>
      <c r="DB29" s="309">
        <f t="shared" si="112"/>
        <v>7385861.9370262446</v>
      </c>
      <c r="DC29" s="309">
        <f t="shared" si="112"/>
        <v>7385861.9370262446</v>
      </c>
      <c r="DD29" s="309">
        <f t="shared" si="112"/>
        <v>7385861.9370262446</v>
      </c>
      <c r="DE29" s="309">
        <f t="shared" si="112"/>
        <v>7385861.9370262446</v>
      </c>
      <c r="DF29" s="309">
        <f t="shared" si="112"/>
        <v>7385861.9370262446</v>
      </c>
      <c r="DG29" s="309">
        <f t="shared" si="112"/>
        <v>7385861.9370262446</v>
      </c>
      <c r="DH29" s="309">
        <f t="shared" si="112"/>
        <v>7385861.9370262446</v>
      </c>
      <c r="DI29" s="310">
        <f t="shared" si="112"/>
        <v>7385861.9370262446</v>
      </c>
      <c r="DK29" s="148">
        <f t="shared" si="87"/>
        <v>11</v>
      </c>
      <c r="DL29" s="141"/>
      <c r="DM29" s="141"/>
      <c r="DN29" s="141"/>
      <c r="DO29" s="141"/>
      <c r="DP29" s="141"/>
      <c r="DQ29" s="141"/>
      <c r="DR29" s="141"/>
      <c r="DS29" s="141"/>
      <c r="DT29" s="141"/>
      <c r="DU29" s="142"/>
      <c r="DW29" s="190" t="s">
        <v>152</v>
      </c>
      <c r="DX29" s="155"/>
      <c r="DY29" s="309">
        <f>Summary!I29</f>
        <v>17608324.122078683</v>
      </c>
      <c r="DZ29" s="309">
        <f t="shared" ref="DZ29:EH29" si="113">DY29</f>
        <v>17608324.122078683</v>
      </c>
      <c r="EA29" s="309">
        <f t="shared" si="113"/>
        <v>17608324.122078683</v>
      </c>
      <c r="EB29" s="309">
        <f t="shared" si="113"/>
        <v>17608324.122078683</v>
      </c>
      <c r="EC29" s="309">
        <f t="shared" si="113"/>
        <v>17608324.122078683</v>
      </c>
      <c r="ED29" s="309">
        <f t="shared" si="113"/>
        <v>17608324.122078683</v>
      </c>
      <c r="EE29" s="309">
        <f t="shared" si="113"/>
        <v>17608324.122078683</v>
      </c>
      <c r="EF29" s="309">
        <f t="shared" si="113"/>
        <v>17608324.122078683</v>
      </c>
      <c r="EG29" s="309">
        <f t="shared" si="113"/>
        <v>17608324.122078683</v>
      </c>
      <c r="EH29" s="310">
        <f t="shared" si="113"/>
        <v>17608324.122078683</v>
      </c>
      <c r="EJ29" s="148">
        <f t="shared" si="89"/>
        <v>11</v>
      </c>
      <c r="EK29" s="141"/>
      <c r="EL29" s="141"/>
      <c r="EM29" s="141"/>
      <c r="EN29" s="141"/>
      <c r="EO29" s="141"/>
      <c r="EP29" s="141"/>
      <c r="EQ29" s="141"/>
      <c r="ER29" s="141"/>
      <c r="ES29" s="141"/>
      <c r="ET29" s="142"/>
    </row>
    <row r="30" spans="2:150" ht="13.5" thickBot="1" x14ac:dyDescent="0.35">
      <c r="B30" s="125" t="s">
        <v>153</v>
      </c>
      <c r="C30" s="259"/>
      <c r="D30" s="132">
        <f>Summary!I24*((Summary!C16/360)*365)</f>
        <v>358737.82583536691</v>
      </c>
      <c r="E30" s="132">
        <f t="shared" ref="E30:M30" si="114">D30</f>
        <v>358737.82583536691</v>
      </c>
      <c r="F30" s="132">
        <f t="shared" si="114"/>
        <v>358737.82583536691</v>
      </c>
      <c r="G30" s="132">
        <f t="shared" si="114"/>
        <v>358737.82583536691</v>
      </c>
      <c r="H30" s="132">
        <f t="shared" si="114"/>
        <v>358737.82583536691</v>
      </c>
      <c r="I30" s="132">
        <f t="shared" si="114"/>
        <v>358737.82583536691</v>
      </c>
      <c r="J30" s="132">
        <f t="shared" si="114"/>
        <v>358737.82583536691</v>
      </c>
      <c r="K30" s="132">
        <f t="shared" si="114"/>
        <v>358737.82583536691</v>
      </c>
      <c r="L30" s="132">
        <f t="shared" si="114"/>
        <v>358737.82583536691</v>
      </c>
      <c r="M30" s="133">
        <f t="shared" si="114"/>
        <v>358737.82583536691</v>
      </c>
      <c r="AA30" s="125" t="s">
        <v>153</v>
      </c>
      <c r="AB30" s="259"/>
      <c r="AC30" s="132">
        <f>Summary!I25*((Summary!C16/360)*365)</f>
        <v>292979.75598558231</v>
      </c>
      <c r="AD30" s="132">
        <f t="shared" ref="AD30:AL30" si="115">AC30</f>
        <v>292979.75598558231</v>
      </c>
      <c r="AE30" s="132">
        <f t="shared" si="115"/>
        <v>292979.75598558231</v>
      </c>
      <c r="AF30" s="132">
        <f t="shared" si="115"/>
        <v>292979.75598558231</v>
      </c>
      <c r="AG30" s="132">
        <f t="shared" si="115"/>
        <v>292979.75598558231</v>
      </c>
      <c r="AH30" s="132">
        <f t="shared" si="115"/>
        <v>292979.75598558231</v>
      </c>
      <c r="AI30" s="132">
        <f t="shared" si="115"/>
        <v>292979.75598558231</v>
      </c>
      <c r="AJ30" s="132">
        <f t="shared" si="115"/>
        <v>292979.75598558231</v>
      </c>
      <c r="AK30" s="132">
        <f t="shared" si="115"/>
        <v>292979.75598558231</v>
      </c>
      <c r="AL30" s="133">
        <f t="shared" si="115"/>
        <v>292979.75598558231</v>
      </c>
      <c r="AZ30" s="125" t="s">
        <v>153</v>
      </c>
      <c r="BA30" s="259"/>
      <c r="BB30" s="132">
        <f>Summary!I26*((Summary!C16/360)*365)</f>
        <v>376017.6240830305</v>
      </c>
      <c r="BC30" s="132">
        <f t="shared" ref="BC30:BK30" si="116">BB30</f>
        <v>376017.6240830305</v>
      </c>
      <c r="BD30" s="132">
        <f t="shared" si="116"/>
        <v>376017.6240830305</v>
      </c>
      <c r="BE30" s="132">
        <f t="shared" si="116"/>
        <v>376017.6240830305</v>
      </c>
      <c r="BF30" s="132">
        <f t="shared" si="116"/>
        <v>376017.6240830305</v>
      </c>
      <c r="BG30" s="132">
        <f t="shared" si="116"/>
        <v>376017.6240830305</v>
      </c>
      <c r="BH30" s="132">
        <f t="shared" si="116"/>
        <v>376017.6240830305</v>
      </c>
      <c r="BI30" s="132">
        <f t="shared" si="116"/>
        <v>376017.6240830305</v>
      </c>
      <c r="BJ30" s="132">
        <f t="shared" si="116"/>
        <v>376017.6240830305</v>
      </c>
      <c r="BK30" s="133">
        <f t="shared" si="116"/>
        <v>376017.6240830305</v>
      </c>
      <c r="BY30" s="125" t="s">
        <v>153</v>
      </c>
      <c r="BZ30" s="259"/>
      <c r="CA30" s="132">
        <f>Summary!I27*((Summary!C16/360)*365)</f>
        <v>717495.77811855369</v>
      </c>
      <c r="CB30" s="132">
        <f t="shared" ref="CB30:CJ30" si="117">CA30</f>
        <v>717495.77811855369</v>
      </c>
      <c r="CC30" s="132">
        <f t="shared" si="117"/>
        <v>717495.77811855369</v>
      </c>
      <c r="CD30" s="132">
        <f t="shared" si="117"/>
        <v>717495.77811855369</v>
      </c>
      <c r="CE30" s="132">
        <f t="shared" si="117"/>
        <v>717495.77811855369</v>
      </c>
      <c r="CF30" s="132">
        <f t="shared" si="117"/>
        <v>717495.77811855369</v>
      </c>
      <c r="CG30" s="132">
        <f t="shared" si="117"/>
        <v>717495.77811855369</v>
      </c>
      <c r="CH30" s="132">
        <f t="shared" si="117"/>
        <v>717495.77811855369</v>
      </c>
      <c r="CI30" s="132">
        <f t="shared" si="117"/>
        <v>717495.77811855369</v>
      </c>
      <c r="CJ30" s="133">
        <f t="shared" si="117"/>
        <v>717495.77811855369</v>
      </c>
      <c r="CX30" s="125" t="s">
        <v>153</v>
      </c>
      <c r="CY30" s="259"/>
      <c r="CZ30" s="132">
        <f>Summary!I28*((Summary!C16/360)*365)</f>
        <v>303697.98041985225</v>
      </c>
      <c r="DA30" s="132">
        <f t="shared" ref="DA30:DI30" si="118">CZ30</f>
        <v>303697.98041985225</v>
      </c>
      <c r="DB30" s="132">
        <f t="shared" si="118"/>
        <v>303697.98041985225</v>
      </c>
      <c r="DC30" s="132">
        <f t="shared" si="118"/>
        <v>303697.98041985225</v>
      </c>
      <c r="DD30" s="132">
        <f t="shared" si="118"/>
        <v>303697.98041985225</v>
      </c>
      <c r="DE30" s="132">
        <f t="shared" si="118"/>
        <v>303697.98041985225</v>
      </c>
      <c r="DF30" s="132">
        <f t="shared" si="118"/>
        <v>303697.98041985225</v>
      </c>
      <c r="DG30" s="132">
        <f t="shared" si="118"/>
        <v>303697.98041985225</v>
      </c>
      <c r="DH30" s="132">
        <f t="shared" si="118"/>
        <v>303697.98041985225</v>
      </c>
      <c r="DI30" s="133">
        <f t="shared" si="118"/>
        <v>303697.98041985225</v>
      </c>
      <c r="DW30" s="125" t="s">
        <v>153</v>
      </c>
      <c r="DX30" s="259"/>
      <c r="DY30" s="132">
        <f>Summary!I29*((Summary!C16/360)*365)</f>
        <v>724033.63616170746</v>
      </c>
      <c r="DZ30" s="132">
        <f t="shared" ref="DZ30:EH30" si="119">DY30</f>
        <v>724033.63616170746</v>
      </c>
      <c r="EA30" s="132">
        <f t="shared" si="119"/>
        <v>724033.63616170746</v>
      </c>
      <c r="EB30" s="132">
        <f t="shared" si="119"/>
        <v>724033.63616170746</v>
      </c>
      <c r="EC30" s="132">
        <f t="shared" si="119"/>
        <v>724033.63616170746</v>
      </c>
      <c r="ED30" s="132">
        <f t="shared" si="119"/>
        <v>724033.63616170746</v>
      </c>
      <c r="EE30" s="132">
        <f t="shared" si="119"/>
        <v>724033.63616170746</v>
      </c>
      <c r="EF30" s="132">
        <f t="shared" si="119"/>
        <v>724033.63616170746</v>
      </c>
      <c r="EG30" s="132">
        <f t="shared" si="119"/>
        <v>724033.63616170746</v>
      </c>
      <c r="EH30" s="133">
        <f t="shared" si="119"/>
        <v>724033.63616170746</v>
      </c>
    </row>
    <row r="31" spans="2:150" ht="13.5" thickBot="1" x14ac:dyDescent="0.35">
      <c r="B31" s="125" t="s">
        <v>154</v>
      </c>
      <c r="C31" s="259"/>
      <c r="D31" s="149">
        <f t="shared" ref="D31:M31" si="120">D14/D30</f>
        <v>2.1216956930248592</v>
      </c>
      <c r="E31" s="149">
        <f t="shared" si="120"/>
        <v>2.0390057789325171</v>
      </c>
      <c r="F31" s="149">
        <f t="shared" si="120"/>
        <v>2.0414365234406255</v>
      </c>
      <c r="G31" s="149">
        <f t="shared" si="120"/>
        <v>1.328102211944189</v>
      </c>
      <c r="H31" s="149">
        <f t="shared" si="120"/>
        <v>2.2989086753803218</v>
      </c>
      <c r="I31" s="149">
        <f t="shared" si="120"/>
        <v>2.163143789459562</v>
      </c>
      <c r="J31" s="149">
        <f t="shared" si="120"/>
        <v>0.95803529833991996</v>
      </c>
      <c r="K31" s="149">
        <f t="shared" si="120"/>
        <v>2.3209972298324431</v>
      </c>
      <c r="L31" s="149">
        <f t="shared" si="120"/>
        <v>1.2623383077752794</v>
      </c>
      <c r="M31" s="150">
        <f t="shared" si="120"/>
        <v>1.7789133290138965</v>
      </c>
      <c r="O31" s="512" t="s">
        <v>155</v>
      </c>
      <c r="P31" s="513"/>
      <c r="Q31" s="513"/>
      <c r="R31" s="513"/>
      <c r="S31" s="513"/>
      <c r="T31" s="513"/>
      <c r="U31" s="513"/>
      <c r="V31" s="513"/>
      <c r="W31" s="513"/>
      <c r="X31" s="513"/>
      <c r="Y31" s="514"/>
      <c r="AA31" s="125" t="s">
        <v>154</v>
      </c>
      <c r="AB31" s="259"/>
      <c r="AC31" s="149">
        <f t="shared" ref="AC31:AL31" si="121">AC14/AC30</f>
        <v>1.3936082328503701</v>
      </c>
      <c r="AD31" s="149">
        <f t="shared" si="121"/>
        <v>1.8703920281337347</v>
      </c>
      <c r="AE31" s="149">
        <f t="shared" si="121"/>
        <v>2.4355198112565652</v>
      </c>
      <c r="AF31" s="149">
        <f t="shared" si="121"/>
        <v>2.4978108044980849</v>
      </c>
      <c r="AG31" s="149">
        <f t="shared" si="121"/>
        <v>2.5573405148063233</v>
      </c>
      <c r="AH31" s="149">
        <f t="shared" si="121"/>
        <v>2.5854209532390895</v>
      </c>
      <c r="AI31" s="149">
        <f t="shared" si="121"/>
        <v>2.6133955823134727</v>
      </c>
      <c r="AJ31" s="149">
        <f t="shared" si="121"/>
        <v>2.6415272188228758</v>
      </c>
      <c r="AK31" s="149">
        <f t="shared" si="121"/>
        <v>2.282966608904252</v>
      </c>
      <c r="AL31" s="150">
        <f t="shared" si="121"/>
        <v>1.9241670746279891</v>
      </c>
      <c r="AN31" s="512" t="s">
        <v>155</v>
      </c>
      <c r="AO31" s="513"/>
      <c r="AP31" s="513"/>
      <c r="AQ31" s="513"/>
      <c r="AR31" s="513"/>
      <c r="AS31" s="513"/>
      <c r="AT31" s="513"/>
      <c r="AU31" s="513"/>
      <c r="AV31" s="513"/>
      <c r="AW31" s="513"/>
      <c r="AX31" s="514"/>
      <c r="AZ31" s="125" t="s">
        <v>154</v>
      </c>
      <c r="BA31" s="259"/>
      <c r="BB31" s="149">
        <f t="shared" ref="BB31:BK31" si="122">BB14/BB30</f>
        <v>1.6576324089063601</v>
      </c>
      <c r="BC31" s="149">
        <f t="shared" si="122"/>
        <v>2.073346965853518</v>
      </c>
      <c r="BD31" s="149">
        <f t="shared" si="122"/>
        <v>2.2934669674141985</v>
      </c>
      <c r="BE31" s="149">
        <f t="shared" si="122"/>
        <v>2.3121389645502943</v>
      </c>
      <c r="BF31" s="149">
        <f t="shared" si="122"/>
        <v>2.33062480019949</v>
      </c>
      <c r="BG31" s="149">
        <f t="shared" si="122"/>
        <v>2.350105270078696</v>
      </c>
      <c r="BH31" s="149">
        <f t="shared" si="122"/>
        <v>2.5026938625414008</v>
      </c>
      <c r="BI31" s="149">
        <f t="shared" si="122"/>
        <v>2.5495799627421376</v>
      </c>
      <c r="BJ31" s="149">
        <f t="shared" si="122"/>
        <v>2.5686827907479173</v>
      </c>
      <c r="BK31" s="150">
        <f t="shared" si="122"/>
        <v>2.5852378658329758</v>
      </c>
      <c r="BM31" s="512" t="s">
        <v>155</v>
      </c>
      <c r="BN31" s="513"/>
      <c r="BO31" s="513"/>
      <c r="BP31" s="513"/>
      <c r="BQ31" s="513"/>
      <c r="BR31" s="513"/>
      <c r="BS31" s="513"/>
      <c r="BT31" s="513"/>
      <c r="BU31" s="513"/>
      <c r="BV31" s="513"/>
      <c r="BW31" s="514"/>
      <c r="BY31" s="125" t="s">
        <v>154</v>
      </c>
      <c r="BZ31" s="259"/>
      <c r="CA31" s="149">
        <f t="shared" ref="CA31:CJ31" si="123">CA14/CA30</f>
        <v>1.8573314863182464</v>
      </c>
      <c r="CB31" s="149">
        <f t="shared" si="123"/>
        <v>1.8902125160322663</v>
      </c>
      <c r="CC31" s="149">
        <f t="shared" si="123"/>
        <v>1.9235520850297683</v>
      </c>
      <c r="CD31" s="149">
        <f t="shared" si="123"/>
        <v>1.9577920077571473</v>
      </c>
      <c r="CE31" s="149">
        <f t="shared" si="123"/>
        <v>1.9924723511944973</v>
      </c>
      <c r="CF31" s="149">
        <f t="shared" si="123"/>
        <v>2.0278509565802501</v>
      </c>
      <c r="CG31" s="149">
        <f t="shared" si="123"/>
        <v>2.0636239893739829</v>
      </c>
      <c r="CH31" s="149">
        <f t="shared" si="123"/>
        <v>2.0999712415743867</v>
      </c>
      <c r="CI31" s="149">
        <f t="shared" si="123"/>
        <v>2.1379129282437987</v>
      </c>
      <c r="CJ31" s="150">
        <f t="shared" si="123"/>
        <v>2.178406546305478</v>
      </c>
      <c r="CL31" s="512" t="s">
        <v>155</v>
      </c>
      <c r="CM31" s="513"/>
      <c r="CN31" s="513"/>
      <c r="CO31" s="513"/>
      <c r="CP31" s="513"/>
      <c r="CQ31" s="513"/>
      <c r="CR31" s="513"/>
      <c r="CS31" s="513"/>
      <c r="CT31" s="513"/>
      <c r="CU31" s="513"/>
      <c r="CV31" s="514"/>
      <c r="CX31" s="125" t="s">
        <v>154</v>
      </c>
      <c r="CY31" s="259"/>
      <c r="CZ31" s="149">
        <f t="shared" ref="CZ31:DI31" si="124">CZ14/CZ30</f>
        <v>1.8803351909371839</v>
      </c>
      <c r="DA31" s="149">
        <f t="shared" si="124"/>
        <v>1.9188043305206892</v>
      </c>
      <c r="DB31" s="149">
        <f t="shared" si="124"/>
        <v>1.9580406796841792</v>
      </c>
      <c r="DC31" s="149">
        <f t="shared" si="124"/>
        <v>1.9980607021525456</v>
      </c>
      <c r="DD31" s="149">
        <f t="shared" si="124"/>
        <v>2.0388841543956593</v>
      </c>
      <c r="DE31" s="149">
        <f t="shared" si="124"/>
        <v>2.0805242073934349</v>
      </c>
      <c r="DF31" s="149">
        <f t="shared" si="124"/>
        <v>2.1229940321257854</v>
      </c>
      <c r="DG31" s="149">
        <f t="shared" si="124"/>
        <v>2.1663166778075609</v>
      </c>
      <c r="DH31" s="149">
        <f t="shared" si="124"/>
        <v>2.2105020226736962</v>
      </c>
      <c r="DI31" s="150">
        <f t="shared" si="124"/>
        <v>2.2555731159390411</v>
      </c>
      <c r="DK31" s="512" t="s">
        <v>155</v>
      </c>
      <c r="DL31" s="513"/>
      <c r="DM31" s="513"/>
      <c r="DN31" s="513"/>
      <c r="DO31" s="513"/>
      <c r="DP31" s="513"/>
      <c r="DQ31" s="513"/>
      <c r="DR31" s="513"/>
      <c r="DS31" s="513"/>
      <c r="DT31" s="513"/>
      <c r="DU31" s="514"/>
      <c r="DW31" s="125" t="s">
        <v>154</v>
      </c>
      <c r="DX31" s="259"/>
      <c r="DY31" s="149">
        <f t="shared" ref="DY31:EH31" si="125">DY14/DY30</f>
        <v>1.7819524336461146</v>
      </c>
      <c r="DZ31" s="149">
        <f t="shared" si="125"/>
        <v>1.8183222909079928</v>
      </c>
      <c r="EA31" s="149">
        <f t="shared" si="125"/>
        <v>1.8550360548443179</v>
      </c>
      <c r="EB31" s="149">
        <f t="shared" si="125"/>
        <v>1.8927497723240143</v>
      </c>
      <c r="EC31" s="149">
        <f t="shared" si="125"/>
        <v>1.9312217418690574</v>
      </c>
      <c r="ED31" s="149">
        <f t="shared" si="125"/>
        <v>1.970525164498506</v>
      </c>
      <c r="EE31" s="149">
        <f t="shared" si="125"/>
        <v>2.0103409942613673</v>
      </c>
      <c r="EF31" s="149">
        <f t="shared" si="125"/>
        <v>2.0514040036508367</v>
      </c>
      <c r="EG31" s="149">
        <f t="shared" si="125"/>
        <v>2.0928081574121471</v>
      </c>
      <c r="EH31" s="150">
        <f t="shared" si="125"/>
        <v>2.1352136458681321</v>
      </c>
      <c r="EJ31" s="512" t="s">
        <v>155</v>
      </c>
      <c r="EK31" s="513"/>
      <c r="EL31" s="513"/>
      <c r="EM31" s="513"/>
      <c r="EN31" s="513"/>
      <c r="EO31" s="513"/>
      <c r="EP31" s="513"/>
      <c r="EQ31" s="513"/>
      <c r="ER31" s="513"/>
      <c r="ES31" s="513"/>
      <c r="ET31" s="514"/>
    </row>
    <row r="32" spans="2:150" ht="13.5" thickBot="1" x14ac:dyDescent="0.35">
      <c r="B32" s="145"/>
      <c r="C32" s="155"/>
      <c r="D32" s="146"/>
      <c r="E32" s="146"/>
      <c r="F32" s="146"/>
      <c r="G32" s="146"/>
      <c r="H32" s="146"/>
      <c r="I32" s="146"/>
      <c r="J32" s="146"/>
      <c r="K32" s="146"/>
      <c r="L32" s="146"/>
      <c r="M32" s="147"/>
      <c r="O32" s="3" t="s">
        <v>11</v>
      </c>
      <c r="P32" s="287" t="str">
        <f>P16</f>
        <v>Year 1</v>
      </c>
      <c r="Q32" s="287" t="str">
        <f t="shared" ref="Q32:Y32" si="126">Q16</f>
        <v>Year 2</v>
      </c>
      <c r="R32" s="287" t="str">
        <f t="shared" si="126"/>
        <v>Year 3</v>
      </c>
      <c r="S32" s="287" t="str">
        <f t="shared" si="126"/>
        <v>Year 4</v>
      </c>
      <c r="T32" s="287" t="str">
        <f t="shared" si="126"/>
        <v>Year 5</v>
      </c>
      <c r="U32" s="287" t="str">
        <f t="shared" si="126"/>
        <v>Year 6</v>
      </c>
      <c r="V32" s="287" t="str">
        <f t="shared" si="126"/>
        <v>Year 7</v>
      </c>
      <c r="W32" s="287" t="str">
        <f t="shared" si="126"/>
        <v>Year 8</v>
      </c>
      <c r="X32" s="287" t="str">
        <f t="shared" si="126"/>
        <v>Year 9</v>
      </c>
      <c r="Y32" s="288" t="str">
        <f t="shared" si="126"/>
        <v>Year 10</v>
      </c>
      <c r="AA32" s="145"/>
      <c r="AB32" s="155"/>
      <c r="AC32" s="146"/>
      <c r="AD32" s="146"/>
      <c r="AE32" s="146"/>
      <c r="AF32" s="146"/>
      <c r="AG32" s="146"/>
      <c r="AH32" s="146"/>
      <c r="AI32" s="146"/>
      <c r="AJ32" s="146"/>
      <c r="AK32" s="146"/>
      <c r="AL32" s="147"/>
      <c r="AN32" s="3" t="s">
        <v>11</v>
      </c>
      <c r="AO32" s="287" t="s">
        <v>114</v>
      </c>
      <c r="AP32" s="287" t="s">
        <v>115</v>
      </c>
      <c r="AQ32" s="287" t="s">
        <v>116</v>
      </c>
      <c r="AR32" s="287" t="s">
        <v>117</v>
      </c>
      <c r="AS32" s="287" t="s">
        <v>118</v>
      </c>
      <c r="AT32" s="287" t="s">
        <v>119</v>
      </c>
      <c r="AU32" s="287" t="s">
        <v>120</v>
      </c>
      <c r="AV32" s="287" t="s">
        <v>121</v>
      </c>
      <c r="AW32" s="287" t="s">
        <v>122</v>
      </c>
      <c r="AX32" s="288" t="s">
        <v>123</v>
      </c>
      <c r="AZ32" s="145"/>
      <c r="BA32" s="155"/>
      <c r="BB32" s="146"/>
      <c r="BC32" s="146"/>
      <c r="BD32" s="146"/>
      <c r="BE32" s="146"/>
      <c r="BF32" s="146"/>
      <c r="BG32" s="146"/>
      <c r="BH32" s="146"/>
      <c r="BI32" s="146"/>
      <c r="BJ32" s="146"/>
      <c r="BK32" s="147"/>
      <c r="BM32" s="3" t="s">
        <v>11</v>
      </c>
      <c r="BN32" s="287" t="s">
        <v>114</v>
      </c>
      <c r="BO32" s="287" t="s">
        <v>115</v>
      </c>
      <c r="BP32" s="287" t="s">
        <v>116</v>
      </c>
      <c r="BQ32" s="287" t="s">
        <v>117</v>
      </c>
      <c r="BR32" s="287" t="s">
        <v>118</v>
      </c>
      <c r="BS32" s="287" t="s">
        <v>119</v>
      </c>
      <c r="BT32" s="287" t="s">
        <v>120</v>
      </c>
      <c r="BU32" s="287" t="s">
        <v>121</v>
      </c>
      <c r="BV32" s="287" t="s">
        <v>122</v>
      </c>
      <c r="BW32" s="288" t="s">
        <v>123</v>
      </c>
      <c r="BY32" s="145"/>
      <c r="BZ32" s="155"/>
      <c r="CA32" s="146"/>
      <c r="CB32" s="146"/>
      <c r="CC32" s="146"/>
      <c r="CD32" s="146"/>
      <c r="CE32" s="146"/>
      <c r="CF32" s="146"/>
      <c r="CG32" s="146"/>
      <c r="CH32" s="146"/>
      <c r="CI32" s="146"/>
      <c r="CJ32" s="147"/>
      <c r="CL32" s="3" t="s">
        <v>11</v>
      </c>
      <c r="CM32" s="287" t="s">
        <v>114</v>
      </c>
      <c r="CN32" s="287" t="s">
        <v>115</v>
      </c>
      <c r="CO32" s="287" t="s">
        <v>116</v>
      </c>
      <c r="CP32" s="287" t="s">
        <v>117</v>
      </c>
      <c r="CQ32" s="287" t="s">
        <v>118</v>
      </c>
      <c r="CR32" s="287" t="s">
        <v>119</v>
      </c>
      <c r="CS32" s="287" t="s">
        <v>120</v>
      </c>
      <c r="CT32" s="287" t="s">
        <v>121</v>
      </c>
      <c r="CU32" s="287" t="s">
        <v>122</v>
      </c>
      <c r="CV32" s="288" t="s">
        <v>123</v>
      </c>
      <c r="CX32" s="145"/>
      <c r="CY32" s="155"/>
      <c r="CZ32" s="146"/>
      <c r="DA32" s="146"/>
      <c r="DB32" s="146"/>
      <c r="DC32" s="146"/>
      <c r="DD32" s="146"/>
      <c r="DE32" s="146"/>
      <c r="DF32" s="146"/>
      <c r="DG32" s="146"/>
      <c r="DH32" s="146"/>
      <c r="DI32" s="147"/>
      <c r="DK32" s="3" t="s">
        <v>11</v>
      </c>
      <c r="DL32" s="287" t="s">
        <v>114</v>
      </c>
      <c r="DM32" s="287" t="s">
        <v>115</v>
      </c>
      <c r="DN32" s="287" t="s">
        <v>116</v>
      </c>
      <c r="DO32" s="287" t="s">
        <v>117</v>
      </c>
      <c r="DP32" s="287" t="s">
        <v>118</v>
      </c>
      <c r="DQ32" s="287" t="s">
        <v>119</v>
      </c>
      <c r="DR32" s="287" t="s">
        <v>120</v>
      </c>
      <c r="DS32" s="287" t="s">
        <v>121</v>
      </c>
      <c r="DT32" s="287" t="s">
        <v>122</v>
      </c>
      <c r="DU32" s="288" t="s">
        <v>123</v>
      </c>
      <c r="DW32" s="145"/>
      <c r="DX32" s="155"/>
      <c r="DY32" s="146"/>
      <c r="DZ32" s="146"/>
      <c r="EA32" s="146"/>
      <c r="EB32" s="146"/>
      <c r="EC32" s="146"/>
      <c r="ED32" s="146"/>
      <c r="EE32" s="146"/>
      <c r="EF32" s="146"/>
      <c r="EG32" s="146"/>
      <c r="EH32" s="147"/>
      <c r="EJ32" s="3" t="s">
        <v>11</v>
      </c>
      <c r="EK32" s="287" t="s">
        <v>114</v>
      </c>
      <c r="EL32" s="287" t="s">
        <v>115</v>
      </c>
      <c r="EM32" s="287" t="s">
        <v>116</v>
      </c>
      <c r="EN32" s="287" t="s">
        <v>117</v>
      </c>
      <c r="EO32" s="287" t="s">
        <v>118</v>
      </c>
      <c r="EP32" s="287" t="s">
        <v>119</v>
      </c>
      <c r="EQ32" s="287" t="s">
        <v>120</v>
      </c>
      <c r="ER32" s="287" t="s">
        <v>121</v>
      </c>
      <c r="ES32" s="287" t="s">
        <v>122</v>
      </c>
      <c r="ET32" s="288" t="s">
        <v>123</v>
      </c>
    </row>
    <row r="33" spans="2:150" x14ac:dyDescent="0.3">
      <c r="B33" s="125" t="s">
        <v>157</v>
      </c>
      <c r="C33" s="155"/>
      <c r="D33" s="309">
        <f t="shared" ref="D33:M33" si="127">D23-D29</f>
        <v>4181009.4328865558</v>
      </c>
      <c r="E33" s="309">
        <f t="shared" si="127"/>
        <v>4321644.9005392194</v>
      </c>
      <c r="F33" s="309">
        <f t="shared" si="127"/>
        <v>4469503.2397605721</v>
      </c>
      <c r="G33" s="309">
        <f t="shared" si="127"/>
        <v>4410188.7412572596</v>
      </c>
      <c r="H33" s="309">
        <f t="shared" si="127"/>
        <v>5090001.35923112</v>
      </c>
      <c r="I33" s="309">
        <f t="shared" si="127"/>
        <v>4288432.7312884741</v>
      </c>
      <c r="J33" s="309">
        <f t="shared" si="127"/>
        <v>4543119.7080750316</v>
      </c>
      <c r="K33" s="309">
        <f t="shared" si="127"/>
        <v>5220414.2577162012</v>
      </c>
      <c r="L33" s="309">
        <f t="shared" si="127"/>
        <v>5117634.2790388502</v>
      </c>
      <c r="M33" s="310">
        <f t="shared" si="127"/>
        <v>5838163.8973726407</v>
      </c>
      <c r="O33" s="291">
        <v>5.7000000000000002E-2</v>
      </c>
      <c r="P33" s="328">
        <f>(D10/$O33)*(1-'Portfolio-Level CF'!$AC$52)</f>
        <v>13103777.447368421</v>
      </c>
      <c r="Q33" s="328">
        <f>(E10/$O33)*(1-'Portfolio-Level CF'!$AC$52)</f>
        <v>13371428.684210526</v>
      </c>
      <c r="R33" s="328">
        <f>(F10/$O33)*(1-'Portfolio-Level CF'!$AC$52)</f>
        <v>13522974.578947367</v>
      </c>
      <c r="S33" s="328">
        <f>(G10/$O33)*(1-'Portfolio-Level CF'!$AC$52)</f>
        <v>13462180.789473683</v>
      </c>
      <c r="T33" s="328">
        <f>(H10/$O33)*(1-'Portfolio-Level CF'!$AC$52)</f>
        <v>14158947.789473685</v>
      </c>
      <c r="U33" s="328">
        <f>(I10/$O33)*(1-'Portfolio-Level CF'!$AC$52)</f>
        <v>13337388.210526315</v>
      </c>
      <c r="V33" s="328">
        <f>(J10/$O33)*(1-'Portfolio-Level CF'!$AC$52)</f>
        <v>13598427.026315788</v>
      </c>
      <c r="W33" s="328">
        <f>(K10/$O33)*(1-'Portfolio-Level CF'!$AC$52)</f>
        <v>14292613.157894738</v>
      </c>
      <c r="X33" s="328">
        <f>(L10/$O33)*(1-'Portfolio-Level CF'!$AC$52)</f>
        <v>14187269.868421052</v>
      </c>
      <c r="Y33" s="329">
        <f>(M10/$O33)*(1-'Portfolio-Level CF'!$AC$52)</f>
        <v>14925769.342105262</v>
      </c>
      <c r="AA33" s="125" t="s">
        <v>157</v>
      </c>
      <c r="AB33" s="155"/>
      <c r="AC33" s="309">
        <f t="shared" ref="AC33:AL33" si="128">AC23-AC29</f>
        <v>3414613.7797653936</v>
      </c>
      <c r="AD33" s="309">
        <f t="shared" si="128"/>
        <v>3051808.5275043007</v>
      </c>
      <c r="AE33" s="309">
        <f t="shared" si="128"/>
        <v>6055516.3859948665</v>
      </c>
      <c r="AF33" s="309">
        <f t="shared" si="128"/>
        <v>6386598.9331646785</v>
      </c>
      <c r="AG33" s="309">
        <f t="shared" si="128"/>
        <v>6703004.9992024135</v>
      </c>
      <c r="AH33" s="309">
        <f t="shared" si="128"/>
        <v>6852255.1973156221</v>
      </c>
      <c r="AI33" s="309">
        <f t="shared" si="128"/>
        <v>7000943.0086363759</v>
      </c>
      <c r="AJ33" s="309">
        <f t="shared" si="128"/>
        <v>7150465.3293910921</v>
      </c>
      <c r="AK33" s="309">
        <f t="shared" si="128"/>
        <v>7155309.1124099605</v>
      </c>
      <c r="AL33" s="310">
        <f t="shared" si="128"/>
        <v>7225135.7822212819</v>
      </c>
      <c r="AN33" s="291">
        <v>5.1999999999999998E-2</v>
      </c>
      <c r="AO33" s="328">
        <f>(AC10/$AN33)*(1-'Portfolio-Level CF'!$AC$52)</f>
        <v>7789832.625</v>
      </c>
      <c r="AP33" s="328">
        <f>(AD10/$AN33)*(1-'Portfolio-Level CF'!$AC$52)</f>
        <v>10372717.471153846</v>
      </c>
      <c r="AQ33" s="328">
        <f>(AE10/$AN33)*(1-'Portfolio-Level CF'!$AC$52)</f>
        <v>13434188.942307694</v>
      </c>
      <c r="AR33" s="328">
        <f>(AF10/$AN33)*(1-'Portfolio-Level CF'!$AC$52)</f>
        <v>13771638.461538462</v>
      </c>
      <c r="AS33" s="328">
        <f>(AG10/$AN33)*(1-'Portfolio-Level CF'!$AC$52)</f>
        <v>14094129.259615386</v>
      </c>
      <c r="AT33" s="328">
        <f>(AH10/$AN33)*(1-'Portfolio-Level CF'!$AC$52)</f>
        <v>14246249.653846154</v>
      </c>
      <c r="AU33" s="328">
        <f>(AI10/$AN33)*(1-'Portfolio-Level CF'!$AC$52)</f>
        <v>14397796.846153848</v>
      </c>
      <c r="AV33" s="328">
        <f>(AJ10/$AN33)*(1-'Portfolio-Level CF'!$AC$52)</f>
        <v>14550194.596153848</v>
      </c>
      <c r="AW33" s="328">
        <f>(AK10/$AN33)*(1-'Portfolio-Level CF'!$AC$52)</f>
        <v>14555131.528846154</v>
      </c>
      <c r="AX33" s="329">
        <f>(AL10/$AN33)*(1-'Portfolio-Level CF'!$AC$52)</f>
        <v>14626301.019230772</v>
      </c>
      <c r="AZ33" s="125" t="s">
        <v>157</v>
      </c>
      <c r="BA33" s="155"/>
      <c r="BB33" s="309">
        <f t="shared" ref="BB33:BK33" si="129">BB23-BB29</f>
        <v>4382401.6315029729</v>
      </c>
      <c r="BC33" s="309">
        <f t="shared" si="129"/>
        <v>5270857.2187814619</v>
      </c>
      <c r="BD33" s="309">
        <f t="shared" si="129"/>
        <v>6772411.8131210841</v>
      </c>
      <c r="BE33" s="309">
        <f t="shared" si="129"/>
        <v>6899783.3508569337</v>
      </c>
      <c r="BF33" s="309">
        <f t="shared" si="129"/>
        <v>7025884.9829324055</v>
      </c>
      <c r="BG33" s="309">
        <f t="shared" si="129"/>
        <v>7158771.53953618</v>
      </c>
      <c r="BH33" s="309">
        <f t="shared" si="129"/>
        <v>8199658.7848191988</v>
      </c>
      <c r="BI33" s="309">
        <f t="shared" si="129"/>
        <v>8519493.5961399544</v>
      </c>
      <c r="BJ33" s="309">
        <f t="shared" si="129"/>
        <v>8649804.0584041048</v>
      </c>
      <c r="BK33" s="310">
        <f t="shared" si="129"/>
        <v>8762734.9546305183</v>
      </c>
      <c r="BM33" s="291">
        <v>4.3999999999999997E-2</v>
      </c>
      <c r="BN33" s="328">
        <f>(BB10/$BM33)*(1-'Portfolio-Level CF'!$AC$52)</f>
        <v>13948283.829545455</v>
      </c>
      <c r="BO33" s="328">
        <f>(BC10/$BM33)*(1-'Portfolio-Level CF'!$AC$52)</f>
        <v>17364143.69318182</v>
      </c>
      <c r="BP33" s="328">
        <f>(BD10/$BM33)*(1-'Portfolio-Level CF'!$AC$52)</f>
        <v>19172834.454545457</v>
      </c>
      <c r="BQ33" s="328">
        <f>(BE10/$BM33)*(1-'Portfolio-Level CF'!$AC$52)</f>
        <v>19326259.261363637</v>
      </c>
      <c r="BR33" s="328">
        <f>(BF10/$BM33)*(1-'Portfolio-Level CF'!$AC$52)</f>
        <v>19478154.40909091</v>
      </c>
      <c r="BS33" s="328">
        <f>(BG10/$BM33)*(1-'Portfolio-Level CF'!$AC$52)</f>
        <v>19638222.306818184</v>
      </c>
      <c r="BT33" s="328">
        <f>(BH10/$BM33)*(1-'Portfolio-Level CF'!$AC$52)</f>
        <v>20892018.306818184</v>
      </c>
      <c r="BU33" s="328">
        <f>(BI10/$BM33)*(1-'Portfolio-Level CF'!$AC$52)</f>
        <v>21277273.875</v>
      </c>
      <c r="BV33" s="328">
        <f>(BJ10/$BM33)*(1-'Portfolio-Level CF'!$AC$52)</f>
        <v>21434238.75</v>
      </c>
      <c r="BW33" s="329">
        <f>(BK10/$BM33)*(1-'Portfolio-Level CF'!$AC$52)</f>
        <v>21570269.147727273</v>
      </c>
      <c r="BY33" s="125" t="s">
        <v>157</v>
      </c>
      <c r="BZ33" s="155"/>
      <c r="CA33" s="309">
        <f t="shared" ref="CA33:CJ33" si="130">CA23-CA29</f>
        <v>8362253.4350382537</v>
      </c>
      <c r="CB33" s="309">
        <f t="shared" si="130"/>
        <v>8566705.3233861662</v>
      </c>
      <c r="CC33" s="309">
        <f t="shared" si="130"/>
        <v>9018382.2194994949</v>
      </c>
      <c r="CD33" s="309">
        <f t="shared" si="130"/>
        <v>9482256.9031170681</v>
      </c>
      <c r="CE33" s="309">
        <f t="shared" si="130"/>
        <v>9952098.3063187711</v>
      </c>
      <c r="CF33" s="309">
        <f t="shared" si="130"/>
        <v>10431399.603544671</v>
      </c>
      <c r="CG33" s="309">
        <f t="shared" si="130"/>
        <v>10916044.513562676</v>
      </c>
      <c r="CH33" s="309">
        <f t="shared" si="130"/>
        <v>11408468.817468844</v>
      </c>
      <c r="CI33" s="309">
        <f t="shared" si="130"/>
        <v>11922494.156831458</v>
      </c>
      <c r="CJ33" s="310">
        <f t="shared" si="130"/>
        <v>12471092.482138786</v>
      </c>
      <c r="CL33" s="291">
        <v>0.05</v>
      </c>
      <c r="CM33" s="328">
        <f>(CA10/$CL33)*(1-'Portfolio-Level CF'!$AC$52)</f>
        <v>26041804.440000001</v>
      </c>
      <c r="CN33" s="328">
        <f>(CB10/$CL33)*(1-'Portfolio-Level CF'!$AC$52)</f>
        <v>26495478.600000001</v>
      </c>
      <c r="CO33" s="328">
        <f>(CC10/$CL33)*(1-'Portfolio-Level CF'!$AC$52)</f>
        <v>26955479.43</v>
      </c>
      <c r="CP33" s="328">
        <f>(CD10/$CL33)*(1-'Portfolio-Level CF'!$AC$52)</f>
        <v>27427902.84</v>
      </c>
      <c r="CQ33" s="328">
        <f>(CE10/$CL33)*(1-'Portfolio-Level CF'!$AC$52)</f>
        <v>27906402.93</v>
      </c>
      <c r="CR33" s="328">
        <f>(CF10/$CL33)*(1-'Portfolio-Level CF'!$AC$52)</f>
        <v>28394537.25</v>
      </c>
      <c r="CS33" s="328">
        <f>(CG10/$CL33)*(1-'Portfolio-Level CF'!$AC$52)</f>
        <v>28888113.66</v>
      </c>
      <c r="CT33" s="328">
        <f>(CH10/$CL33)*(1-'Portfolio-Level CF'!$AC$52)</f>
        <v>29389612.830000002</v>
      </c>
      <c r="CU33" s="328">
        <f>(CI10/$CL33)*(1-'Portfolio-Level CF'!$AC$52)</f>
        <v>29913111.120000001</v>
      </c>
      <c r="CV33" s="329">
        <f>(CJ10/$CL33)*(1-'Portfolio-Level CF'!$AC$52)</f>
        <v>30471819.539999999</v>
      </c>
      <c r="CX33" s="125" t="s">
        <v>157</v>
      </c>
      <c r="CY33" s="155"/>
      <c r="CZ33" s="309">
        <f t="shared" ref="CZ33:DI33" si="131">CZ23-CZ29</f>
        <v>3539532.2975133462</v>
      </c>
      <c r="DA33" s="309">
        <f t="shared" si="131"/>
        <v>3653992.9836420855</v>
      </c>
      <c r="DB33" s="309">
        <f t="shared" si="131"/>
        <v>3874785.6350735491</v>
      </c>
      <c r="DC33" s="309">
        <f t="shared" si="131"/>
        <v>4099988.2102244413</v>
      </c>
      <c r="DD33" s="309">
        <f t="shared" si="131"/>
        <v>4329711.8836423056</v>
      </c>
      <c r="DE33" s="309">
        <f t="shared" si="131"/>
        <v>4564030.7716921819</v>
      </c>
      <c r="DF33" s="309">
        <f t="shared" si="131"/>
        <v>4803018.990739095</v>
      </c>
      <c r="DG33" s="309">
        <f t="shared" si="131"/>
        <v>5046806.2444218555</v>
      </c>
      <c r="DH33" s="309">
        <f t="shared" si="131"/>
        <v>5295448.1200142382</v>
      </c>
      <c r="DI33" s="310">
        <f t="shared" si="131"/>
        <v>5549074.321155048</v>
      </c>
      <c r="DK33" s="291">
        <v>5.0999999999999997E-2</v>
      </c>
      <c r="DL33" s="328">
        <f>(CZ10/$DK33)*(1-'Portfolio-Level CF'!$AC$52)</f>
        <v>11012549.676470589</v>
      </c>
      <c r="DM33" s="328">
        <f>(DA10/$DK33)*(1-'Portfolio-Level CF'!$AC$52)</f>
        <v>11232808.588235294</v>
      </c>
      <c r="DN33" s="328">
        <f>(DB10/$DK33)*(1-'Portfolio-Level CF'!$AC$52)</f>
        <v>11457460.235294119</v>
      </c>
      <c r="DO33" s="328">
        <f>(DC10/$DK33)*(1-'Portfolio-Level CF'!$AC$52)</f>
        <v>11686598.882352943</v>
      </c>
      <c r="DP33" s="328">
        <f>(DD10/$DK33)*(1-'Portfolio-Level CF'!$AC$52)</f>
        <v>11920337.647058824</v>
      </c>
      <c r="DQ33" s="328">
        <f>(DE10/$DK33)*(1-'Portfolio-Level CF'!$AC$52)</f>
        <v>12158751.94117647</v>
      </c>
      <c r="DR33" s="328">
        <f>(DF10/$DK33)*(1-'Portfolio-Level CF'!$AC$52)</f>
        <v>12401917.176470589</v>
      </c>
      <c r="DS33" s="328">
        <f>(DG10/$DK33)*(1-'Portfolio-Level CF'!$AC$52)</f>
        <v>12649965.323529413</v>
      </c>
      <c r="DT33" s="328">
        <f>(DH10/$DK33)*(1-'Portfolio-Level CF'!$AC$52)</f>
        <v>12902952.94117647</v>
      </c>
      <c r="DU33" s="329">
        <f>(DI10/$DK33)*(1-'Portfolio-Level CF'!$AC$52)</f>
        <v>13161012</v>
      </c>
      <c r="DW33" s="125" t="s">
        <v>157</v>
      </c>
      <c r="DX33" s="155"/>
      <c r="DY33" s="309">
        <f t="shared" ref="DY33:EH33" si="132">DY23-DY29</f>
        <v>8438450.7138884775</v>
      </c>
      <c r="DZ33" s="309">
        <f t="shared" si="132"/>
        <v>8713321.0320231803</v>
      </c>
      <c r="EA33" s="309">
        <f t="shared" si="132"/>
        <v>9236299.1552377716</v>
      </c>
      <c r="EB33" s="309">
        <f t="shared" si="132"/>
        <v>9773521.3594548218</v>
      </c>
      <c r="EC33" s="309">
        <f t="shared" si="132"/>
        <v>10321544.669293899</v>
      </c>
      <c r="ED33" s="309">
        <f t="shared" si="132"/>
        <v>10881411.814441655</v>
      </c>
      <c r="EE33" s="309">
        <f t="shared" si="132"/>
        <v>11448578.067395914</v>
      </c>
      <c r="EF33" s="309">
        <f t="shared" si="132"/>
        <v>12033510.073313192</v>
      </c>
      <c r="EG33" s="309">
        <f t="shared" si="132"/>
        <v>12623301.593053125</v>
      </c>
      <c r="EH33" s="310">
        <f t="shared" si="132"/>
        <v>13227356.867940553</v>
      </c>
      <c r="EJ33" s="291">
        <v>4.8000000000000001E-2</v>
      </c>
      <c r="EK33" s="328">
        <f>(DY10/$EJ33)*(1-'Portfolio-Level CF'!$AC$52)</f>
        <v>26271925.84375</v>
      </c>
      <c r="EL33" s="328">
        <f>(DZ10/$EJ33)*(1-'Portfolio-Level CF'!$AC$52)</f>
        <v>26799408.75</v>
      </c>
      <c r="EM33" s="328">
        <f>(EA10/$EJ33)*(1-'Portfolio-Level CF'!$AC$52)</f>
        <v>27331879.4375</v>
      </c>
      <c r="EN33" s="328">
        <f>(EB10/$EJ33)*(1-'Portfolio-Level CF'!$AC$52)</f>
        <v>27878852.75</v>
      </c>
      <c r="EO33" s="328">
        <f>(EC10/$EJ33)*(1-'Portfolio-Level CF'!$AC$52)</f>
        <v>28436823.21875</v>
      </c>
      <c r="EP33" s="328">
        <f>(ED10/$EJ33)*(1-'Portfolio-Level CF'!$AC$52)</f>
        <v>29006852.5</v>
      </c>
      <c r="EQ33" s="328">
        <f>(EE10/$EJ33)*(1-'Portfolio-Level CF'!$AC$52)</f>
        <v>29584313.375</v>
      </c>
      <c r="ER33" s="328">
        <f>(EF10/$EJ33)*(1-'Portfolio-Level CF'!$AC$52)</f>
        <v>30179862.46875</v>
      </c>
      <c r="ES33" s="328">
        <f>(EG10/$EJ33)*(1-'Portfolio-Level CF'!$AC$52)</f>
        <v>30780359.28125</v>
      </c>
      <c r="ET33" s="329">
        <f>(EH10/$EJ33)*(1-'Portfolio-Level CF'!$AC$52)</f>
        <v>31395378.75</v>
      </c>
    </row>
    <row r="34" spans="2:150" x14ac:dyDescent="0.3">
      <c r="B34" s="154" t="s">
        <v>158</v>
      </c>
      <c r="C34" s="259"/>
      <c r="D34" s="309">
        <f t="shared" ref="D34:M34" si="133">D33+$C$39</f>
        <v>-516753.97485114727</v>
      </c>
      <c r="E34" s="309">
        <f t="shared" si="133"/>
        <v>-376118.50719848368</v>
      </c>
      <c r="F34" s="309">
        <f t="shared" si="133"/>
        <v>-228260.16797713097</v>
      </c>
      <c r="G34" s="309">
        <f t="shared" si="133"/>
        <v>-287574.66648044344</v>
      </c>
      <c r="H34" s="309">
        <f t="shared" si="133"/>
        <v>392237.95149341691</v>
      </c>
      <c r="I34" s="309">
        <f t="shared" si="133"/>
        <v>-409330.67644922901</v>
      </c>
      <c r="J34" s="309">
        <f t="shared" si="133"/>
        <v>-154643.69966267142</v>
      </c>
      <c r="K34" s="309">
        <f t="shared" si="133"/>
        <v>522650.84997849818</v>
      </c>
      <c r="L34" s="309">
        <f t="shared" si="133"/>
        <v>419870.87130114716</v>
      </c>
      <c r="M34" s="310">
        <f t="shared" si="133"/>
        <v>1140400.4896349376</v>
      </c>
      <c r="O34" s="289">
        <v>5.8000000000000003E-2</v>
      </c>
      <c r="P34" s="277">
        <f>(D10/$O34)*(1-'Portfolio-Level CF'!$AC$52)</f>
        <v>12877850.25</v>
      </c>
      <c r="Q34" s="277">
        <f>(E10/$O34)*(1-'Portfolio-Level CF'!$AC$52)</f>
        <v>13140886.810344828</v>
      </c>
      <c r="R34" s="277">
        <f>(F10/$O34)*(1-'Portfolio-Level CF'!$AC$52)</f>
        <v>13289819.844827587</v>
      </c>
      <c r="S34" s="277">
        <f>(G10/$O34)*(1-'Portfolio-Level CF'!$AC$52)</f>
        <v>13230074.22413793</v>
      </c>
      <c r="T34" s="277">
        <f>(H10/$O34)*(1-'Portfolio-Level CF'!$AC$52)</f>
        <v>13914828</v>
      </c>
      <c r="U34" s="277">
        <f>(I10/$O34)*(1-'Portfolio-Level CF'!$AC$52)</f>
        <v>13107433.241379309</v>
      </c>
      <c r="V34" s="277">
        <f>(J10/$O34)*(1-'Portfolio-Level CF'!$AC$52)</f>
        <v>13363971.387931034</v>
      </c>
      <c r="W34" s="277">
        <f>(K10/$O34)*(1-'Portfolio-Level CF'!$AC$52)</f>
        <v>14046188.793103447</v>
      </c>
      <c r="X34" s="277">
        <f>(L10/$O34)*(1-'Portfolio-Level CF'!$AC$52)</f>
        <v>13942661.767241379</v>
      </c>
      <c r="Y34" s="273">
        <f>(M10/$O34)*(1-'Portfolio-Level CF'!$AC$52)</f>
        <v>14668428.491379309</v>
      </c>
      <c r="AA34" s="154" t="s">
        <v>158</v>
      </c>
      <c r="AB34" s="259"/>
      <c r="AC34" s="309">
        <f t="shared" ref="AC34:AL34" si="134">AC33+$AB$39</f>
        <v>-422030.91660021571</v>
      </c>
      <c r="AD34" s="309">
        <f t="shared" si="134"/>
        <v>-784836.1688613086</v>
      </c>
      <c r="AE34" s="309">
        <f t="shared" si="134"/>
        <v>2218871.6896292572</v>
      </c>
      <c r="AF34" s="309">
        <f t="shared" si="134"/>
        <v>2549954.2367990692</v>
      </c>
      <c r="AG34" s="309">
        <f t="shared" si="134"/>
        <v>2866360.3028368042</v>
      </c>
      <c r="AH34" s="309">
        <f t="shared" si="134"/>
        <v>3015610.5009500128</v>
      </c>
      <c r="AI34" s="309">
        <f t="shared" si="134"/>
        <v>3164298.3122707666</v>
      </c>
      <c r="AJ34" s="309">
        <f t="shared" si="134"/>
        <v>3313820.6330254828</v>
      </c>
      <c r="AK34" s="309">
        <f t="shared" si="134"/>
        <v>3318664.4160443512</v>
      </c>
      <c r="AL34" s="310">
        <f t="shared" si="134"/>
        <v>3388491.0858556726</v>
      </c>
      <c r="AN34" s="289">
        <v>5.2999999999999999E-2</v>
      </c>
      <c r="AO34" s="277">
        <f>(AC10/$AN34)*(1-'Portfolio-Level CF'!$AC$52)</f>
        <v>7642854.6509433966</v>
      </c>
      <c r="AP34" s="277">
        <f>(AD10/$AN34)*(1-'Portfolio-Level CF'!$AC$52)</f>
        <v>10177005.820754718</v>
      </c>
      <c r="AQ34" s="277">
        <f>(AE10/$AN34)*(1-'Portfolio-Level CF'!$AC$52)</f>
        <v>13180713.679245284</v>
      </c>
      <c r="AR34" s="277">
        <f>(AF10/$AN34)*(1-'Portfolio-Level CF'!$AC$52)</f>
        <v>13511796.226415096</v>
      </c>
      <c r="AS34" s="277">
        <f>(AG10/$AN34)*(1-'Portfolio-Level CF'!$AC$52)</f>
        <v>13828202.292452831</v>
      </c>
      <c r="AT34" s="277">
        <f>(AH10/$AN34)*(1-'Portfolio-Level CF'!$AC$52)</f>
        <v>13977452.490566039</v>
      </c>
      <c r="AU34" s="277">
        <f>(AI10/$AN34)*(1-'Portfolio-Level CF'!$AC$52)</f>
        <v>14126140.301886793</v>
      </c>
      <c r="AV34" s="277">
        <f>(AJ10/$AN34)*(1-'Portfolio-Level CF'!$AC$52)</f>
        <v>14275662.622641509</v>
      </c>
      <c r="AW34" s="277">
        <f>(AK10/$AN34)*(1-'Portfolio-Level CF'!$AC$52)</f>
        <v>14280506.405660378</v>
      </c>
      <c r="AX34" s="273">
        <f>(AL10/$AN34)*(1-'Portfolio-Level CF'!$AC$52)</f>
        <v>14350333.075471699</v>
      </c>
      <c r="AZ34" s="154" t="s">
        <v>158</v>
      </c>
      <c r="BA34" s="259"/>
      <c r="BB34" s="309">
        <f t="shared" ref="BB34:BK34" si="135">BB33+$BA$39</f>
        <v>-541645.14546666015</v>
      </c>
      <c r="BC34" s="309">
        <f t="shared" si="135"/>
        <v>346810.44181182887</v>
      </c>
      <c r="BD34" s="309">
        <f t="shared" si="135"/>
        <v>1848365.0361514511</v>
      </c>
      <c r="BE34" s="309">
        <f t="shared" si="135"/>
        <v>1975736.5738873007</v>
      </c>
      <c r="BF34" s="309">
        <f t="shared" si="135"/>
        <v>2101838.2059627725</v>
      </c>
      <c r="BG34" s="309">
        <f t="shared" si="135"/>
        <v>2234724.7625665469</v>
      </c>
      <c r="BH34" s="309">
        <f t="shared" si="135"/>
        <v>3275612.0078495657</v>
      </c>
      <c r="BI34" s="309">
        <f t="shared" si="135"/>
        <v>3595446.8191703213</v>
      </c>
      <c r="BJ34" s="309">
        <f t="shared" si="135"/>
        <v>3725757.2814344717</v>
      </c>
      <c r="BK34" s="310">
        <f t="shared" si="135"/>
        <v>3838688.1776608853</v>
      </c>
      <c r="BM34" s="289">
        <v>4.7E-2</v>
      </c>
      <c r="BN34" s="277">
        <f>(BB10/$BM34)*(1-'Portfolio-Level CF'!$AC$52)</f>
        <v>13057967.840425532</v>
      </c>
      <c r="BO34" s="277">
        <f>(BC10/$BM34)*(1-'Portfolio-Level CF'!$AC$52)</f>
        <v>16255794.095744681</v>
      </c>
      <c r="BP34" s="277">
        <f>(BD10/$BM34)*(1-'Portfolio-Level CF'!$AC$52)</f>
        <v>17949036.5106383</v>
      </c>
      <c r="BQ34" s="277">
        <f>(BE10/$BM34)*(1-'Portfolio-Level CF'!$AC$52)</f>
        <v>18092668.244680852</v>
      </c>
      <c r="BR34" s="277">
        <f>(BF10/$BM34)*(1-'Portfolio-Level CF'!$AC$52)</f>
        <v>18234867.95744681</v>
      </c>
      <c r="BS34" s="277">
        <f>(BG10/$BM34)*(1-'Portfolio-Level CF'!$AC$52)</f>
        <v>18384718.755319148</v>
      </c>
      <c r="BT34" s="277">
        <f>(BH10/$BM34)*(1-'Portfolio-Level CF'!$AC$52)</f>
        <v>19558485.223404258</v>
      </c>
      <c r="BU34" s="277">
        <f>(BI10/$BM34)*(1-'Portfolio-Level CF'!$AC$52)</f>
        <v>19919150.0106383</v>
      </c>
      <c r="BV34" s="277">
        <f>(BJ10/$BM34)*(1-'Portfolio-Level CF'!$AC$52)</f>
        <v>20066095.851063829</v>
      </c>
      <c r="BW34" s="273">
        <f>(BK10/$BM34)*(1-'Portfolio-Level CF'!$AC$52)</f>
        <v>20193443.45744681</v>
      </c>
      <c r="BY34" s="154" t="s">
        <v>158</v>
      </c>
      <c r="BZ34" s="259"/>
      <c r="CA34" s="265">
        <f t="shared" ref="CA34:CJ34" si="136">CA33+$BZ$39</f>
        <v>-1033536.9414092228</v>
      </c>
      <c r="CB34" s="265">
        <f t="shared" si="136"/>
        <v>-829085.0530613102</v>
      </c>
      <c r="CC34" s="265">
        <f t="shared" si="136"/>
        <v>-377408.15694798157</v>
      </c>
      <c r="CD34" s="265">
        <f t="shared" si="136"/>
        <v>86466.526669591665</v>
      </c>
      <c r="CE34" s="265">
        <f t="shared" si="136"/>
        <v>556307.92987129465</v>
      </c>
      <c r="CF34" s="265">
        <f t="shared" si="136"/>
        <v>1035609.2270971946</v>
      </c>
      <c r="CG34" s="265">
        <f t="shared" si="136"/>
        <v>1520254.1371151991</v>
      </c>
      <c r="CH34" s="265">
        <f t="shared" si="136"/>
        <v>2012678.4410213679</v>
      </c>
      <c r="CI34" s="265">
        <f t="shared" si="136"/>
        <v>2526703.7803839818</v>
      </c>
      <c r="CJ34" s="297">
        <f t="shared" si="136"/>
        <v>3075302.10569131</v>
      </c>
      <c r="CL34" s="289">
        <v>5.0999999999999997E-2</v>
      </c>
      <c r="CM34" s="277">
        <f>(CA10/$CL34)*(1-'Portfolio-Level CF'!$AC$52)</f>
        <v>25531180.823529415</v>
      </c>
      <c r="CN34" s="277">
        <f>(CB10/$CL34)*(1-'Portfolio-Level CF'!$AC$52)</f>
        <v>25975959.411764707</v>
      </c>
      <c r="CO34" s="277">
        <f>(CC10/$CL34)*(1-'Portfolio-Level CF'!$AC$52)</f>
        <v>26426940.617647063</v>
      </c>
      <c r="CP34" s="277">
        <f>(CD10/$CL34)*(1-'Portfolio-Level CF'!$AC$52)</f>
        <v>26890100.823529415</v>
      </c>
      <c r="CQ34" s="277">
        <f>(CE10/$CL34)*(1-'Portfolio-Level CF'!$AC$52)</f>
        <v>27359218.55882353</v>
      </c>
      <c r="CR34" s="277">
        <f>(CF10/$CL34)*(1-'Portfolio-Level CF'!$AC$52)</f>
        <v>27837781.617647059</v>
      </c>
      <c r="CS34" s="277">
        <f>(CG10/$CL34)*(1-'Portfolio-Level CF'!$AC$52)</f>
        <v>28321680.05882353</v>
      </c>
      <c r="CT34" s="277">
        <f>(CH10/$CL34)*(1-'Portfolio-Level CF'!$AC$52)</f>
        <v>28813345.911764707</v>
      </c>
      <c r="CU34" s="277">
        <f>(CI10/$CL34)*(1-'Portfolio-Level CF'!$AC$52)</f>
        <v>29326579.529411767</v>
      </c>
      <c r="CV34" s="273">
        <f>(CJ10/$CL34)*(1-'Portfolio-Level CF'!$AC$52)</f>
        <v>29874332.882352944</v>
      </c>
      <c r="CX34" s="154" t="s">
        <v>158</v>
      </c>
      <c r="CY34" s="259"/>
      <c r="CZ34" s="309">
        <f t="shared" ref="CZ34:DI34" si="137">CZ33+$CY$39</f>
        <v>-437470.2839623238</v>
      </c>
      <c r="DA34" s="309">
        <f t="shared" si="137"/>
        <v>-323009.59783358453</v>
      </c>
      <c r="DB34" s="309">
        <f t="shared" si="137"/>
        <v>-102216.94640212087</v>
      </c>
      <c r="DC34" s="309">
        <f t="shared" si="137"/>
        <v>122985.62874877127</v>
      </c>
      <c r="DD34" s="309">
        <f t="shared" si="137"/>
        <v>352709.30216663564</v>
      </c>
      <c r="DE34" s="309">
        <f t="shared" si="137"/>
        <v>587028.19021651195</v>
      </c>
      <c r="DF34" s="309">
        <f t="shared" si="137"/>
        <v>826016.40926342504</v>
      </c>
      <c r="DG34" s="309">
        <f t="shared" si="137"/>
        <v>1069803.6629461856</v>
      </c>
      <c r="DH34" s="309">
        <f t="shared" si="137"/>
        <v>1318445.5385385682</v>
      </c>
      <c r="DI34" s="310">
        <f t="shared" si="137"/>
        <v>1572071.739679378</v>
      </c>
      <c r="DK34" s="289">
        <v>5.1999999999999998E-2</v>
      </c>
      <c r="DL34" s="277">
        <f>(CZ10/$DK34)*(1-'Portfolio-Level CF'!$AC$52)</f>
        <v>10800769.875</v>
      </c>
      <c r="DM34" s="277">
        <f>(DA10/$DK34)*(1-'Portfolio-Level CF'!$AC$52)</f>
        <v>11016793.03846154</v>
      </c>
      <c r="DN34" s="277">
        <f>(DB10/$DK34)*(1-'Portfolio-Level CF'!$AC$52)</f>
        <v>11237124.461538462</v>
      </c>
      <c r="DO34" s="277">
        <f>(DC10/$DK34)*(1-'Portfolio-Level CF'!$AC$52)</f>
        <v>11461856.596153846</v>
      </c>
      <c r="DP34" s="277">
        <f>(DD10/$DK34)*(1-'Portfolio-Level CF'!$AC$52)</f>
        <v>11691100.384615386</v>
      </c>
      <c r="DQ34" s="277">
        <f>(DE10/$DK34)*(1-'Portfolio-Level CF'!$AC$52)</f>
        <v>11924929.78846154</v>
      </c>
      <c r="DR34" s="277">
        <f>(DF10/$DK34)*(1-'Portfolio-Level CF'!$AC$52)</f>
        <v>12163418.769230772</v>
      </c>
      <c r="DS34" s="277">
        <f>(DG10/$DK34)*(1-'Portfolio-Level CF'!$AC$52)</f>
        <v>12406696.759615386</v>
      </c>
      <c r="DT34" s="277">
        <f>(DH10/$DK34)*(1-'Portfolio-Level CF'!$AC$52)</f>
        <v>12654819.230769232</v>
      </c>
      <c r="DU34" s="273">
        <f>(DI10/$DK34)*(1-'Portfolio-Level CF'!$AC$52)</f>
        <v>12907915.615384616</v>
      </c>
      <c r="DW34" s="154" t="s">
        <v>158</v>
      </c>
      <c r="DX34" s="259"/>
      <c r="DY34" s="309">
        <f t="shared" ref="DY34:EH34" si="138">DY33+$DX$39</f>
        <v>-1042954.5826154277</v>
      </c>
      <c r="DZ34" s="309">
        <f t="shared" si="138"/>
        <v>-768084.26448072493</v>
      </c>
      <c r="EA34" s="309">
        <f t="shared" si="138"/>
        <v>-245106.14126613364</v>
      </c>
      <c r="EB34" s="309">
        <f t="shared" si="138"/>
        <v>292116.06295091659</v>
      </c>
      <c r="EC34" s="309">
        <f t="shared" si="138"/>
        <v>840139.37278999388</v>
      </c>
      <c r="ED34" s="309">
        <f t="shared" si="138"/>
        <v>1400006.5179377496</v>
      </c>
      <c r="EE34" s="309">
        <f t="shared" si="138"/>
        <v>1967172.7708920091</v>
      </c>
      <c r="EF34" s="309">
        <f t="shared" si="138"/>
        <v>2552104.7768092863</v>
      </c>
      <c r="EG34" s="309">
        <f t="shared" si="138"/>
        <v>3141896.2965492196</v>
      </c>
      <c r="EH34" s="310">
        <f t="shared" si="138"/>
        <v>3745951.5714366473</v>
      </c>
      <c r="EJ34" s="289">
        <v>4.9000000000000002E-2</v>
      </c>
      <c r="EK34" s="277">
        <f>(DY10/$EJ34)*(1-'Portfolio-Level CF'!$AC$52)</f>
        <v>25735764.091836736</v>
      </c>
      <c r="EL34" s="277">
        <f>(DZ10/$EJ34)*(1-'Portfolio-Level CF'!$AC$52)</f>
        <v>26252482.040816326</v>
      </c>
      <c r="EM34" s="277">
        <f>(EA10/$EJ34)*(1-'Portfolio-Level CF'!$AC$52)</f>
        <v>26774085.979591839</v>
      </c>
      <c r="EN34" s="277">
        <f>(EB10/$EJ34)*(1-'Portfolio-Level CF'!$AC$52)</f>
        <v>27309896.571428571</v>
      </c>
      <c r="EO34" s="277">
        <f>(EC10/$EJ34)*(1-'Portfolio-Level CF'!$AC$52)</f>
        <v>27856479.8877551</v>
      </c>
      <c r="EP34" s="277">
        <f>(ED10/$EJ34)*(1-'Portfolio-Level CF'!$AC$52)</f>
        <v>28414875.918367349</v>
      </c>
      <c r="EQ34" s="277">
        <f>(EE10/$EJ34)*(1-'Portfolio-Level CF'!$AC$52)</f>
        <v>28980551.877551019</v>
      </c>
      <c r="ER34" s="277">
        <f>(EF10/$EJ34)*(1-'Portfolio-Level CF'!$AC$52)</f>
        <v>29563946.908163264</v>
      </c>
      <c r="ES34" s="277">
        <f>(EG10/$EJ34)*(1-'Portfolio-Level CF'!$AC$52)</f>
        <v>30152188.683673467</v>
      </c>
      <c r="ET34" s="273">
        <f>(EH10/$EJ34)*(1-'Portfolio-Level CF'!$AC$52)</f>
        <v>30754656.734693877</v>
      </c>
    </row>
    <row r="35" spans="2:150" x14ac:dyDescent="0.3">
      <c r="B35" s="145"/>
      <c r="C35" s="155"/>
      <c r="D35" s="309"/>
      <c r="E35" s="309"/>
      <c r="F35" s="309"/>
      <c r="G35" s="309"/>
      <c r="H35" s="309"/>
      <c r="I35" s="309"/>
      <c r="J35" s="309"/>
      <c r="K35" s="309"/>
      <c r="L35" s="309"/>
      <c r="M35" s="310"/>
      <c r="O35" s="289">
        <v>5.8999999999999997E-2</v>
      </c>
      <c r="P35" s="277">
        <f>(D10/$O35)*(1-'Portfolio-Level CF'!$AC$52)</f>
        <v>12659581.601694917</v>
      </c>
      <c r="Q35" s="277">
        <f>(E10/$O35)*(1-'Portfolio-Level CF'!$AC$52)</f>
        <v>12918159.915254239</v>
      </c>
      <c r="R35" s="277">
        <f>(F10/$O35)*(1-'Portfolio-Level CF'!$AC$52)</f>
        <v>13064568.661016949</v>
      </c>
      <c r="S35" s="277">
        <f>(G10/$O35)*(1-'Portfolio-Level CF'!$AC$52)</f>
        <v>13005835.677966103</v>
      </c>
      <c r="T35" s="277">
        <f>(H10/$O35)*(1-'Portfolio-Level CF'!$AC$52)</f>
        <v>13678983.457627121</v>
      </c>
      <c r="U35" s="277">
        <f>(I10/$O35)*(1-'Portfolio-Level CF'!$AC$52)</f>
        <v>12885273.355932204</v>
      </c>
      <c r="V35" s="277">
        <f>(J10/$O35)*(1-'Portfolio-Level CF'!$AC$52)</f>
        <v>13137463.398305086</v>
      </c>
      <c r="W35" s="277">
        <f>(K10/$O35)*(1-'Portfolio-Level CF'!$AC$52)</f>
        <v>13808117.796610169</v>
      </c>
      <c r="X35" s="277">
        <f>(L10/$O35)*(1-'Portfolio-Level CF'!$AC$52)</f>
        <v>13706345.466101697</v>
      </c>
      <c r="Y35" s="273">
        <f>(M10/$O35)*(1-'Portfolio-Level CF'!$AC$52)</f>
        <v>14419811.059322035</v>
      </c>
      <c r="AA35" s="145"/>
      <c r="AB35" s="155"/>
      <c r="AC35" s="309"/>
      <c r="AD35" s="309"/>
      <c r="AE35" s="309"/>
      <c r="AF35" s="309"/>
      <c r="AG35" s="309"/>
      <c r="AH35" s="309"/>
      <c r="AI35" s="309"/>
      <c r="AJ35" s="309"/>
      <c r="AK35" s="309"/>
      <c r="AL35" s="310"/>
      <c r="AN35" s="289">
        <v>5.3999999999999999E-2</v>
      </c>
      <c r="AO35" s="277">
        <f>(AC10/$AN35)*(1-'Portfolio-Level CF'!$AC$52)</f>
        <v>7501320.305555556</v>
      </c>
      <c r="AP35" s="277">
        <f>(AD10/$AN35)*(1-'Portfolio-Level CF'!$AC$52)</f>
        <v>9988542.75</v>
      </c>
      <c r="AQ35" s="277">
        <f>(AE10/$AN35)*(1-'Portfolio-Level CF'!$AC$52)</f>
        <v>12936626.38888889</v>
      </c>
      <c r="AR35" s="277">
        <f>(AF10/$AN35)*(1-'Portfolio-Level CF'!$AC$52)</f>
        <v>13261577.777777778</v>
      </c>
      <c r="AS35" s="277">
        <f>(AG10/$AN35)*(1-'Portfolio-Level CF'!$AC$52)</f>
        <v>13572124.472222224</v>
      </c>
      <c r="AT35" s="277">
        <f>(AH10/$AN35)*(1-'Portfolio-Level CF'!$AC$52)</f>
        <v>13718610.777777778</v>
      </c>
      <c r="AU35" s="277">
        <f>(AI10/$AN35)*(1-'Portfolio-Level CF'!$AC$52)</f>
        <v>13864545.111111112</v>
      </c>
      <c r="AV35" s="277">
        <f>(AJ10/$AN35)*(1-'Portfolio-Level CF'!$AC$52)</f>
        <v>14011298.5</v>
      </c>
      <c r="AW35" s="277">
        <f>(AK10/$AN35)*(1-'Portfolio-Level CF'!$AC$52)</f>
        <v>14016052.583333334</v>
      </c>
      <c r="AX35" s="273">
        <f>(AL10/$AN35)*(1-'Portfolio-Level CF'!$AC$52)</f>
        <v>14084586.166666668</v>
      </c>
      <c r="AZ35" s="145"/>
      <c r="BA35" s="155"/>
      <c r="BB35" s="309"/>
      <c r="BC35" s="309"/>
      <c r="BD35" s="309"/>
      <c r="BE35" s="309"/>
      <c r="BF35" s="309"/>
      <c r="BG35" s="309"/>
      <c r="BH35" s="309"/>
      <c r="BI35" s="309"/>
      <c r="BJ35" s="309"/>
      <c r="BK35" s="310"/>
      <c r="BM35" s="289">
        <v>0.05</v>
      </c>
      <c r="BN35" s="277">
        <f>(BB10/$BM35)*(1-'Portfolio-Level CF'!$AC$52)</f>
        <v>12274489.77</v>
      </c>
      <c r="BO35" s="277">
        <f>(BC10/$BM35)*(1-'Portfolio-Level CF'!$AC$52)</f>
        <v>15280446.450000001</v>
      </c>
      <c r="BP35" s="277">
        <f>(BD10/$BM35)*(1-'Portfolio-Level CF'!$AC$52)</f>
        <v>16872094.32</v>
      </c>
      <c r="BQ35" s="277">
        <f>(BE10/$BM35)*(1-'Portfolio-Level CF'!$AC$52)</f>
        <v>17007108.150000002</v>
      </c>
      <c r="BR35" s="277">
        <f>(BF10/$BM35)*(1-'Portfolio-Level CF'!$AC$52)</f>
        <v>17140775.879999999</v>
      </c>
      <c r="BS35" s="277">
        <f>(BG10/$BM35)*(1-'Portfolio-Level CF'!$AC$52)</f>
        <v>17281635.629999999</v>
      </c>
      <c r="BT35" s="277">
        <f>(BH10/$BM35)*(1-'Portfolio-Level CF'!$AC$52)</f>
        <v>18384976.109999999</v>
      </c>
      <c r="BU35" s="277">
        <f>(BI10/$BM35)*(1-'Portfolio-Level CF'!$AC$52)</f>
        <v>18724001.010000002</v>
      </c>
      <c r="BV35" s="277">
        <f>(BJ10/$BM35)*(1-'Portfolio-Level CF'!$AC$52)</f>
        <v>18862130.100000001</v>
      </c>
      <c r="BW35" s="273">
        <f>(BK10/$BM35)*(1-'Portfolio-Level CF'!$AC$52)</f>
        <v>18981836.850000001</v>
      </c>
      <c r="BY35" s="145"/>
      <c r="BZ35" s="155"/>
      <c r="CA35" s="309"/>
      <c r="CB35" s="309"/>
      <c r="CC35" s="309"/>
      <c r="CD35" s="309"/>
      <c r="CE35" s="309"/>
      <c r="CF35" s="309"/>
      <c r="CG35" s="309"/>
      <c r="CH35" s="309"/>
      <c r="CI35" s="309"/>
      <c r="CJ35" s="310"/>
      <c r="CL35" s="289">
        <v>5.1999999999999998E-2</v>
      </c>
      <c r="CM35" s="277">
        <f>(CA10/$CL35)*(1-'Portfolio-Level CF'!$AC$52)</f>
        <v>25040196.57692308</v>
      </c>
      <c r="CN35" s="277">
        <f>(CB10/$CL35)*(1-'Portfolio-Level CF'!$AC$52)</f>
        <v>25476421.730769232</v>
      </c>
      <c r="CO35" s="277">
        <f>(CC10/$CL35)*(1-'Portfolio-Level CF'!$AC$52)</f>
        <v>25918730.221153848</v>
      </c>
      <c r="CP35" s="277">
        <f>(CD10/$CL35)*(1-'Portfolio-Level CF'!$AC$52)</f>
        <v>26372983.5</v>
      </c>
      <c r="CQ35" s="277">
        <f>(CE10/$CL35)*(1-'Portfolio-Level CF'!$AC$52)</f>
        <v>26833079.740384616</v>
      </c>
      <c r="CR35" s="277">
        <f>(CF10/$CL35)*(1-'Portfolio-Level CF'!$AC$52)</f>
        <v>27302439.663461544</v>
      </c>
      <c r="CS35" s="277">
        <f>(CG10/$CL35)*(1-'Portfolio-Level CF'!$AC$52)</f>
        <v>27777032.365384616</v>
      </c>
      <c r="CT35" s="277">
        <f>(CH10/$CL35)*(1-'Portfolio-Level CF'!$AC$52)</f>
        <v>28259243.105769232</v>
      </c>
      <c r="CU35" s="277">
        <f>(CI10/$CL35)*(1-'Portfolio-Level CF'!$AC$52)</f>
        <v>28762606.846153848</v>
      </c>
      <c r="CV35" s="273">
        <f>(CJ10/$CL35)*(1-'Portfolio-Level CF'!$AC$52)</f>
        <v>29299826.480769232</v>
      </c>
      <c r="CX35" s="145"/>
      <c r="CY35" s="155"/>
      <c r="CZ35" s="309"/>
      <c r="DA35" s="309"/>
      <c r="DB35" s="309"/>
      <c r="DC35" s="309"/>
      <c r="DD35" s="309"/>
      <c r="DE35" s="309"/>
      <c r="DF35" s="309"/>
      <c r="DG35" s="309"/>
      <c r="DH35" s="309"/>
      <c r="DI35" s="310"/>
      <c r="DK35" s="289">
        <v>5.2999999999999999E-2</v>
      </c>
      <c r="DL35" s="277">
        <f>(CZ10/$DK35)*(1-'Portfolio-Level CF'!$AC$52)</f>
        <v>10596981.764150944</v>
      </c>
      <c r="DM35" s="277">
        <f>(DA10/$DK35)*(1-'Portfolio-Level CF'!$AC$52)</f>
        <v>10808929.018867925</v>
      </c>
      <c r="DN35" s="277">
        <f>(DB10/$DK35)*(1-'Portfolio-Level CF'!$AC$52)</f>
        <v>11025103.245283019</v>
      </c>
      <c r="DO35" s="277">
        <f>(DC10/$DK35)*(1-'Portfolio-Level CF'!$AC$52)</f>
        <v>11245595.150943397</v>
      </c>
      <c r="DP35" s="277">
        <f>(DD10/$DK35)*(1-'Portfolio-Level CF'!$AC$52)</f>
        <v>11470513.584905662</v>
      </c>
      <c r="DQ35" s="277">
        <f>(DE10/$DK35)*(1-'Portfolio-Level CF'!$AC$52)</f>
        <v>11699931.113207547</v>
      </c>
      <c r="DR35" s="277">
        <f>(DF10/$DK35)*(1-'Portfolio-Level CF'!$AC$52)</f>
        <v>11933920.301886793</v>
      </c>
      <c r="DS35" s="277">
        <f>(DG10/$DK35)*(1-'Portfolio-Level CF'!$AC$52)</f>
        <v>12172608.141509434</v>
      </c>
      <c r="DT35" s="277">
        <f>(DH10/$DK35)*(1-'Portfolio-Level CF'!$AC$52)</f>
        <v>12416049.056603774</v>
      </c>
      <c r="DU35" s="273">
        <f>(DI10/$DK35)*(1-'Portfolio-Level CF'!$AC$52)</f>
        <v>12664370.03773585</v>
      </c>
      <c r="DW35" s="145"/>
      <c r="DX35" s="155"/>
      <c r="DY35" s="309"/>
      <c r="DZ35" s="309"/>
      <c r="EA35" s="309"/>
      <c r="EB35" s="309"/>
      <c r="EC35" s="309"/>
      <c r="ED35" s="309"/>
      <c r="EE35" s="309"/>
      <c r="EF35" s="309"/>
      <c r="EG35" s="309"/>
      <c r="EH35" s="310"/>
      <c r="EJ35" s="289">
        <v>0.05</v>
      </c>
      <c r="EK35" s="277">
        <f>(DY10/$EJ35)*(1-'Portfolio-Level CF'!$AC$52)</f>
        <v>25221048.810000002</v>
      </c>
      <c r="EL35" s="277">
        <f>(DZ10/$EJ35)*(1-'Portfolio-Level CF'!$AC$52)</f>
        <v>25727432.400000002</v>
      </c>
      <c r="EM35" s="277">
        <f>(EA10/$EJ35)*(1-'Portfolio-Level CF'!$AC$52)</f>
        <v>26238604.260000002</v>
      </c>
      <c r="EN35" s="277">
        <f>(EB10/$EJ35)*(1-'Portfolio-Level CF'!$AC$52)</f>
        <v>26763698.640000001</v>
      </c>
      <c r="EO35" s="277">
        <f>(EC10/$EJ35)*(1-'Portfolio-Level CF'!$AC$52)</f>
        <v>27299350.289999999</v>
      </c>
      <c r="EP35" s="277">
        <f>(ED10/$EJ35)*(1-'Portfolio-Level CF'!$AC$52)</f>
        <v>27846578.400000002</v>
      </c>
      <c r="EQ35" s="277">
        <f>(EE10/$EJ35)*(1-'Portfolio-Level CF'!$AC$52)</f>
        <v>28400940.84</v>
      </c>
      <c r="ER35" s="277">
        <f>(EF10/$EJ35)*(1-'Portfolio-Level CF'!$AC$52)</f>
        <v>28972667.969999999</v>
      </c>
      <c r="ES35" s="277">
        <f>(EG10/$EJ35)*(1-'Portfolio-Level CF'!$AC$52)</f>
        <v>29549144.91</v>
      </c>
      <c r="ET35" s="273">
        <f>(EH10/$EJ35)*(1-'Portfolio-Level CF'!$AC$52)</f>
        <v>30139563.600000001</v>
      </c>
    </row>
    <row r="36" spans="2:150" x14ac:dyDescent="0.3">
      <c r="B36" s="125" t="s">
        <v>159</v>
      </c>
      <c r="C36" s="259"/>
      <c r="D36" s="265">
        <f t="shared" ref="D36:M36" si="139">D14-D30</f>
        <v>402394.67416463309</v>
      </c>
      <c r="E36" s="265">
        <f t="shared" si="139"/>
        <v>372730.67416463309</v>
      </c>
      <c r="F36" s="265">
        <f t="shared" si="139"/>
        <v>373602.67416463309</v>
      </c>
      <c r="G36" s="265">
        <f t="shared" si="139"/>
        <v>117702.67416463309</v>
      </c>
      <c r="H36" s="265">
        <f t="shared" si="139"/>
        <v>465967.67416463309</v>
      </c>
      <c r="I36" s="265">
        <f t="shared" si="139"/>
        <v>417263.67416463309</v>
      </c>
      <c r="J36" s="265">
        <f t="shared" si="139"/>
        <v>-15054.325835366908</v>
      </c>
      <c r="K36" s="265">
        <f t="shared" si="139"/>
        <v>473891.67416463309</v>
      </c>
      <c r="L36" s="265">
        <f t="shared" si="139"/>
        <v>94110.674164633092</v>
      </c>
      <c r="M36" s="297">
        <f t="shared" si="139"/>
        <v>279425.67416463309</v>
      </c>
      <c r="O36" s="289">
        <v>0.06</v>
      </c>
      <c r="P36" s="277">
        <f>(D10/$O36)*(1-'Portfolio-Level CF'!$AC$52)</f>
        <v>12448588.575000001</v>
      </c>
      <c r="Q36" s="277">
        <f>(E10/$O36)*(1-'Portfolio-Level CF'!$AC$52)</f>
        <v>12702857.25</v>
      </c>
      <c r="R36" s="277">
        <f>(F10/$O36)*(1-'Portfolio-Level CF'!$AC$52)</f>
        <v>12846825.850000001</v>
      </c>
      <c r="S36" s="277">
        <f>(G10/$O36)*(1-'Portfolio-Level CF'!$AC$52)</f>
        <v>12789071.750000002</v>
      </c>
      <c r="T36" s="277">
        <f>(H10/$O36)*(1-'Portfolio-Level CF'!$AC$52)</f>
        <v>13451000.4</v>
      </c>
      <c r="U36" s="277">
        <f>(I10/$O36)*(1-'Portfolio-Level CF'!$AC$52)</f>
        <v>12670518.800000001</v>
      </c>
      <c r="V36" s="277">
        <f>(J10/$O36)*(1-'Portfolio-Level CF'!$AC$52)</f>
        <v>12918505.675000001</v>
      </c>
      <c r="W36" s="277">
        <f>(K10/$O36)*(1-'Portfolio-Level CF'!$AC$52)</f>
        <v>13577982.500000002</v>
      </c>
      <c r="X36" s="277">
        <f>(L10/$O36)*(1-'Portfolio-Level CF'!$AC$52)</f>
        <v>13477906.375</v>
      </c>
      <c r="Y36" s="273">
        <f>(M10/$O36)*(1-'Portfolio-Level CF'!$AC$52)</f>
        <v>14179480.875</v>
      </c>
      <c r="AA36" s="125" t="s">
        <v>159</v>
      </c>
      <c r="AB36" s="259"/>
      <c r="AC36" s="265">
        <f t="shared" ref="AC36:AL36" si="140">AC14-AC30</f>
        <v>115319.24401441769</v>
      </c>
      <c r="AD36" s="265">
        <f t="shared" si="140"/>
        <v>255007.24401441769</v>
      </c>
      <c r="AE36" s="265">
        <f t="shared" si="140"/>
        <v>420578.24401441769</v>
      </c>
      <c r="AF36" s="265">
        <f t="shared" si="140"/>
        <v>438828.24401441769</v>
      </c>
      <c r="AG36" s="265">
        <f t="shared" si="140"/>
        <v>456269.24401441769</v>
      </c>
      <c r="AH36" s="265">
        <f t="shared" si="140"/>
        <v>464496.24401441769</v>
      </c>
      <c r="AI36" s="265">
        <f t="shared" si="140"/>
        <v>472692.24401441769</v>
      </c>
      <c r="AJ36" s="265">
        <f t="shared" si="140"/>
        <v>480934.24401441769</v>
      </c>
      <c r="AK36" s="265">
        <f t="shared" si="140"/>
        <v>375883.24401441769</v>
      </c>
      <c r="AL36" s="297">
        <f t="shared" si="140"/>
        <v>270762.24401441769</v>
      </c>
      <c r="AN36" s="289">
        <v>5.5E-2</v>
      </c>
      <c r="AO36" s="277">
        <f>(AC10/$AN36)*(1-'Portfolio-Level CF'!$AC$52)</f>
        <v>7364932.6636363631</v>
      </c>
      <c r="AP36" s="277">
        <f>(AD10/$AN36)*(1-'Portfolio-Level CF'!$AC$52)</f>
        <v>9806932.8818181828</v>
      </c>
      <c r="AQ36" s="277">
        <f>(AE10/$AN36)*(1-'Portfolio-Level CF'!$AC$52)</f>
        <v>12701415</v>
      </c>
      <c r="AR36" s="277">
        <f>(AF10/$AN36)*(1-'Portfolio-Level CF'!$AC$52)</f>
        <v>13020458.181818182</v>
      </c>
      <c r="AS36" s="277">
        <f>(AG10/$AN36)*(1-'Portfolio-Level CF'!$AC$52)</f>
        <v>13325358.572727274</v>
      </c>
      <c r="AT36" s="277">
        <f>(AH10/$AN36)*(1-'Portfolio-Level CF'!$AC$52)</f>
        <v>13469181.490909092</v>
      </c>
      <c r="AU36" s="277">
        <f>(AI10/$AN36)*(1-'Portfolio-Level CF'!$AC$52)</f>
        <v>13612462.472727275</v>
      </c>
      <c r="AV36" s="277">
        <f>(AJ10/$AN36)*(1-'Portfolio-Level CF'!$AC$52)</f>
        <v>13756547.618181819</v>
      </c>
      <c r="AW36" s="277">
        <f>(AK10/$AN36)*(1-'Portfolio-Level CF'!$AC$52)</f>
        <v>13761215.263636364</v>
      </c>
      <c r="AX36" s="273">
        <f>(AL10/$AN36)*(1-'Portfolio-Level CF'!$AC$52)</f>
        <v>13828502.781818181</v>
      </c>
      <c r="AZ36" s="125" t="s">
        <v>159</v>
      </c>
      <c r="BA36" s="259"/>
      <c r="BB36" s="265">
        <f t="shared" ref="BB36:BK36" si="141">BB14-BB30</f>
        <v>247281.3759169695</v>
      </c>
      <c r="BC36" s="265">
        <f t="shared" si="141"/>
        <v>403597.3759169695</v>
      </c>
      <c r="BD36" s="265">
        <f t="shared" si="141"/>
        <v>486366.3759169695</v>
      </c>
      <c r="BE36" s="265">
        <f t="shared" si="141"/>
        <v>493387.3759169695</v>
      </c>
      <c r="BF36" s="265">
        <f t="shared" si="141"/>
        <v>500338.3759169695</v>
      </c>
      <c r="BG36" s="265">
        <f t="shared" si="141"/>
        <v>507663.3759169695</v>
      </c>
      <c r="BH36" s="265">
        <f t="shared" si="141"/>
        <v>565039.3759169695</v>
      </c>
      <c r="BI36" s="265">
        <f t="shared" si="141"/>
        <v>582669.3759169695</v>
      </c>
      <c r="BJ36" s="265">
        <f t="shared" si="141"/>
        <v>589852.3759169695</v>
      </c>
      <c r="BK36" s="297">
        <f t="shared" si="141"/>
        <v>596077.3759169695</v>
      </c>
      <c r="BM36" s="289">
        <v>5.2999999999999999E-2</v>
      </c>
      <c r="BN36" s="277">
        <f>(BB10/$BM36)*(1-'Portfolio-Level CF'!$AC$52)</f>
        <v>11579707.330188679</v>
      </c>
      <c r="BO36" s="277">
        <f>(BC10/$BM36)*(1-'Portfolio-Level CF'!$AC$52)</f>
        <v>14415515.518867925</v>
      </c>
      <c r="BP36" s="277">
        <f>(BD10/$BM36)*(1-'Portfolio-Level CF'!$AC$52)</f>
        <v>15917070.113207547</v>
      </c>
      <c r="BQ36" s="277">
        <f>(BE10/$BM36)*(1-'Portfolio-Level CF'!$AC$52)</f>
        <v>16044441.650943397</v>
      </c>
      <c r="BR36" s="277">
        <f>(BF10/$BM36)*(1-'Portfolio-Level CF'!$AC$52)</f>
        <v>16170543.283018868</v>
      </c>
      <c r="BS36" s="277">
        <f>(BG10/$BM36)*(1-'Portfolio-Level CF'!$AC$52)</f>
        <v>16303429.839622643</v>
      </c>
      <c r="BT36" s="277">
        <f>(BH10/$BM36)*(1-'Portfolio-Level CF'!$AC$52)</f>
        <v>17344317.084905662</v>
      </c>
      <c r="BU36" s="277">
        <f>(BI10/$BM36)*(1-'Portfolio-Level CF'!$AC$52)</f>
        <v>17664151.896226417</v>
      </c>
      <c r="BV36" s="277">
        <f>(BJ10/$BM36)*(1-'Portfolio-Level CF'!$AC$52)</f>
        <v>17794462.358490568</v>
      </c>
      <c r="BW36" s="273">
        <f>(BK10/$BM36)*(1-'Portfolio-Level CF'!$AC$52)</f>
        <v>17907393.254716981</v>
      </c>
      <c r="BY36" s="125" t="s">
        <v>159</v>
      </c>
      <c r="BZ36" s="259"/>
      <c r="CA36" s="265">
        <f t="shared" ref="CA36:CJ36" si="142">CA14-CA30</f>
        <v>615131.72188144631</v>
      </c>
      <c r="CB36" s="265">
        <f t="shared" si="142"/>
        <v>638723.72188144631</v>
      </c>
      <c r="CC36" s="265">
        <f t="shared" si="142"/>
        <v>662644.72188144631</v>
      </c>
      <c r="CD36" s="265">
        <f t="shared" si="142"/>
        <v>687211.72188144631</v>
      </c>
      <c r="CE36" s="265">
        <f t="shared" si="142"/>
        <v>712094.72188144631</v>
      </c>
      <c r="CF36" s="265">
        <f t="shared" si="142"/>
        <v>737478.72188144631</v>
      </c>
      <c r="CG36" s="265">
        <f t="shared" si="142"/>
        <v>763145.72188144631</v>
      </c>
      <c r="CH36" s="265">
        <f t="shared" si="142"/>
        <v>789224.72188144631</v>
      </c>
      <c r="CI36" s="265">
        <f t="shared" si="142"/>
        <v>816447.72188144631</v>
      </c>
      <c r="CJ36" s="297">
        <f t="shared" si="142"/>
        <v>845501.72188144631</v>
      </c>
      <c r="CL36" s="289">
        <v>5.2999999999999999E-2</v>
      </c>
      <c r="CM36" s="277">
        <f>(CA10/$CL36)*(1-'Portfolio-Level CF'!$AC$52)</f>
        <v>24567740.03773585</v>
      </c>
      <c r="CN36" s="277">
        <f>(CB10/$CL36)*(1-'Portfolio-Level CF'!$AC$52)</f>
        <v>24995734.528301887</v>
      </c>
      <c r="CO36" s="277">
        <f>(CC10/$CL36)*(1-'Portfolio-Level CF'!$AC$52)</f>
        <v>25429697.575471699</v>
      </c>
      <c r="CP36" s="277">
        <f>(CD10/$CL36)*(1-'Portfolio-Level CF'!$AC$52)</f>
        <v>25875380.03773585</v>
      </c>
      <c r="CQ36" s="277">
        <f>(CE10/$CL36)*(1-'Portfolio-Level CF'!$AC$52)</f>
        <v>26326795.216981132</v>
      </c>
      <c r="CR36" s="277">
        <f>(CF10/$CL36)*(1-'Portfolio-Level CF'!$AC$52)</f>
        <v>26787299.292452835</v>
      </c>
      <c r="CS36" s="277">
        <f>(CG10/$CL36)*(1-'Portfolio-Level CF'!$AC$52)</f>
        <v>27252937.415094338</v>
      </c>
      <c r="CT36" s="277">
        <f>(CH10/$CL36)*(1-'Portfolio-Level CF'!$AC$52)</f>
        <v>27726049.839622643</v>
      </c>
      <c r="CU36" s="277">
        <f>(CI10/$CL36)*(1-'Portfolio-Level CF'!$AC$52)</f>
        <v>28219916.150943398</v>
      </c>
      <c r="CV36" s="273">
        <f>(CJ10/$CL36)*(1-'Portfolio-Level CF'!$AC$52)</f>
        <v>28746999.566037737</v>
      </c>
      <c r="CX36" s="125" t="s">
        <v>159</v>
      </c>
      <c r="CY36" s="259"/>
      <c r="CZ36" s="265">
        <f t="shared" ref="CZ36:DI36" si="143">CZ14-CZ30</f>
        <v>267356.01958014775</v>
      </c>
      <c r="DA36" s="265">
        <f t="shared" si="143"/>
        <v>279039.01958014775</v>
      </c>
      <c r="DB36" s="265">
        <f t="shared" si="143"/>
        <v>290955.01958014775</v>
      </c>
      <c r="DC36" s="265">
        <f t="shared" si="143"/>
        <v>303109.01958014775</v>
      </c>
      <c r="DD36" s="265">
        <f t="shared" si="143"/>
        <v>315507.01958014775</v>
      </c>
      <c r="DE36" s="265">
        <f t="shared" si="143"/>
        <v>328153.01958014775</v>
      </c>
      <c r="DF36" s="265">
        <f t="shared" si="143"/>
        <v>341051.01958014775</v>
      </c>
      <c r="DG36" s="265">
        <f t="shared" si="143"/>
        <v>354208.01958014775</v>
      </c>
      <c r="DH36" s="265">
        <f t="shared" si="143"/>
        <v>367627.01958014775</v>
      </c>
      <c r="DI36" s="297">
        <f t="shared" si="143"/>
        <v>381315.01958014775</v>
      </c>
      <c r="DK36" s="289">
        <v>5.3999999999999999E-2</v>
      </c>
      <c r="DL36" s="277">
        <f>(CZ10/$DK36)*(1-'Portfolio-Level CF'!$AC$52)</f>
        <v>10400741.361111112</v>
      </c>
      <c r="DM36" s="277">
        <f>(DA10/$DK36)*(1-'Portfolio-Level CF'!$AC$52)</f>
        <v>10608763.666666668</v>
      </c>
      <c r="DN36" s="277">
        <f>(DB10/$DK36)*(1-'Portfolio-Level CF'!$AC$52)</f>
        <v>10820934.666666666</v>
      </c>
      <c r="DO36" s="277">
        <f>(DC10/$DK36)*(1-'Portfolio-Level CF'!$AC$52)</f>
        <v>11037343.38888889</v>
      </c>
      <c r="DP36" s="277">
        <f>(DD10/$DK36)*(1-'Portfolio-Level CF'!$AC$52)</f>
        <v>11258096.666666668</v>
      </c>
      <c r="DQ36" s="277">
        <f>(DE10/$DK36)*(1-'Portfolio-Level CF'!$AC$52)</f>
        <v>11483265.722222224</v>
      </c>
      <c r="DR36" s="277">
        <f>(DF10/$DK36)*(1-'Portfolio-Level CF'!$AC$52)</f>
        <v>11712921.777777778</v>
      </c>
      <c r="DS36" s="277">
        <f>(DG10/$DK36)*(1-'Portfolio-Level CF'!$AC$52)</f>
        <v>11947189.472222224</v>
      </c>
      <c r="DT36" s="277">
        <f>(DH10/$DK36)*(1-'Portfolio-Level CF'!$AC$52)</f>
        <v>12186122.222222224</v>
      </c>
      <c r="DU36" s="273">
        <f>(DI10/$DK36)*(1-'Portfolio-Level CF'!$AC$52)</f>
        <v>12429844.666666668</v>
      </c>
      <c r="DW36" s="125" t="s">
        <v>159</v>
      </c>
      <c r="DX36" s="259"/>
      <c r="DY36" s="265">
        <f t="shared" ref="DY36:EH36" si="144">DY14-DY30</f>
        <v>566159.86383829254</v>
      </c>
      <c r="DZ36" s="265">
        <f t="shared" si="144"/>
        <v>592492.86383829254</v>
      </c>
      <c r="EA36" s="265">
        <f t="shared" si="144"/>
        <v>619074.86383829254</v>
      </c>
      <c r="EB36" s="265">
        <f t="shared" si="144"/>
        <v>646380.86383829254</v>
      </c>
      <c r="EC36" s="265">
        <f t="shared" si="144"/>
        <v>674235.86383829254</v>
      </c>
      <c r="ED36" s="265">
        <f t="shared" si="144"/>
        <v>702692.86383829254</v>
      </c>
      <c r="EE36" s="265">
        <f t="shared" si="144"/>
        <v>731520.86383829254</v>
      </c>
      <c r="EF36" s="265">
        <f t="shared" si="144"/>
        <v>761251.86383829254</v>
      </c>
      <c r="EG36" s="265">
        <f t="shared" si="144"/>
        <v>791229.86383829254</v>
      </c>
      <c r="EH36" s="297">
        <f t="shared" si="144"/>
        <v>821932.86383829254</v>
      </c>
      <c r="EJ36" s="289">
        <v>5.0999999999999997E-2</v>
      </c>
      <c r="EK36" s="277">
        <f>(DY10/$EJ36)*(1-'Portfolio-Level CF'!$AC$52)</f>
        <v>24726518.441176474</v>
      </c>
      <c r="EL36" s="277">
        <f>(DZ10/$EJ36)*(1-'Portfolio-Level CF'!$AC$52)</f>
        <v>25222972.94117647</v>
      </c>
      <c r="EM36" s="277">
        <f>(EA10/$EJ36)*(1-'Portfolio-Level CF'!$AC$52)</f>
        <v>25724121.823529415</v>
      </c>
      <c r="EN36" s="277">
        <f>(EB10/$EJ36)*(1-'Portfolio-Level CF'!$AC$52)</f>
        <v>26238920.235294122</v>
      </c>
      <c r="EO36" s="277">
        <f>(EC10/$EJ36)*(1-'Portfolio-Level CF'!$AC$52)</f>
        <v>26764068.911764707</v>
      </c>
      <c r="EP36" s="277">
        <f>(ED10/$EJ36)*(1-'Portfolio-Level CF'!$AC$52)</f>
        <v>27300567.05882353</v>
      </c>
      <c r="EQ36" s="277">
        <f>(EE10/$EJ36)*(1-'Portfolio-Level CF'!$AC$52)</f>
        <v>27844059.647058826</v>
      </c>
      <c r="ER36" s="277">
        <f>(EF10/$EJ36)*(1-'Portfolio-Level CF'!$AC$52)</f>
        <v>28404576.44117647</v>
      </c>
      <c r="ES36" s="277">
        <f>(EG10/$EJ36)*(1-'Portfolio-Level CF'!$AC$52)</f>
        <v>28969749.911764707</v>
      </c>
      <c r="ET36" s="273">
        <f>(EH10/$EJ36)*(1-'Portfolio-Level CF'!$AC$52)</f>
        <v>29548591.764705885</v>
      </c>
    </row>
    <row r="37" spans="2:150" ht="13.5" thickBot="1" x14ac:dyDescent="0.35">
      <c r="B37" s="207" t="s">
        <v>160</v>
      </c>
      <c r="C37" s="155"/>
      <c r="D37" s="309"/>
      <c r="E37" s="309"/>
      <c r="F37" s="309"/>
      <c r="G37" s="309"/>
      <c r="H37" s="309"/>
      <c r="I37" s="309"/>
      <c r="J37" s="309"/>
      <c r="K37" s="309"/>
      <c r="L37" s="309"/>
      <c r="M37" s="310">
        <f>M15-M29</f>
        <v>5838163.8973726407</v>
      </c>
      <c r="O37" s="290">
        <v>6.0999999999999999E-2</v>
      </c>
      <c r="P37" s="278">
        <f>(D10/$O37)*(1-'Portfolio-Level CF'!$AC$52)</f>
        <v>12244513.352459017</v>
      </c>
      <c r="Q37" s="278">
        <f>(E10/$O37)*(1-'Portfolio-Level CF'!$AC$52)</f>
        <v>12494613.688524591</v>
      </c>
      <c r="R37" s="278">
        <f>(F10/$O37)*(1-'Portfolio-Level CF'!$AC$52)</f>
        <v>12636222.147540985</v>
      </c>
      <c r="S37" s="278">
        <f>(G10/$O37)*(1-'Portfolio-Level CF'!$AC$52)</f>
        <v>12579414.836065575</v>
      </c>
      <c r="T37" s="278">
        <f>(H10/$O37)*(1-'Portfolio-Level CF'!$AC$52)</f>
        <v>13230492.196721312</v>
      </c>
      <c r="U37" s="278">
        <f>(I10/$O37)*(1-'Portfolio-Level CF'!$AC$52)</f>
        <v>12462805.37704918</v>
      </c>
      <c r="V37" s="278">
        <f>(J10/$O37)*(1-'Portfolio-Level CF'!$AC$52)</f>
        <v>12706726.893442623</v>
      </c>
      <c r="W37" s="278">
        <f>(K10/$O37)*(1-'Portfolio-Level CF'!$AC$52)</f>
        <v>13355392.62295082</v>
      </c>
      <c r="X37" s="278">
        <f>(L10/$O37)*(1-'Portfolio-Level CF'!$AC$52)</f>
        <v>13256957.090163935</v>
      </c>
      <c r="Y37" s="279">
        <f>(M10/$O37)*(1-'Portfolio-Level CF'!$AC$52)</f>
        <v>13947030.368852459</v>
      </c>
      <c r="AA37" s="207" t="s">
        <v>160</v>
      </c>
      <c r="AB37" s="155"/>
      <c r="AC37" s="309"/>
      <c r="AD37" s="309"/>
      <c r="AE37" s="309"/>
      <c r="AF37" s="309"/>
      <c r="AG37" s="309"/>
      <c r="AH37" s="309"/>
      <c r="AI37" s="309"/>
      <c r="AJ37" s="309"/>
      <c r="AK37" s="309"/>
      <c r="AL37" s="310">
        <f>AL15-AL29</f>
        <v>7225135.7822212819</v>
      </c>
      <c r="AN37" s="290">
        <v>5.6000000000000001E-2</v>
      </c>
      <c r="AO37" s="278">
        <f>(AC10/$AN37)*(1-'Portfolio-Level CF'!$AC$52)</f>
        <v>7233416.0089285709</v>
      </c>
      <c r="AP37" s="278">
        <f>(AD10/$AN37)*(1-'Portfolio-Level CF'!$AC$52)</f>
        <v>9631809.0803571418</v>
      </c>
      <c r="AQ37" s="278">
        <f>(AE10/$AN37)*(1-'Portfolio-Level CF'!$AC$52)</f>
        <v>12474604.017857142</v>
      </c>
      <c r="AR37" s="278">
        <f>(AF10/$AN37)*(1-'Portfolio-Level CF'!$AC$52)</f>
        <v>12787950</v>
      </c>
      <c r="AS37" s="278">
        <f>(AG10/$AN37)*(1-'Portfolio-Level CF'!$AC$52)</f>
        <v>13087405.741071429</v>
      </c>
      <c r="AT37" s="278">
        <f>(AH10/$AN37)*(1-'Portfolio-Level CF'!$AC$52)</f>
        <v>13228660.392857142</v>
      </c>
      <c r="AU37" s="278">
        <f>(AI10/$AN37)*(1-'Portfolio-Level CF'!$AC$52)</f>
        <v>13369382.785714285</v>
      </c>
      <c r="AV37" s="278">
        <f>(AJ10/$AN37)*(1-'Portfolio-Level CF'!$AC$52)</f>
        <v>13510894.982142856</v>
      </c>
      <c r="AW37" s="278">
        <f>(AK10/$AN37)*(1-'Portfolio-Level CF'!$AC$52)</f>
        <v>13515479.276785715</v>
      </c>
      <c r="AX37" s="279">
        <f>(AL10/$AN37)*(1-'Portfolio-Level CF'!$AC$52)</f>
        <v>13581565.232142856</v>
      </c>
      <c r="AZ37" s="207" t="s">
        <v>160</v>
      </c>
      <c r="BA37" s="155"/>
      <c r="BB37" s="309"/>
      <c r="BC37" s="309"/>
      <c r="BD37" s="309"/>
      <c r="BE37" s="309"/>
      <c r="BF37" s="309"/>
      <c r="BG37" s="309"/>
      <c r="BH37" s="309"/>
      <c r="BI37" s="309"/>
      <c r="BJ37" s="309"/>
      <c r="BK37" s="310">
        <f>BK15-BK29</f>
        <v>8762734.9546305183</v>
      </c>
      <c r="BM37" s="290">
        <v>5.6000000000000001E-2</v>
      </c>
      <c r="BN37" s="278">
        <f>(BB10/$BM37)*(1-'Portfolio-Level CF'!$AC$52)</f>
        <v>10959365.866071429</v>
      </c>
      <c r="BO37" s="278">
        <f>(BC10/$BM37)*(1-'Portfolio-Level CF'!$AC$52)</f>
        <v>13643255.758928571</v>
      </c>
      <c r="BP37" s="278">
        <f>(BD10/$BM37)*(1-'Portfolio-Level CF'!$AC$52)</f>
        <v>15064369.928571429</v>
      </c>
      <c r="BQ37" s="278">
        <f>(BE10/$BM37)*(1-'Portfolio-Level CF'!$AC$52)</f>
        <v>15184917.991071429</v>
      </c>
      <c r="BR37" s="278">
        <f>(BF10/$BM37)*(1-'Portfolio-Level CF'!$AC$52)</f>
        <v>15304264.178571429</v>
      </c>
      <c r="BS37" s="278">
        <f>(BG10/$BM37)*(1-'Portfolio-Level CF'!$AC$52)</f>
        <v>15430031.8125</v>
      </c>
      <c r="BT37" s="278">
        <f>(BH10/$BM37)*(1-'Portfolio-Level CF'!$AC$52)</f>
        <v>16415157.241071429</v>
      </c>
      <c r="BU37" s="278">
        <f>(BI10/$BM37)*(1-'Portfolio-Level CF'!$AC$52)</f>
        <v>16717858.044642858</v>
      </c>
      <c r="BV37" s="278">
        <f>(BJ10/$BM37)*(1-'Portfolio-Level CF'!$AC$52)</f>
        <v>16841187.589285713</v>
      </c>
      <c r="BW37" s="279">
        <f>(BK10/$BM37)*(1-'Portfolio-Level CF'!$AC$52)</f>
        <v>16948068.616071429</v>
      </c>
      <c r="BY37" s="207" t="s">
        <v>160</v>
      </c>
      <c r="BZ37" s="155"/>
      <c r="CA37" s="309"/>
      <c r="CB37" s="309"/>
      <c r="CC37" s="309"/>
      <c r="CD37" s="309"/>
      <c r="CE37" s="309"/>
      <c r="CF37" s="309"/>
      <c r="CG37" s="309"/>
      <c r="CH37" s="309"/>
      <c r="CI37" s="309"/>
      <c r="CJ37" s="310">
        <f>CJ15-CJ29</f>
        <v>12471092.482138786</v>
      </c>
      <c r="CL37" s="290">
        <v>5.3999999999999999E-2</v>
      </c>
      <c r="CM37" s="278">
        <f>(CA10/$CL37)*(1-'Portfolio-Level CF'!$AC$52)</f>
        <v>24112781.888888888</v>
      </c>
      <c r="CN37" s="278">
        <f>(CB10/$CL37)*(1-'Portfolio-Level CF'!$AC$52)</f>
        <v>24532850.555555556</v>
      </c>
      <c r="CO37" s="278">
        <f>(CC10/$CL37)*(1-'Portfolio-Level CF'!$AC$52)</f>
        <v>24958777.25</v>
      </c>
      <c r="CP37" s="278">
        <f>(CD10/$CL37)*(1-'Portfolio-Level CF'!$AC$52)</f>
        <v>25396206.333333336</v>
      </c>
      <c r="CQ37" s="278">
        <f>(CE10/$CL37)*(1-'Portfolio-Level CF'!$AC$52)</f>
        <v>25839261.972222224</v>
      </c>
      <c r="CR37" s="278">
        <f>(CF10/$CL37)*(1-'Portfolio-Level CF'!$AC$52)</f>
        <v>26291238.194444444</v>
      </c>
      <c r="CS37" s="278">
        <f>(CG10/$CL37)*(1-'Portfolio-Level CF'!$AC$52)</f>
        <v>26748253.388888888</v>
      </c>
      <c r="CT37" s="278">
        <f>(CH10/$CL37)*(1-'Portfolio-Level CF'!$AC$52)</f>
        <v>27212604.472222224</v>
      </c>
      <c r="CU37" s="278">
        <f>(CI10/$CL37)*(1-'Portfolio-Level CF'!$AC$52)</f>
        <v>27697325.111111112</v>
      </c>
      <c r="CV37" s="279">
        <f>(CJ10/$CL37)*(1-'Portfolio-Level CF'!$AC$52)</f>
        <v>28214647.722222224</v>
      </c>
      <c r="CX37" s="207" t="s">
        <v>160</v>
      </c>
      <c r="CY37" s="155"/>
      <c r="CZ37" s="309"/>
      <c r="DA37" s="309"/>
      <c r="DB37" s="309"/>
      <c r="DC37" s="309"/>
      <c r="DD37" s="309"/>
      <c r="DE37" s="309"/>
      <c r="DF37" s="309"/>
      <c r="DG37" s="309"/>
      <c r="DH37" s="309"/>
      <c r="DI37" s="310">
        <f>DI15-DI29</f>
        <v>5549074.321155048</v>
      </c>
      <c r="DK37" s="290">
        <v>5.5E-2</v>
      </c>
      <c r="DL37" s="278">
        <f>(CZ10/$DK37)*(1-'Portfolio-Level CF'!$AC$52)</f>
        <v>10211636.972727275</v>
      </c>
      <c r="DM37" s="278">
        <f>(DA10/$DK37)*(1-'Portfolio-Level CF'!$AC$52)</f>
        <v>10415877.054545455</v>
      </c>
      <c r="DN37" s="278">
        <f>(DB10/$DK37)*(1-'Portfolio-Level CF'!$AC$52)</f>
        <v>10624190.4</v>
      </c>
      <c r="DO37" s="278">
        <f>(DC10/$DK37)*(1-'Portfolio-Level CF'!$AC$52)</f>
        <v>10836664.418181818</v>
      </c>
      <c r="DP37" s="278">
        <f>(DD10/$DK37)*(1-'Portfolio-Level CF'!$AC$52)</f>
        <v>11053404</v>
      </c>
      <c r="DQ37" s="278">
        <f>(DE10/$DK37)*(1-'Portfolio-Level CF'!$AC$52)</f>
        <v>11274479.072727274</v>
      </c>
      <c r="DR37" s="278">
        <f>(DF10/$DK37)*(1-'Portfolio-Level CF'!$AC$52)</f>
        <v>11499959.563636364</v>
      </c>
      <c r="DS37" s="278">
        <f>(DG10/$DK37)*(1-'Portfolio-Level CF'!$AC$52)</f>
        <v>11729967.845454546</v>
      </c>
      <c r="DT37" s="278">
        <f>(DH10/$DK37)*(1-'Portfolio-Level CF'!$AC$52)</f>
        <v>11964556.363636363</v>
      </c>
      <c r="DU37" s="279">
        <f>(DI10/$DK37)*(1-'Portfolio-Level CF'!$AC$52)</f>
        <v>12203847.490909092</v>
      </c>
      <c r="DW37" s="207" t="s">
        <v>160</v>
      </c>
      <c r="DX37" s="155"/>
      <c r="DY37" s="309"/>
      <c r="DZ37" s="309"/>
      <c r="EA37" s="309"/>
      <c r="EB37" s="309"/>
      <c r="EC37" s="309"/>
      <c r="ED37" s="309"/>
      <c r="EE37" s="309"/>
      <c r="EF37" s="309"/>
      <c r="EG37" s="309"/>
      <c r="EH37" s="310">
        <f>EH15-EH29</f>
        <v>13227356.867940553</v>
      </c>
      <c r="EJ37" s="290">
        <v>5.1999999999999998E-2</v>
      </c>
      <c r="EK37" s="278">
        <f>(DY10/$EJ37)*(1-'Portfolio-Level CF'!$AC$52)</f>
        <v>24251008.471153848</v>
      </c>
      <c r="EL37" s="278">
        <f>(DZ10/$EJ37)*(1-'Portfolio-Level CF'!$AC$52)</f>
        <v>24737915.769230772</v>
      </c>
      <c r="EM37" s="278">
        <f>(EA10/$EJ37)*(1-'Portfolio-Level CF'!$AC$52)</f>
        <v>25229427.173076924</v>
      </c>
      <c r="EN37" s="278">
        <f>(EB10/$EJ37)*(1-'Portfolio-Level CF'!$AC$52)</f>
        <v>25734325.615384616</v>
      </c>
      <c r="EO37" s="278">
        <f>(EC10/$EJ37)*(1-'Portfolio-Level CF'!$AC$52)</f>
        <v>26249375.278846156</v>
      </c>
      <c r="EP37" s="278">
        <f>(ED10/$EJ37)*(1-'Portfolio-Level CF'!$AC$52)</f>
        <v>26775556.153846156</v>
      </c>
      <c r="EQ37" s="278">
        <f>(EE10/$EJ37)*(1-'Portfolio-Level CF'!$AC$52)</f>
        <v>27308596.961538464</v>
      </c>
      <c r="ER37" s="278">
        <f>(EF10/$EJ37)*(1-'Portfolio-Level CF'!$AC$52)</f>
        <v>27858334.586538464</v>
      </c>
      <c r="ES37" s="278">
        <f>(EG10/$EJ37)*(1-'Portfolio-Level CF'!$AC$52)</f>
        <v>28412639.336538464</v>
      </c>
      <c r="ET37" s="279">
        <f>(EH10/$EJ37)*(1-'Portfolio-Level CF'!$AC$52)</f>
        <v>28980349.615384616</v>
      </c>
    </row>
    <row r="38" spans="2:150" ht="13.5" thickBot="1" x14ac:dyDescent="0.35">
      <c r="B38" s="207" t="s">
        <v>162</v>
      </c>
      <c r="C38" s="155"/>
      <c r="D38" s="309">
        <f>C39*Summary!C10</f>
        <v>-11744.408519344257</v>
      </c>
      <c r="E38" s="309">
        <f t="shared" ref="E38:M38" si="145">D38</f>
        <v>-11744.408519344257</v>
      </c>
      <c r="F38" s="309">
        <f t="shared" si="145"/>
        <v>-11744.408519344257</v>
      </c>
      <c r="G38" s="309">
        <f t="shared" si="145"/>
        <v>-11744.408519344257</v>
      </c>
      <c r="H38" s="309">
        <f t="shared" si="145"/>
        <v>-11744.408519344257</v>
      </c>
      <c r="I38" s="309">
        <f t="shared" si="145"/>
        <v>-11744.408519344257</v>
      </c>
      <c r="J38" s="309">
        <f t="shared" si="145"/>
        <v>-11744.408519344257</v>
      </c>
      <c r="K38" s="309">
        <f t="shared" si="145"/>
        <v>-11744.408519344257</v>
      </c>
      <c r="L38" s="309">
        <f t="shared" si="145"/>
        <v>-11744.408519344257</v>
      </c>
      <c r="M38" s="310">
        <f t="shared" si="145"/>
        <v>-11744.408519344257</v>
      </c>
      <c r="AA38" s="207" t="s">
        <v>162</v>
      </c>
      <c r="AB38" s="155"/>
      <c r="AC38" s="309">
        <f>AB39*Summary!C10</f>
        <v>-9591.6117409140243</v>
      </c>
      <c r="AD38" s="309">
        <f t="shared" ref="AD38:AL38" si="146">AC38</f>
        <v>-9591.6117409140243</v>
      </c>
      <c r="AE38" s="309">
        <f t="shared" si="146"/>
        <v>-9591.6117409140243</v>
      </c>
      <c r="AF38" s="309">
        <f t="shared" si="146"/>
        <v>-9591.6117409140243</v>
      </c>
      <c r="AG38" s="309">
        <f t="shared" si="146"/>
        <v>-9591.6117409140243</v>
      </c>
      <c r="AH38" s="309">
        <f t="shared" si="146"/>
        <v>-9591.6117409140243</v>
      </c>
      <c r="AI38" s="309">
        <f t="shared" si="146"/>
        <v>-9591.6117409140243</v>
      </c>
      <c r="AJ38" s="309">
        <f t="shared" si="146"/>
        <v>-9591.6117409140243</v>
      </c>
      <c r="AK38" s="309">
        <f t="shared" si="146"/>
        <v>-9591.6117409140243</v>
      </c>
      <c r="AL38" s="310">
        <f t="shared" si="146"/>
        <v>-9591.6117409140243</v>
      </c>
      <c r="AZ38" s="207" t="s">
        <v>162</v>
      </c>
      <c r="BA38" s="155"/>
      <c r="BB38" s="309">
        <f>BA39*Summary!C10</f>
        <v>-12310.116942424083</v>
      </c>
      <c r="BC38" s="309">
        <f t="shared" ref="BC38:BK38" si="147">BB38</f>
        <v>-12310.116942424083</v>
      </c>
      <c r="BD38" s="309">
        <f t="shared" si="147"/>
        <v>-12310.116942424083</v>
      </c>
      <c r="BE38" s="309">
        <f t="shared" si="147"/>
        <v>-12310.116942424083</v>
      </c>
      <c r="BF38" s="309">
        <f t="shared" si="147"/>
        <v>-12310.116942424083</v>
      </c>
      <c r="BG38" s="309">
        <f t="shared" si="147"/>
        <v>-12310.116942424083</v>
      </c>
      <c r="BH38" s="309">
        <f t="shared" si="147"/>
        <v>-12310.116942424083</v>
      </c>
      <c r="BI38" s="309">
        <f t="shared" si="147"/>
        <v>-12310.116942424083</v>
      </c>
      <c r="BJ38" s="309">
        <f t="shared" si="147"/>
        <v>-12310.116942424083</v>
      </c>
      <c r="BK38" s="310">
        <f t="shared" si="147"/>
        <v>-12310.116942424083</v>
      </c>
      <c r="BY38" s="207" t="s">
        <v>162</v>
      </c>
      <c r="BZ38" s="155"/>
      <c r="CA38" s="309">
        <f>BZ39*Summary!C10</f>
        <v>-23489.475941118693</v>
      </c>
      <c r="CB38" s="309">
        <f t="shared" ref="CB38:CJ38" si="148">CA38</f>
        <v>-23489.475941118693</v>
      </c>
      <c r="CC38" s="309">
        <f t="shared" si="148"/>
        <v>-23489.475941118693</v>
      </c>
      <c r="CD38" s="309">
        <f t="shared" si="148"/>
        <v>-23489.475941118693</v>
      </c>
      <c r="CE38" s="309">
        <f t="shared" si="148"/>
        <v>-23489.475941118693</v>
      </c>
      <c r="CF38" s="309">
        <f t="shared" si="148"/>
        <v>-23489.475941118693</v>
      </c>
      <c r="CG38" s="309">
        <f t="shared" si="148"/>
        <v>-23489.475941118693</v>
      </c>
      <c r="CH38" s="309">
        <f t="shared" si="148"/>
        <v>-23489.475941118693</v>
      </c>
      <c r="CI38" s="309">
        <f t="shared" si="148"/>
        <v>-23489.475941118693</v>
      </c>
      <c r="CJ38" s="310">
        <f t="shared" si="148"/>
        <v>-23489.475941118693</v>
      </c>
      <c r="CX38" s="207" t="s">
        <v>162</v>
      </c>
      <c r="CY38" s="155"/>
      <c r="CZ38" s="309">
        <f>CY39*Summary!C10</f>
        <v>-9942.506453689175</v>
      </c>
      <c r="DA38" s="309">
        <f t="shared" ref="DA38:DI38" si="149">CZ38</f>
        <v>-9942.506453689175</v>
      </c>
      <c r="DB38" s="309">
        <f t="shared" si="149"/>
        <v>-9942.506453689175</v>
      </c>
      <c r="DC38" s="309">
        <f t="shared" si="149"/>
        <v>-9942.506453689175</v>
      </c>
      <c r="DD38" s="309">
        <f t="shared" si="149"/>
        <v>-9942.506453689175</v>
      </c>
      <c r="DE38" s="309">
        <f t="shared" si="149"/>
        <v>-9942.506453689175</v>
      </c>
      <c r="DF38" s="309">
        <f t="shared" si="149"/>
        <v>-9942.506453689175</v>
      </c>
      <c r="DG38" s="309">
        <f t="shared" si="149"/>
        <v>-9942.506453689175</v>
      </c>
      <c r="DH38" s="309">
        <f t="shared" si="149"/>
        <v>-9942.506453689175</v>
      </c>
      <c r="DI38" s="310">
        <f t="shared" si="149"/>
        <v>-9942.506453689175</v>
      </c>
      <c r="DW38" s="207" t="s">
        <v>162</v>
      </c>
      <c r="DX38" s="155"/>
      <c r="DY38" s="309">
        <f>DX39*Summary!C10</f>
        <v>-23703.513241259763</v>
      </c>
      <c r="DZ38" s="309">
        <f t="shared" ref="DZ38:EH38" si="150">DY38</f>
        <v>-23703.513241259763</v>
      </c>
      <c r="EA38" s="309">
        <f t="shared" si="150"/>
        <v>-23703.513241259763</v>
      </c>
      <c r="EB38" s="309">
        <f t="shared" si="150"/>
        <v>-23703.513241259763</v>
      </c>
      <c r="EC38" s="309">
        <f t="shared" si="150"/>
        <v>-23703.513241259763</v>
      </c>
      <c r="ED38" s="309">
        <f t="shared" si="150"/>
        <v>-23703.513241259763</v>
      </c>
      <c r="EE38" s="309">
        <f t="shared" si="150"/>
        <v>-23703.513241259763</v>
      </c>
      <c r="EF38" s="309">
        <f t="shared" si="150"/>
        <v>-23703.513241259763</v>
      </c>
      <c r="EG38" s="309">
        <f t="shared" si="150"/>
        <v>-23703.513241259763</v>
      </c>
      <c r="EH38" s="310">
        <f t="shared" si="150"/>
        <v>-23703.513241259763</v>
      </c>
    </row>
    <row r="39" spans="2:150" ht="13.5" thickBot="1" x14ac:dyDescent="0.35">
      <c r="B39" s="206" t="s">
        <v>163</v>
      </c>
      <c r="C39" s="210">
        <f>(C16*(1-Summary!C15))</f>
        <v>-4697763.4077377031</v>
      </c>
      <c r="D39" s="311">
        <f t="shared" ref="D39:M39" si="151">SUM(D36:D38)</f>
        <v>390650.26564528886</v>
      </c>
      <c r="E39" s="311">
        <f t="shared" si="151"/>
        <v>360986.26564528886</v>
      </c>
      <c r="F39" s="311">
        <f t="shared" si="151"/>
        <v>361858.26564528886</v>
      </c>
      <c r="G39" s="311">
        <f t="shared" si="151"/>
        <v>105958.26564528883</v>
      </c>
      <c r="H39" s="311">
        <f t="shared" si="151"/>
        <v>454223.26564528886</v>
      </c>
      <c r="I39" s="311">
        <f t="shared" si="151"/>
        <v>405519.26564528886</v>
      </c>
      <c r="J39" s="311">
        <f t="shared" si="151"/>
        <v>-26798.734354711167</v>
      </c>
      <c r="K39" s="311">
        <f t="shared" si="151"/>
        <v>462147.26564528886</v>
      </c>
      <c r="L39" s="311">
        <f t="shared" si="151"/>
        <v>82366.265645288833</v>
      </c>
      <c r="M39" s="313">
        <f t="shared" si="151"/>
        <v>6105845.1630179295</v>
      </c>
      <c r="O39" s="512" t="s">
        <v>177</v>
      </c>
      <c r="P39" s="513"/>
      <c r="Q39" s="513"/>
      <c r="R39" s="513"/>
      <c r="S39" s="513"/>
      <c r="T39" s="513"/>
      <c r="U39" s="513"/>
      <c r="V39" s="513"/>
      <c r="W39" s="513"/>
      <c r="X39" s="513"/>
      <c r="Y39" s="514"/>
      <c r="AA39" s="206" t="s">
        <v>163</v>
      </c>
      <c r="AB39" s="210">
        <f>(AB16*(1-Summary!C15))</f>
        <v>-3836644.6963656093</v>
      </c>
      <c r="AC39" s="311">
        <f t="shared" ref="AC39:AL39" si="152">AC36+SUM(AC37:AC38)</f>
        <v>105727.63227350367</v>
      </c>
      <c r="AD39" s="311">
        <f t="shared" si="152"/>
        <v>245415.63227350367</v>
      </c>
      <c r="AE39" s="311">
        <f t="shared" si="152"/>
        <v>410986.6322735037</v>
      </c>
      <c r="AF39" s="311">
        <f t="shared" si="152"/>
        <v>429236.6322735037</v>
      </c>
      <c r="AG39" s="311">
        <f t="shared" si="152"/>
        <v>446677.6322735037</v>
      </c>
      <c r="AH39" s="311">
        <f t="shared" si="152"/>
        <v>454904.6322735037</v>
      </c>
      <c r="AI39" s="311">
        <f t="shared" si="152"/>
        <v>463100.6322735037</v>
      </c>
      <c r="AJ39" s="311">
        <f t="shared" si="152"/>
        <v>471342.6322735037</v>
      </c>
      <c r="AK39" s="311">
        <f t="shared" si="152"/>
        <v>366291.6322735037</v>
      </c>
      <c r="AL39" s="313">
        <f t="shared" si="152"/>
        <v>7486306.4144947855</v>
      </c>
      <c r="AN39" s="512" t="s">
        <v>177</v>
      </c>
      <c r="AO39" s="513"/>
      <c r="AP39" s="513"/>
      <c r="AQ39" s="513"/>
      <c r="AR39" s="513"/>
      <c r="AS39" s="513"/>
      <c r="AT39" s="513"/>
      <c r="AU39" s="513"/>
      <c r="AV39" s="513"/>
      <c r="AW39" s="513"/>
      <c r="AX39" s="514"/>
      <c r="AZ39" s="206" t="s">
        <v>163</v>
      </c>
      <c r="BA39" s="210">
        <f>(BA16*(1-Summary!C15))</f>
        <v>-4924046.7769696331</v>
      </c>
      <c r="BB39" s="311">
        <f t="shared" ref="BB39:BK39" si="153">BB36+SUM(BB37:BB38)</f>
        <v>234971.2589745454</v>
      </c>
      <c r="BC39" s="311">
        <f t="shared" si="153"/>
        <v>391287.2589745454</v>
      </c>
      <c r="BD39" s="311">
        <f t="shared" si="153"/>
        <v>474056.2589745454</v>
      </c>
      <c r="BE39" s="311">
        <f t="shared" si="153"/>
        <v>481077.2589745454</v>
      </c>
      <c r="BF39" s="311">
        <f t="shared" si="153"/>
        <v>488028.2589745454</v>
      </c>
      <c r="BG39" s="311">
        <f t="shared" si="153"/>
        <v>495353.2589745454</v>
      </c>
      <c r="BH39" s="311">
        <f t="shared" si="153"/>
        <v>552729.2589745454</v>
      </c>
      <c r="BI39" s="311">
        <f t="shared" si="153"/>
        <v>570359.2589745454</v>
      </c>
      <c r="BJ39" s="311">
        <f t="shared" si="153"/>
        <v>577542.2589745454</v>
      </c>
      <c r="BK39" s="313">
        <f t="shared" si="153"/>
        <v>9346502.213605063</v>
      </c>
      <c r="BM39" s="512" t="s">
        <v>177</v>
      </c>
      <c r="BN39" s="513"/>
      <c r="BO39" s="513"/>
      <c r="BP39" s="513"/>
      <c r="BQ39" s="513"/>
      <c r="BR39" s="513"/>
      <c r="BS39" s="513"/>
      <c r="BT39" s="513"/>
      <c r="BU39" s="513"/>
      <c r="BV39" s="513"/>
      <c r="BW39" s="514"/>
      <c r="BY39" s="206" t="s">
        <v>163</v>
      </c>
      <c r="BZ39" s="210">
        <f>(BZ16*(1-Summary!C15))</f>
        <v>-9395790.3764474764</v>
      </c>
      <c r="CA39" s="311">
        <f t="shared" ref="CA39:CJ39" si="154">CA36+SUM(CA37:CA38)</f>
        <v>591642.24594032764</v>
      </c>
      <c r="CB39" s="311">
        <f t="shared" si="154"/>
        <v>615234.24594032764</v>
      </c>
      <c r="CC39" s="311">
        <f t="shared" si="154"/>
        <v>639155.24594032764</v>
      </c>
      <c r="CD39" s="311">
        <f t="shared" si="154"/>
        <v>663722.24594032764</v>
      </c>
      <c r="CE39" s="311">
        <f t="shared" si="154"/>
        <v>688605.24594032764</v>
      </c>
      <c r="CF39" s="311">
        <f t="shared" si="154"/>
        <v>713989.24594032764</v>
      </c>
      <c r="CG39" s="311">
        <f t="shared" si="154"/>
        <v>739656.24594032764</v>
      </c>
      <c r="CH39" s="311">
        <f t="shared" si="154"/>
        <v>765735.24594032764</v>
      </c>
      <c r="CI39" s="311">
        <f t="shared" si="154"/>
        <v>792958.24594032764</v>
      </c>
      <c r="CJ39" s="313">
        <f t="shared" si="154"/>
        <v>13293104.728079114</v>
      </c>
      <c r="CL39" s="512" t="s">
        <v>177</v>
      </c>
      <c r="CM39" s="513"/>
      <c r="CN39" s="513"/>
      <c r="CO39" s="513"/>
      <c r="CP39" s="513"/>
      <c r="CQ39" s="513"/>
      <c r="CR39" s="513"/>
      <c r="CS39" s="513"/>
      <c r="CT39" s="513"/>
      <c r="CU39" s="513"/>
      <c r="CV39" s="514"/>
      <c r="CX39" s="206" t="s">
        <v>163</v>
      </c>
      <c r="CY39" s="210">
        <f>(CY16*(1-Summary!C15))</f>
        <v>-3977002.58147567</v>
      </c>
      <c r="CZ39" s="311">
        <f t="shared" ref="CZ39:DI39" si="155">CZ36+SUM(CZ37:CZ38)</f>
        <v>257413.51312645857</v>
      </c>
      <c r="DA39" s="311">
        <f t="shared" si="155"/>
        <v>269096.51312645857</v>
      </c>
      <c r="DB39" s="311">
        <f t="shared" si="155"/>
        <v>281012.51312645857</v>
      </c>
      <c r="DC39" s="311">
        <f t="shared" si="155"/>
        <v>293166.51312645857</v>
      </c>
      <c r="DD39" s="311">
        <f t="shared" si="155"/>
        <v>305564.51312645857</v>
      </c>
      <c r="DE39" s="311">
        <f t="shared" si="155"/>
        <v>318210.51312645857</v>
      </c>
      <c r="DF39" s="311">
        <f t="shared" si="155"/>
        <v>331108.51312645857</v>
      </c>
      <c r="DG39" s="311">
        <f t="shared" si="155"/>
        <v>344265.51312645857</v>
      </c>
      <c r="DH39" s="311">
        <f t="shared" si="155"/>
        <v>357684.51312645857</v>
      </c>
      <c r="DI39" s="313">
        <f t="shared" si="155"/>
        <v>5920446.8342815069</v>
      </c>
      <c r="DK39" s="512" t="s">
        <v>177</v>
      </c>
      <c r="DL39" s="513"/>
      <c r="DM39" s="513"/>
      <c r="DN39" s="513"/>
      <c r="DO39" s="513"/>
      <c r="DP39" s="513"/>
      <c r="DQ39" s="513"/>
      <c r="DR39" s="513"/>
      <c r="DS39" s="513"/>
      <c r="DT39" s="513"/>
      <c r="DU39" s="514"/>
      <c r="DW39" s="206" t="s">
        <v>163</v>
      </c>
      <c r="DX39" s="210">
        <f>(DX16*(1-Summary!C15))</f>
        <v>-9481405.2965039052</v>
      </c>
      <c r="DY39" s="311">
        <f t="shared" ref="DY39:EH39" si="156">DY36+SUM(DY37:DY38)</f>
        <v>542456.35059703281</v>
      </c>
      <c r="DZ39" s="311">
        <f t="shared" si="156"/>
        <v>568789.35059703281</v>
      </c>
      <c r="EA39" s="311">
        <f t="shared" si="156"/>
        <v>595371.35059703281</v>
      </c>
      <c r="EB39" s="311">
        <f t="shared" si="156"/>
        <v>622677.35059703281</v>
      </c>
      <c r="EC39" s="311">
        <f t="shared" si="156"/>
        <v>650532.35059703281</v>
      </c>
      <c r="ED39" s="311">
        <f t="shared" si="156"/>
        <v>678989.35059703281</v>
      </c>
      <c r="EE39" s="311">
        <f t="shared" si="156"/>
        <v>707817.35059703281</v>
      </c>
      <c r="EF39" s="311">
        <f t="shared" si="156"/>
        <v>737548.35059703281</v>
      </c>
      <c r="EG39" s="311">
        <f t="shared" si="156"/>
        <v>767526.35059703281</v>
      </c>
      <c r="EH39" s="313">
        <f t="shared" si="156"/>
        <v>14025586.218537586</v>
      </c>
      <c r="EJ39" s="512" t="s">
        <v>177</v>
      </c>
      <c r="EK39" s="513"/>
      <c r="EL39" s="513"/>
      <c r="EM39" s="513"/>
      <c r="EN39" s="513"/>
      <c r="EO39" s="513"/>
      <c r="EP39" s="513"/>
      <c r="EQ39" s="513"/>
      <c r="ER39" s="513"/>
      <c r="ES39" s="513"/>
      <c r="ET39" s="514"/>
    </row>
    <row r="40" spans="2:150" ht="13.5" thickBot="1" x14ac:dyDescent="0.35">
      <c r="B40" s="145"/>
      <c r="C40" s="155"/>
      <c r="D40" s="146"/>
      <c r="E40" s="146"/>
      <c r="F40" s="146"/>
      <c r="G40" s="146"/>
      <c r="H40" s="146"/>
      <c r="I40" s="146"/>
      <c r="J40" s="146"/>
      <c r="K40" s="146"/>
      <c r="L40" s="146"/>
      <c r="M40" s="147"/>
      <c r="O40" s="3" t="s">
        <v>11</v>
      </c>
      <c r="P40" s="287" t="str">
        <f>P32</f>
        <v>Year 1</v>
      </c>
      <c r="Q40" s="287" t="str">
        <f t="shared" ref="Q40:Y40" si="157">Q32</f>
        <v>Year 2</v>
      </c>
      <c r="R40" s="287" t="str">
        <f t="shared" si="157"/>
        <v>Year 3</v>
      </c>
      <c r="S40" s="287" t="str">
        <f t="shared" si="157"/>
        <v>Year 4</v>
      </c>
      <c r="T40" s="287" t="str">
        <f t="shared" si="157"/>
        <v>Year 5</v>
      </c>
      <c r="U40" s="287" t="str">
        <f t="shared" si="157"/>
        <v>Year 6</v>
      </c>
      <c r="V40" s="287" t="str">
        <f t="shared" si="157"/>
        <v>Year 7</v>
      </c>
      <c r="W40" s="287" t="str">
        <f t="shared" si="157"/>
        <v>Year 8</v>
      </c>
      <c r="X40" s="287" t="str">
        <f t="shared" si="157"/>
        <v>Year 9</v>
      </c>
      <c r="Y40" s="288" t="str">
        <f t="shared" si="157"/>
        <v>Year 10</v>
      </c>
      <c r="AA40" s="145"/>
      <c r="AB40" s="155"/>
      <c r="AC40" s="146"/>
      <c r="AD40" s="146"/>
      <c r="AE40" s="146"/>
      <c r="AF40" s="146"/>
      <c r="AG40" s="146"/>
      <c r="AH40" s="146"/>
      <c r="AI40" s="146"/>
      <c r="AJ40" s="146"/>
      <c r="AK40" s="146"/>
      <c r="AL40" s="147"/>
      <c r="AN40" s="332" t="s">
        <v>11</v>
      </c>
      <c r="AO40" s="330" t="s">
        <v>114</v>
      </c>
      <c r="AP40" s="330" t="s">
        <v>115</v>
      </c>
      <c r="AQ40" s="330" t="s">
        <v>116</v>
      </c>
      <c r="AR40" s="330" t="s">
        <v>117</v>
      </c>
      <c r="AS40" s="330" t="s">
        <v>118</v>
      </c>
      <c r="AT40" s="330" t="s">
        <v>119</v>
      </c>
      <c r="AU40" s="330" t="s">
        <v>120</v>
      </c>
      <c r="AV40" s="330" t="s">
        <v>121</v>
      </c>
      <c r="AW40" s="330" t="s">
        <v>122</v>
      </c>
      <c r="AX40" s="331" t="s">
        <v>123</v>
      </c>
      <c r="AZ40" s="145"/>
      <c r="BA40" s="155"/>
      <c r="BB40" s="146"/>
      <c r="BC40" s="146"/>
      <c r="BD40" s="146"/>
      <c r="BE40" s="146"/>
      <c r="BF40" s="146"/>
      <c r="BG40" s="146"/>
      <c r="BH40" s="146"/>
      <c r="BI40" s="146"/>
      <c r="BJ40" s="146"/>
      <c r="BK40" s="147"/>
      <c r="BM40" s="332" t="s">
        <v>11</v>
      </c>
      <c r="BN40" s="330" t="s">
        <v>114</v>
      </c>
      <c r="BO40" s="330" t="s">
        <v>115</v>
      </c>
      <c r="BP40" s="330" t="s">
        <v>116</v>
      </c>
      <c r="BQ40" s="330" t="s">
        <v>117</v>
      </c>
      <c r="BR40" s="330" t="s">
        <v>118</v>
      </c>
      <c r="BS40" s="330" t="s">
        <v>119</v>
      </c>
      <c r="BT40" s="330" t="s">
        <v>120</v>
      </c>
      <c r="BU40" s="330" t="s">
        <v>121</v>
      </c>
      <c r="BV40" s="330" t="s">
        <v>122</v>
      </c>
      <c r="BW40" s="331" t="s">
        <v>123</v>
      </c>
      <c r="BY40" s="145"/>
      <c r="BZ40" s="155"/>
      <c r="CA40" s="309"/>
      <c r="CB40" s="309"/>
      <c r="CC40" s="309"/>
      <c r="CD40" s="309"/>
      <c r="CE40" s="309"/>
      <c r="CF40" s="309"/>
      <c r="CG40" s="309"/>
      <c r="CH40" s="309"/>
      <c r="CI40" s="309"/>
      <c r="CJ40" s="310"/>
      <c r="CL40" s="332" t="s">
        <v>11</v>
      </c>
      <c r="CM40" s="330" t="s">
        <v>114</v>
      </c>
      <c r="CN40" s="330" t="s">
        <v>115</v>
      </c>
      <c r="CO40" s="330" t="s">
        <v>116</v>
      </c>
      <c r="CP40" s="330" t="s">
        <v>117</v>
      </c>
      <c r="CQ40" s="330" t="s">
        <v>118</v>
      </c>
      <c r="CR40" s="330" t="s">
        <v>119</v>
      </c>
      <c r="CS40" s="330" t="s">
        <v>120</v>
      </c>
      <c r="CT40" s="330" t="s">
        <v>121</v>
      </c>
      <c r="CU40" s="330" t="s">
        <v>122</v>
      </c>
      <c r="CV40" s="331" t="s">
        <v>123</v>
      </c>
      <c r="CX40" s="145"/>
      <c r="CY40" s="155"/>
      <c r="CZ40" s="146"/>
      <c r="DA40" s="146"/>
      <c r="DB40" s="146"/>
      <c r="DC40" s="146"/>
      <c r="DD40" s="146"/>
      <c r="DE40" s="146"/>
      <c r="DF40" s="146"/>
      <c r="DG40" s="146"/>
      <c r="DH40" s="146"/>
      <c r="DI40" s="147"/>
      <c r="DK40" s="332" t="s">
        <v>11</v>
      </c>
      <c r="DL40" s="330" t="s">
        <v>114</v>
      </c>
      <c r="DM40" s="330" t="s">
        <v>115</v>
      </c>
      <c r="DN40" s="330" t="s">
        <v>116</v>
      </c>
      <c r="DO40" s="330" t="s">
        <v>117</v>
      </c>
      <c r="DP40" s="330" t="s">
        <v>118</v>
      </c>
      <c r="DQ40" s="330" t="s">
        <v>119</v>
      </c>
      <c r="DR40" s="330" t="s">
        <v>120</v>
      </c>
      <c r="DS40" s="330" t="s">
        <v>121</v>
      </c>
      <c r="DT40" s="330" t="s">
        <v>122</v>
      </c>
      <c r="DU40" s="331" t="s">
        <v>123</v>
      </c>
      <c r="DW40" s="145"/>
      <c r="DX40" s="155"/>
      <c r="DY40" s="146"/>
      <c r="DZ40" s="146"/>
      <c r="EA40" s="146"/>
      <c r="EB40" s="146"/>
      <c r="EC40" s="146"/>
      <c r="ED40" s="146"/>
      <c r="EE40" s="146"/>
      <c r="EF40" s="146"/>
      <c r="EG40" s="146"/>
      <c r="EH40" s="147"/>
      <c r="EJ40" s="332" t="s">
        <v>11</v>
      </c>
      <c r="EK40" s="330" t="s">
        <v>114</v>
      </c>
      <c r="EL40" s="330" t="s">
        <v>115</v>
      </c>
      <c r="EM40" s="330" t="s">
        <v>116</v>
      </c>
      <c r="EN40" s="330" t="s">
        <v>117</v>
      </c>
      <c r="EO40" s="330" t="s">
        <v>118</v>
      </c>
      <c r="EP40" s="330" t="s">
        <v>119</v>
      </c>
      <c r="EQ40" s="330" t="s">
        <v>120</v>
      </c>
      <c r="ER40" s="330" t="s">
        <v>121</v>
      </c>
      <c r="ES40" s="330" t="s">
        <v>122</v>
      </c>
      <c r="ET40" s="331" t="s">
        <v>123</v>
      </c>
    </row>
    <row r="41" spans="2:150" x14ac:dyDescent="0.3">
      <c r="B41" s="125" t="s">
        <v>165</v>
      </c>
      <c r="C41" s="259"/>
      <c r="D41" s="130">
        <f>D36/-'Property-Level CF'!P18</f>
        <v>8.5656649609439139E-2</v>
      </c>
      <c r="E41" s="130">
        <f>E36/-'Property-Level CF'!Q18</f>
        <v>7.9342155364977962E-2</v>
      </c>
      <c r="F41" s="130">
        <f>F36/-'Property-Level CF'!R18</f>
        <v>7.9527775611106952E-2</v>
      </c>
      <c r="G41" s="130">
        <f>G36/-'Property-Level CF'!S18</f>
        <v>2.5055045124402098E-2</v>
      </c>
      <c r="H41" s="130">
        <f>H36/-'Property-Level CF'!T18</f>
        <v>9.9189259594711851E-2</v>
      </c>
      <c r="I41" s="130">
        <f>I36/-'Property-Level CF'!U18</f>
        <v>8.8821772820094916E-2</v>
      </c>
      <c r="J41" s="130">
        <f>J36/-'Property-Level CF'!V18</f>
        <v>-3.204573012461819E-3</v>
      </c>
      <c r="K41" s="130">
        <f>K36/-'Property-Level CF'!W18</f>
        <v>0.10087601972123256</v>
      </c>
      <c r="L41" s="130">
        <f>L36/-'Property-Level CF'!X18</f>
        <v>2.0033080850692286E-2</v>
      </c>
      <c r="M41" s="131">
        <f>M36/-'Property-Level CF'!Y18</f>
        <v>5.9480576161922101E-2</v>
      </c>
      <c r="O41" s="291">
        <f>O33</f>
        <v>5.7000000000000002E-2</v>
      </c>
      <c r="P41" s="328">
        <f>((P33-Summary!$I$24+D39))</f>
        <v>4770009.9557865458</v>
      </c>
      <c r="Q41" s="328">
        <f>((Q33-Summary!$I$24+E39))</f>
        <v>5007997.1926286509</v>
      </c>
      <c r="R41" s="328">
        <f>((R33-Summary!$I$24+F39))</f>
        <v>5160415.0873654922</v>
      </c>
      <c r="S41" s="328">
        <f>((S33-Summary!$I$24+G39))</f>
        <v>4843721.2978918077</v>
      </c>
      <c r="T41" s="328">
        <f>((T33-Summary!$I$24+H39))</f>
        <v>5888753.2978918096</v>
      </c>
      <c r="U41" s="328">
        <f>((U33-Summary!$I$24+I39))</f>
        <v>5018489.7189444406</v>
      </c>
      <c r="V41" s="328">
        <f>((V33-Summary!$I$24+J39))</f>
        <v>4847210.5347339129</v>
      </c>
      <c r="W41" s="328">
        <f>((W33-Summary!$I$24+K39))</f>
        <v>6030342.6663128631</v>
      </c>
      <c r="X41" s="328">
        <f>((X33-Summary!$I$24+L39))</f>
        <v>5545218.3768391768</v>
      </c>
      <c r="Y41" s="329">
        <f>((Y33-Summary!$I$24))+$M$39-$M$37</f>
        <v>6469032.8505233862</v>
      </c>
      <c r="AA41" s="125" t="s">
        <v>165</v>
      </c>
      <c r="AB41" s="259"/>
      <c r="AC41" s="130">
        <f>AC36/-'Property-Level CF'!AO18</f>
        <v>3.0057316520254718E-2</v>
      </c>
      <c r="AD41" s="130">
        <f>AD36/-'Property-Level CF'!AP18</f>
        <v>6.6466213109590749E-2</v>
      </c>
      <c r="AE41" s="130">
        <f>AE36/-'Property-Level CF'!AQ18</f>
        <v>0.10962136900840062</v>
      </c>
      <c r="AF41" s="130">
        <f>AF36/-'Property-Level CF'!AR18</f>
        <v>0.11437812952294291</v>
      </c>
      <c r="AG41" s="130">
        <f>AG36/-'Property-Level CF'!AS18</f>
        <v>0.1189240287083748</v>
      </c>
      <c r="AH41" s="130">
        <f>AH36/-'Property-Level CF'!AT18</f>
        <v>0.12106835028388929</v>
      </c>
      <c r="AI41" s="130">
        <f>AI36/-'Property-Level CF'!AU18</f>
        <v>0.12320459188263934</v>
      </c>
      <c r="AJ41" s="130">
        <f>AJ36/-'Property-Level CF'!AV18</f>
        <v>0.12535282312433016</v>
      </c>
      <c r="AK41" s="130">
        <f>AK36/-'Property-Level CF'!AW18</f>
        <v>9.797186702497776E-2</v>
      </c>
      <c r="AL41" s="131">
        <f>AL36/-'Property-Level CF'!AX18</f>
        <v>7.0572665816802452E-2</v>
      </c>
      <c r="AN41" s="291">
        <f>AN33</f>
        <v>5.1999999999999998E-2</v>
      </c>
      <c r="AO41" s="328">
        <f>((AO33-Summary!$I$25+AC39))</f>
        <v>770362.96402308636</v>
      </c>
      <c r="AP41" s="328">
        <f>((AP33-Summary!$I$25+AD39))</f>
        <v>3492935.8101769323</v>
      </c>
      <c r="AQ41" s="328">
        <f>((AQ33-Summary!$I$25+AE39))</f>
        <v>6719978.2813307801</v>
      </c>
      <c r="AR41" s="328">
        <f>((AR33-Summary!$I$25+AF39))</f>
        <v>7075677.8005615482</v>
      </c>
      <c r="AS41" s="328">
        <f>((AS33-Summary!$I$25+AG39))</f>
        <v>7415609.5986384721</v>
      </c>
      <c r="AT41" s="328">
        <f>((AT33-Summary!$I$25+AH39))</f>
        <v>7575956.9928692402</v>
      </c>
      <c r="AU41" s="328">
        <f>((AU33-Summary!$I$25+AI39))</f>
        <v>7735700.1851769341</v>
      </c>
      <c r="AV41" s="328">
        <f>((AV33-Summary!$I$25+AJ39))</f>
        <v>7896339.9351769341</v>
      </c>
      <c r="AW41" s="328">
        <f>((AW33-Summary!$I$25+AK39))</f>
        <v>7796225.8678692402</v>
      </c>
      <c r="AX41" s="329">
        <f>((AX33-Summary!$I$25))+$AL$39-$AL$37</f>
        <v>7762274.3582538571</v>
      </c>
      <c r="AZ41" s="125" t="s">
        <v>165</v>
      </c>
      <c r="BA41" s="259"/>
      <c r="BB41" s="130">
        <f>BB36/-'Property-Level CF'!BN18</f>
        <v>5.0219136234353964E-2</v>
      </c>
      <c r="BC41" s="130">
        <f>BC36/-'Property-Level CF'!BO18</f>
        <v>8.1964569834032386E-2</v>
      </c>
      <c r="BD41" s="130">
        <f>BD36/-'Property-Level CF'!BP18</f>
        <v>9.8773711531694702E-2</v>
      </c>
      <c r="BE41" s="130">
        <f>BE36/-'Property-Level CF'!BQ18</f>
        <v>0.10019957126008683</v>
      </c>
      <c r="BF41" s="130">
        <f>BF36/-'Property-Level CF'!BR18</f>
        <v>0.10161121503904333</v>
      </c>
      <c r="BG41" s="130">
        <f>BG36/-'Property-Level CF'!BS18</f>
        <v>0.10309881260498439</v>
      </c>
      <c r="BH41" s="130">
        <f>BH36/-'Property-Level CF'!BT18</f>
        <v>0.11475101710238166</v>
      </c>
      <c r="BI41" s="130">
        <f>BI36/-'Property-Level CF'!BU18</f>
        <v>0.11833140551023709</v>
      </c>
      <c r="BJ41" s="130">
        <f>BJ36/-'Property-Level CF'!BV18</f>
        <v>0.11979016500732305</v>
      </c>
      <c r="BK41" s="131">
        <f>BK36/-'Property-Level CF'!BW18</f>
        <v>0.12105436908213305</v>
      </c>
      <c r="BM41" s="291">
        <f>BM33</f>
        <v>4.3999999999999997E-2</v>
      </c>
      <c r="BN41" s="328">
        <f>((BN33-Summary!$I$26+BB39))</f>
        <v>5038596.7884335378</v>
      </c>
      <c r="BO41" s="328">
        <f>((BO33-Summary!$I$26+BC39))</f>
        <v>8610772.652069902</v>
      </c>
      <c r="BP41" s="328">
        <f>((BP33-Summary!$I$26+BD39))</f>
        <v>10502232.413433539</v>
      </c>
      <c r="BQ41" s="328">
        <f>((BQ33-Summary!$I$26+BE39))</f>
        <v>10662678.220251719</v>
      </c>
      <c r="BR41" s="328">
        <f>((BR33-Summary!$I$26+BF39))</f>
        <v>10821524.367978992</v>
      </c>
      <c r="BS41" s="328">
        <f>((BS33-Summary!$I$26+BG39))</f>
        <v>10988917.265706265</v>
      </c>
      <c r="BT41" s="328">
        <f>((BT33-Summary!$I$26+BH39))</f>
        <v>12300089.265706265</v>
      </c>
      <c r="BU41" s="328">
        <f>((BU33-Summary!$I$26+BI39))</f>
        <v>12702974.833888082</v>
      </c>
      <c r="BV41" s="328">
        <f>((BV33-Summary!$I$26+BJ39))</f>
        <v>12867122.708888082</v>
      </c>
      <c r="BW41" s="329">
        <f>((BW33-Summary!$I$26))+$BK$39-$BK$37</f>
        <v>13009378.106615355</v>
      </c>
      <c r="BY41" s="125" t="s">
        <v>165</v>
      </c>
      <c r="BZ41" s="259"/>
      <c r="CA41" s="130">
        <f>CA36/-'Property-Level CF'!CM18</f>
        <v>6.5468863952457185E-2</v>
      </c>
      <c r="CB41" s="130">
        <f>CB36/-'Property-Level CF'!CN18</f>
        <v>6.7979775653844041E-2</v>
      </c>
      <c r="CC41" s="130">
        <f>CC36/-'Property-Level CF'!CO18</f>
        <v>7.0525703036383683E-2</v>
      </c>
      <c r="CD41" s="130">
        <f>CD36/-'Property-Level CF'!CP18</f>
        <v>7.3140384613527246E-2</v>
      </c>
      <c r="CE41" s="130">
        <f>CE36/-'Property-Level CF'!CQ18</f>
        <v>7.5788698273480157E-2</v>
      </c>
      <c r="CF41" s="130">
        <f>CF36/-'Property-Level CF'!CR18</f>
        <v>7.8490333684975752E-2</v>
      </c>
      <c r="CG41" s="130">
        <f>CG36/-'Property-Level CF'!CS18</f>
        <v>8.1222088968101236E-2</v>
      </c>
      <c r="CH41" s="130">
        <f>CH36/-'Property-Level CF'!CT18</f>
        <v>8.3997693675649035E-2</v>
      </c>
      <c r="CI41" s="130">
        <f>CI36/-'Property-Level CF'!CU18</f>
        <v>8.6895055037418054E-2</v>
      </c>
      <c r="CJ41" s="131">
        <f>CJ36/-'Property-Level CF'!CV18</f>
        <v>8.9987290904326056E-2</v>
      </c>
      <c r="CL41" s="291">
        <f>CL33</f>
        <v>0.05</v>
      </c>
      <c r="CM41" s="328">
        <f>((CM33-Summary!$I$27+CA39))</f>
        <v>9184121.7011092976</v>
      </c>
      <c r="CN41" s="328">
        <f>((CN33-Summary!$I$27+CB39))</f>
        <v>9661387.8611092977</v>
      </c>
      <c r="CO41" s="328">
        <f>((CO33-Summary!$I$27+CC39))</f>
        <v>10145309.691109296</v>
      </c>
      <c r="CP41" s="328">
        <f>((CP33-Summary!$I$27+CD39))</f>
        <v>10642300.101109296</v>
      </c>
      <c r="CQ41" s="328">
        <f>((CQ33-Summary!$I$27+CE39))</f>
        <v>11145683.191109296</v>
      </c>
      <c r="CR41" s="328">
        <f>((CR33-Summary!$I$27+CF39))</f>
        <v>11659201.511109296</v>
      </c>
      <c r="CS41" s="328">
        <f>((CS33-Summary!$I$27+CG39))</f>
        <v>12178444.921109296</v>
      </c>
      <c r="CT41" s="328">
        <f>((CT33-Summary!$I$27+CH39))</f>
        <v>12706023.091109298</v>
      </c>
      <c r="CU41" s="328">
        <f>((CU33-Summary!$I$27+CI39))</f>
        <v>13256744.381109297</v>
      </c>
      <c r="CV41" s="329">
        <f>((CV33-Summary!$I$27))+$CJ$39-$CJ$37</f>
        <v>13844506.801109295</v>
      </c>
      <c r="CX41" s="125" t="s">
        <v>165</v>
      </c>
      <c r="CY41" s="259"/>
      <c r="CZ41" s="130">
        <f>CZ36/-'Property-Level CF'!DL18</f>
        <v>6.7225508181829E-2</v>
      </c>
      <c r="DA41" s="130">
        <f>DA36/-'Property-Level CF'!DM18</f>
        <v>7.016314771327356E-2</v>
      </c>
      <c r="DB41" s="130">
        <f>DB36/-'Property-Level CF'!DN18</f>
        <v>7.3159374081217879E-2</v>
      </c>
      <c r="DC41" s="130">
        <f>DC36/-'Property-Level CF'!DO18</f>
        <v>7.6215444513913003E-2</v>
      </c>
      <c r="DD41" s="130">
        <f>DD36/-'Property-Level CF'!DP18</f>
        <v>7.9332867685260239E-2</v>
      </c>
      <c r="DE41" s="130">
        <f>DE36/-'Property-Level CF'!DQ18</f>
        <v>8.2512649377860417E-2</v>
      </c>
      <c r="DF41" s="130">
        <f>DF36/-'Property-Level CF'!DR18</f>
        <v>8.5755795374314409E-2</v>
      </c>
      <c r="DG41" s="130">
        <f>DG36/-'Property-Level CF'!DS18</f>
        <v>8.9064065794173697E-2</v>
      </c>
      <c r="DH41" s="130">
        <f>DH36/-'Property-Level CF'!DT18</f>
        <v>9.2438214974388935E-2</v>
      </c>
      <c r="DI41" s="131">
        <f>DI36/-'Property-Level CF'!DU18</f>
        <v>9.5880003034511607E-2</v>
      </c>
      <c r="DK41" s="291">
        <f>DK33</f>
        <v>5.0999999999999997E-2</v>
      </c>
      <c r="DL41" s="328">
        <f>((DL33-Summary!$I$28+CZ39))</f>
        <v>3884101.2525708028</v>
      </c>
      <c r="DM41" s="328">
        <f>((DM33-Summary!$I$28+DA39))</f>
        <v>4116043.1643355084</v>
      </c>
      <c r="DN41" s="328">
        <f>((DN33-Summary!$I$28+DB39))</f>
        <v>4352610.8113943329</v>
      </c>
      <c r="DO41" s="328">
        <f>((DO33-Summary!$I$28+DC39))</f>
        <v>4593903.458453157</v>
      </c>
      <c r="DP41" s="328">
        <f>((DP33-Summary!$I$28+DD39))</f>
        <v>4840040.2231590385</v>
      </c>
      <c r="DQ41" s="328">
        <f>((DQ33-Summary!$I$28+DE39))</f>
        <v>5091100.5172766848</v>
      </c>
      <c r="DR41" s="328">
        <f>((DR33-Summary!$I$28+DF39))</f>
        <v>5347163.7525708033</v>
      </c>
      <c r="DS41" s="328">
        <f>((DS33-Summary!$I$28+DG39))</f>
        <v>5608368.8996296274</v>
      </c>
      <c r="DT41" s="328">
        <f>((DT33-Summary!$I$28+DH39))</f>
        <v>5874775.5172766848</v>
      </c>
      <c r="DU41" s="329">
        <f>((DU33-Summary!$I$28))+$DI$39-$DI$37</f>
        <v>6146522.5761002144</v>
      </c>
      <c r="DW41" s="125" t="s">
        <v>165</v>
      </c>
      <c r="DX41" s="259"/>
      <c r="DY41" s="130">
        <f>DY36/-'Property-Level CF'!EK18</f>
        <v>5.9712652938383896E-2</v>
      </c>
      <c r="DZ41" s="130">
        <f>DZ36/-'Property-Level CF'!EL18</f>
        <v>6.2489983848360901E-2</v>
      </c>
      <c r="EA41" s="130">
        <f>EA36/-'Property-Level CF'!EM18</f>
        <v>6.5293576688106036E-2</v>
      </c>
      <c r="EB41" s="130">
        <f>EB36/-'Property-Level CF'!EN18</f>
        <v>6.817352951641395E-2</v>
      </c>
      <c r="EC41" s="130">
        <f>EC36/-'Property-Level CF'!EO18</f>
        <v>7.1111385153728709E-2</v>
      </c>
      <c r="ED41" s="130">
        <f>ED36/-'Property-Level CF'!EP18</f>
        <v>7.4112733488715818E-2</v>
      </c>
      <c r="EE41" s="130">
        <f>EE36/-'Property-Level CF'!EQ18</f>
        <v>7.7153211044361486E-2</v>
      </c>
      <c r="EF41" s="130">
        <f>EF36/-'Property-Level CF'!ER18</f>
        <v>8.028892764651567E-2</v>
      </c>
      <c r="EG41" s="130">
        <f>EG36/-'Property-Level CF'!ES18</f>
        <v>8.3450695239243075E-2</v>
      </c>
      <c r="EH41" s="131">
        <f>EH36/-'Property-Level CF'!ET18</f>
        <v>8.668892829013071E-2</v>
      </c>
      <c r="EJ41" s="291">
        <f>EJ33</f>
        <v>4.8000000000000001E-2</v>
      </c>
      <c r="EK41" s="328">
        <f>((EK33-Summary!$I$29+DY39))</f>
        <v>9206058.07226835</v>
      </c>
      <c r="EL41" s="328">
        <f>((EL33-Summary!$I$29+DZ39))</f>
        <v>9759873.97851835</v>
      </c>
      <c r="EM41" s="328">
        <f>((EM33-Summary!$I$29+EA39))</f>
        <v>10318926.66601835</v>
      </c>
      <c r="EN41" s="328">
        <f>((EN33-Summary!$I$29+EB39))</f>
        <v>10893205.97851835</v>
      </c>
      <c r="EO41" s="328">
        <f>((EO33-Summary!$I$29+EC39))</f>
        <v>11479031.44726835</v>
      </c>
      <c r="EP41" s="328">
        <f>((EP33-Summary!$I$29+ED39))</f>
        <v>12077517.72851835</v>
      </c>
      <c r="EQ41" s="328">
        <f>((EQ33-Summary!$I$29+EE39))</f>
        <v>12683806.60351835</v>
      </c>
      <c r="ER41" s="328">
        <f>((ER33-Summary!$I$29+EF39))</f>
        <v>13309086.69726835</v>
      </c>
      <c r="ES41" s="328">
        <f>((ES33-Summary!$I$29+EG39))</f>
        <v>13939561.50976835</v>
      </c>
      <c r="ET41" s="329">
        <f>((ET33-Summary!$I$29))+$EH$39-$EH$37</f>
        <v>14585283.978518352</v>
      </c>
    </row>
    <row r="42" spans="2:150" x14ac:dyDescent="0.3">
      <c r="B42" s="125" t="s">
        <v>63</v>
      </c>
      <c r="C42" s="259"/>
      <c r="D42" s="127">
        <f>AVERAGE($D$41:D41)</f>
        <v>8.5656649609439139E-2</v>
      </c>
      <c r="E42" s="127">
        <f>AVERAGE($D$41:E41)</f>
        <v>8.2499402487208551E-2</v>
      </c>
      <c r="F42" s="127">
        <f>AVERAGE($D$41:F41)</f>
        <v>8.1508860195174684E-2</v>
      </c>
      <c r="G42" s="127">
        <f>AVERAGE($D$41:G41)</f>
        <v>6.7395406427481541E-2</v>
      </c>
      <c r="H42" s="127">
        <f>AVERAGE($D$41:H41)</f>
        <v>7.37541770609276E-2</v>
      </c>
      <c r="I42" s="127">
        <f>AVERAGE($D$41:I41)</f>
        <v>7.6265443020788817E-2</v>
      </c>
      <c r="J42" s="127">
        <f>AVERAGE($D$41:J41)</f>
        <v>6.4912583587467307E-2</v>
      </c>
      <c r="K42" s="127">
        <f>AVERAGE($D$41:K41)</f>
        <v>6.9408013104187954E-2</v>
      </c>
      <c r="L42" s="127">
        <f>AVERAGE($D$41:L41)</f>
        <v>6.3921909520466225E-2</v>
      </c>
      <c r="M42" s="138">
        <f>AVERAGE($D$41:M41)</f>
        <v>6.3477776184611812E-2</v>
      </c>
      <c r="O42" s="289">
        <f>O34</f>
        <v>5.8000000000000003E-2</v>
      </c>
      <c r="P42" s="277">
        <f>((P34-Summary!$I$24+D39))</f>
        <v>4544082.7584181251</v>
      </c>
      <c r="Q42" s="277">
        <f>((Q34-Summary!$I$24+E39))</f>
        <v>4777455.3187629534</v>
      </c>
      <c r="R42" s="277">
        <f>((R34-Summary!$I$24+F39))</f>
        <v>4927260.3532457119</v>
      </c>
      <c r="S42" s="277">
        <f>((S34-Summary!$I$24+G39))</f>
        <v>4611614.7325560553</v>
      </c>
      <c r="T42" s="277">
        <f>((T34-Summary!$I$24+H39))</f>
        <v>5644633.5084181251</v>
      </c>
      <c r="U42" s="277">
        <f>((U34-Summary!$I$24+I39))</f>
        <v>4788534.7497974345</v>
      </c>
      <c r="V42" s="277">
        <f>((V34-Summary!$I$24+J39))</f>
        <v>4612754.8963491591</v>
      </c>
      <c r="W42" s="277">
        <f>((W34-Summary!$I$24+K39))</f>
        <v>5783918.3015215723</v>
      </c>
      <c r="X42" s="277">
        <f>((X34-Summary!$I$24+L39))</f>
        <v>5300610.2756595043</v>
      </c>
      <c r="Y42" s="273">
        <f>((Y34-Summary!$I$24))+$M$39-$M$37</f>
        <v>6211691.9997974336</v>
      </c>
      <c r="AA42" s="125" t="s">
        <v>63</v>
      </c>
      <c r="AB42" s="259"/>
      <c r="AC42" s="127">
        <f>AVERAGE($AC$41:AC41)</f>
        <v>3.0057316520254718E-2</v>
      </c>
      <c r="AD42" s="127">
        <f>AVERAGE($AC$41:AD41)</f>
        <v>4.8261764814922732E-2</v>
      </c>
      <c r="AE42" s="127">
        <f>AVERAGE($AC$41:AE41)</f>
        <v>6.8714966212748696E-2</v>
      </c>
      <c r="AF42" s="127">
        <f>AVERAGE($AC$41:AF41)</f>
        <v>8.0130757040297249E-2</v>
      </c>
      <c r="AG42" s="127">
        <f>AVERAGE($AC$41:AG41)</f>
        <v>8.7889411373912762E-2</v>
      </c>
      <c r="AH42" s="127">
        <f>AVERAGE($AC$41:AH41)</f>
        <v>9.3419234525575504E-2</v>
      </c>
      <c r="AI42" s="127">
        <f>AVERAGE($AC$41:AI41)</f>
        <v>9.7674285576584627E-2</v>
      </c>
      <c r="AJ42" s="127">
        <f>AVERAGE($AC$41:AJ41)</f>
        <v>0.10113410277005282</v>
      </c>
      <c r="AK42" s="127">
        <f>AVERAGE($AC$41:AK41)</f>
        <v>0.10078274324282226</v>
      </c>
      <c r="AL42" s="138">
        <f>AVERAGE($AC$41:AL41)</f>
        <v>9.776173550022027E-2</v>
      </c>
      <c r="AN42" s="289">
        <f>AN34</f>
        <v>5.2999999999999999E-2</v>
      </c>
      <c r="AO42" s="277">
        <f>((AO34-Summary!$I$25+AC39))</f>
        <v>623384.98996648297</v>
      </c>
      <c r="AP42" s="277">
        <f>((AP34-Summary!$I$25+AD39))</f>
        <v>3297224.1597778043</v>
      </c>
      <c r="AQ42" s="277">
        <f>((AQ34-Summary!$I$25+AE39))</f>
        <v>6466503.0182683701</v>
      </c>
      <c r="AR42" s="277">
        <f>((AR34-Summary!$I$25+AF39))</f>
        <v>6815835.5654381821</v>
      </c>
      <c r="AS42" s="277">
        <f>((AS34-Summary!$I$25+AG39))</f>
        <v>7149682.6314759171</v>
      </c>
      <c r="AT42" s="277">
        <f>((AT34-Summary!$I$25+AH39))</f>
        <v>7307159.8295891257</v>
      </c>
      <c r="AU42" s="277">
        <f>((AU34-Summary!$I$25+AI39))</f>
        <v>7464043.6409098795</v>
      </c>
      <c r="AV42" s="277">
        <f>((AV34-Summary!$I$25+AJ39))</f>
        <v>7621807.9616645956</v>
      </c>
      <c r="AW42" s="277">
        <f>((AW34-Summary!$I$25+AK39))</f>
        <v>7521600.7446834641</v>
      </c>
      <c r="AX42" s="273">
        <f>((AX34-Summary!$I$25))+$AL$39-$AL$37</f>
        <v>7486306.4144947845</v>
      </c>
      <c r="AZ42" s="125" t="s">
        <v>63</v>
      </c>
      <c r="BA42" s="259"/>
      <c r="BB42" s="127">
        <f>AVERAGE($BB$41:BB41)</f>
        <v>5.0219136234353964E-2</v>
      </c>
      <c r="BC42" s="127">
        <f>AVERAGE($BB$41:BC41)</f>
        <v>6.6091853034193182E-2</v>
      </c>
      <c r="BD42" s="127">
        <f>AVERAGE($BB$41:BD41)</f>
        <v>7.6985805866693693E-2</v>
      </c>
      <c r="BE42" s="127">
        <f>AVERAGE($BB$41:BE41)</f>
        <v>8.2789247215041967E-2</v>
      </c>
      <c r="BF42" s="127">
        <f>AVERAGE($BB$41:BF41)</f>
        <v>8.6553640779842247E-2</v>
      </c>
      <c r="BG42" s="127">
        <f>AVERAGE($BB$41:BG41)</f>
        <v>8.9311169417365943E-2</v>
      </c>
      <c r="BH42" s="127">
        <f>AVERAGE($BB$41:BH41)</f>
        <v>9.2945433372368186E-2</v>
      </c>
      <c r="BI42" s="127">
        <f>AVERAGE($BB$41:BI41)</f>
        <v>9.6118679889601807E-2</v>
      </c>
      <c r="BJ42" s="127">
        <f>AVERAGE($BB$41:BJ41)</f>
        <v>9.8748844902681945E-2</v>
      </c>
      <c r="BK42" s="138">
        <f>AVERAGE($BB$41:BK41)</f>
        <v>0.10097939732062707</v>
      </c>
      <c r="BM42" s="289">
        <f>BM34</f>
        <v>4.7E-2</v>
      </c>
      <c r="BN42" s="277">
        <f>((BN34-Summary!$I$26+BB39))</f>
        <v>4148280.7993136151</v>
      </c>
      <c r="BO42" s="277">
        <f>((BO34-Summary!$I$26+BC39))</f>
        <v>7502423.0546327634</v>
      </c>
      <c r="BP42" s="277">
        <f>((BP34-Summary!$I$26+BD39))</f>
        <v>9278434.4695263822</v>
      </c>
      <c r="BQ42" s="277">
        <f>((BQ34-Summary!$I$26+BE39))</f>
        <v>9429087.2035689335</v>
      </c>
      <c r="BR42" s="277">
        <f>((BR34-Summary!$I$26+BF39))</f>
        <v>9578237.9163348917</v>
      </c>
      <c r="BS42" s="277">
        <f>((BS34-Summary!$I$26+BG39))</f>
        <v>9735413.7142072301</v>
      </c>
      <c r="BT42" s="277">
        <f>((BT34-Summary!$I$26+BH39))</f>
        <v>10966556.18229234</v>
      </c>
      <c r="BU42" s="277">
        <f>((BU34-Summary!$I$26+BI39))</f>
        <v>11344850.969526382</v>
      </c>
      <c r="BV42" s="277">
        <f>((BV34-Summary!$I$26+BJ39))</f>
        <v>11498979.809951911</v>
      </c>
      <c r="BW42" s="273">
        <f>((BW34-Summary!$I$26))+$BK$39-$BK$37</f>
        <v>11632552.416334892</v>
      </c>
      <c r="BY42" s="125" t="s">
        <v>63</v>
      </c>
      <c r="BZ42" s="259"/>
      <c r="CA42" s="127">
        <f>AVERAGE($CA$41:CA41)</f>
        <v>6.5468863952457185E-2</v>
      </c>
      <c r="CB42" s="127">
        <f>AVERAGE($CA$41:CB41)</f>
        <v>6.6724319803150606E-2</v>
      </c>
      <c r="CC42" s="127">
        <f>AVERAGE($CA$41:CC41)</f>
        <v>6.7991447547561631E-2</v>
      </c>
      <c r="CD42" s="127">
        <f>AVERAGE($CA$41:CD41)</f>
        <v>6.9278681814053028E-2</v>
      </c>
      <c r="CE42" s="127">
        <f>AVERAGE($CA$41:CE41)</f>
        <v>7.0580685105938457E-2</v>
      </c>
      <c r="CF42" s="127">
        <f>AVERAGE($CA$41:CF41)</f>
        <v>7.1898959869111337E-2</v>
      </c>
      <c r="CG42" s="127">
        <f>AVERAGE($CA$41:CG41)</f>
        <v>7.3230835454681328E-2</v>
      </c>
      <c r="CH42" s="127">
        <f>AVERAGE($CA$41:CH41)</f>
        <v>7.4576692732302288E-2</v>
      </c>
      <c r="CI42" s="127">
        <f>AVERAGE($CA$41:CI41)</f>
        <v>7.5945399655092921E-2</v>
      </c>
      <c r="CJ42" s="138">
        <f>AVERAGE($CA$41:CJ41)</f>
        <v>7.7349588780016229E-2</v>
      </c>
      <c r="CL42" s="289">
        <f>CL34</f>
        <v>5.0999999999999997E-2</v>
      </c>
      <c r="CM42" s="277">
        <f>((CM34-Summary!$I$27+CA39))</f>
        <v>8673498.0846387111</v>
      </c>
      <c r="CN42" s="277">
        <f>((CN34-Summary!$I$27+CB39))</f>
        <v>9141868.6728740036</v>
      </c>
      <c r="CO42" s="277">
        <f>((CO34-Summary!$I$27+CC39))</f>
        <v>9616770.8787563592</v>
      </c>
      <c r="CP42" s="277">
        <f>((CP34-Summary!$I$27+CD39))</f>
        <v>10104498.084638711</v>
      </c>
      <c r="CQ42" s="277">
        <f>((CQ34-Summary!$I$27+CE39))</f>
        <v>10598498.819932826</v>
      </c>
      <c r="CR42" s="277">
        <f>((CR34-Summary!$I$27+CF39))</f>
        <v>11102445.878756355</v>
      </c>
      <c r="CS42" s="277">
        <f>((CS34-Summary!$I$27+CG39))</f>
        <v>11612011.319932826</v>
      </c>
      <c r="CT42" s="277">
        <f>((CT34-Summary!$I$27+CH39))</f>
        <v>12129756.172874004</v>
      </c>
      <c r="CU42" s="277">
        <f>((CU34-Summary!$I$27+CI39))</f>
        <v>12670212.790521063</v>
      </c>
      <c r="CV42" s="273">
        <f>((CV34-Summary!$I$27))+$CJ$39-$CJ$37</f>
        <v>13247020.143462241</v>
      </c>
      <c r="CX42" s="125" t="s">
        <v>63</v>
      </c>
      <c r="CY42" s="259"/>
      <c r="CZ42" s="127">
        <f>AVERAGE($CZ$41:CZ41)</f>
        <v>6.7225508181829E-2</v>
      </c>
      <c r="DA42" s="127">
        <f>AVERAGE($CZ$41:DA41)</f>
        <v>6.8694327947551287E-2</v>
      </c>
      <c r="DB42" s="127">
        <f>AVERAGE($CZ$41:DB41)</f>
        <v>7.018267665877348E-2</v>
      </c>
      <c r="DC42" s="127">
        <f>AVERAGE($CZ$41:DC41)</f>
        <v>7.1690868622558357E-2</v>
      </c>
      <c r="DD42" s="127">
        <f>AVERAGE($CZ$41:DD41)</f>
        <v>7.3219268435098739E-2</v>
      </c>
      <c r="DE42" s="127">
        <f>AVERAGE($CZ$41:DE41)</f>
        <v>7.476816525889235E-2</v>
      </c>
      <c r="DF42" s="127">
        <f>AVERAGE($CZ$41:DF41)</f>
        <v>7.6337826703952644E-2</v>
      </c>
      <c r="DG42" s="127">
        <f>AVERAGE($CZ$41:DG41)</f>
        <v>7.7928606590230279E-2</v>
      </c>
      <c r="DH42" s="127">
        <f>AVERAGE($CZ$41:DH41)</f>
        <v>7.9540785299581251E-2</v>
      </c>
      <c r="DI42" s="138">
        <f>AVERAGE($CZ$41:DI41)</f>
        <v>8.1174707073074281E-2</v>
      </c>
      <c r="DK42" s="289">
        <f>DK34</f>
        <v>5.1999999999999998E-2</v>
      </c>
      <c r="DL42" s="277">
        <f>((DL34-Summary!$I$28+CZ39))</f>
        <v>3672321.4511002139</v>
      </c>
      <c r="DM42" s="277">
        <f>((DM34-Summary!$I$28+DA39))</f>
        <v>3900027.6145617538</v>
      </c>
      <c r="DN42" s="277">
        <f>((DN34-Summary!$I$28+DB39))</f>
        <v>4132275.0376386759</v>
      </c>
      <c r="DO42" s="277">
        <f>((DO34-Summary!$I$28+DC39))</f>
        <v>4369161.1722540604</v>
      </c>
      <c r="DP42" s="277">
        <f>((DP34-Summary!$I$28+DD39))</f>
        <v>4610802.9607156003</v>
      </c>
      <c r="DQ42" s="277">
        <f>((DQ34-Summary!$I$28+DE39))</f>
        <v>4857278.3645617543</v>
      </c>
      <c r="DR42" s="277">
        <f>((DR34-Summary!$I$28+DF39))</f>
        <v>5108665.3453309862</v>
      </c>
      <c r="DS42" s="277">
        <f>((DS34-Summary!$I$28+DG39))</f>
        <v>5365100.3357156003</v>
      </c>
      <c r="DT42" s="277">
        <f>((DT34-Summary!$I$28+DH39))</f>
        <v>5626641.8068694463</v>
      </c>
      <c r="DU42" s="273">
        <f>((DU34-Summary!$I$28))+$DI$39-$DI$37</f>
        <v>5893426.1914848303</v>
      </c>
      <c r="DW42" s="125" t="s">
        <v>63</v>
      </c>
      <c r="DX42" s="259"/>
      <c r="DY42" s="127">
        <f>AVERAGE($DY$41:DY41)</f>
        <v>5.9712652938383896E-2</v>
      </c>
      <c r="DZ42" s="127">
        <f>AVERAGE($DY$41:DZ41)</f>
        <v>6.1101318393372399E-2</v>
      </c>
      <c r="EA42" s="127">
        <f>AVERAGE($DY$41:EA41)</f>
        <v>6.249873782495028E-2</v>
      </c>
      <c r="EB42" s="127">
        <f>AVERAGE($DY$41:EB41)</f>
        <v>6.3917435747816193E-2</v>
      </c>
      <c r="EC42" s="127">
        <f>AVERAGE($DY$41:EC41)</f>
        <v>6.5356225628998704E-2</v>
      </c>
      <c r="ED42" s="127">
        <f>AVERAGE($DY$41:ED41)</f>
        <v>6.6815643605618216E-2</v>
      </c>
      <c r="EE42" s="127">
        <f>AVERAGE($DY$41:EE41)</f>
        <v>6.8292438954010118E-2</v>
      </c>
      <c r="EF42" s="127">
        <f>AVERAGE($DY$41:EF41)</f>
        <v>6.9792000040573302E-2</v>
      </c>
      <c r="EG42" s="127">
        <f>AVERAGE($DY$41:EG41)</f>
        <v>7.1309632840425505E-2</v>
      </c>
      <c r="EH42" s="138">
        <f>AVERAGE($DY$41:EH41)</f>
        <v>7.2847562385396025E-2</v>
      </c>
      <c r="EJ42" s="289">
        <f>EJ34</f>
        <v>4.9000000000000002E-2</v>
      </c>
      <c r="EK42" s="277">
        <f>((EK34-Summary!$I$29+DY39))</f>
        <v>8669896.3203550857</v>
      </c>
      <c r="EL42" s="277">
        <f>((EL34-Summary!$I$29+DZ39))</f>
        <v>9212947.2693346757</v>
      </c>
      <c r="EM42" s="277">
        <f>((EM34-Summary!$I$29+EA39))</f>
        <v>9761133.2081101891</v>
      </c>
      <c r="EN42" s="277">
        <f>((EN34-Summary!$I$29+EB39))</f>
        <v>10324249.799946921</v>
      </c>
      <c r="EO42" s="277">
        <f>((EO34-Summary!$I$29+EC39))</f>
        <v>10898688.11627345</v>
      </c>
      <c r="EP42" s="277">
        <f>((EP34-Summary!$I$29+ED39))</f>
        <v>11485541.146885699</v>
      </c>
      <c r="EQ42" s="277">
        <f>((EQ34-Summary!$I$29+EE39))</f>
        <v>12080045.106069369</v>
      </c>
      <c r="ER42" s="277">
        <f>((ER34-Summary!$I$29+EF39))</f>
        <v>12693171.136681614</v>
      </c>
      <c r="ES42" s="277">
        <f>((ES34-Summary!$I$29+EG39))</f>
        <v>13311390.912191818</v>
      </c>
      <c r="ET42" s="273">
        <f>((ET34-Summary!$I$29))+$EH$39-$EH$37</f>
        <v>13944561.963212229</v>
      </c>
    </row>
    <row r="43" spans="2:150" x14ac:dyDescent="0.3">
      <c r="B43" s="145"/>
      <c r="C43" s="155"/>
      <c r="D43" s="146"/>
      <c r="E43" s="146"/>
      <c r="F43" s="146"/>
      <c r="G43" s="146"/>
      <c r="H43" s="146"/>
      <c r="I43" s="146"/>
      <c r="J43" s="146"/>
      <c r="K43" s="146"/>
      <c r="L43" s="146"/>
      <c r="M43" s="147"/>
      <c r="O43" s="289">
        <f>O35</f>
        <v>5.8999999999999997E-2</v>
      </c>
      <c r="P43" s="277">
        <f>((P35-Summary!$I$24+D39))</f>
        <v>4325814.1101130424</v>
      </c>
      <c r="Q43" s="277">
        <f>((Q35-Summary!$I$24+E39))</f>
        <v>4554728.4236723641</v>
      </c>
      <c r="R43" s="277">
        <f>((R35-Summary!$I$24+F39))</f>
        <v>4702009.1694350736</v>
      </c>
      <c r="S43" s="277">
        <f>((S35-Summary!$I$24+G39))</f>
        <v>4387376.1863842281</v>
      </c>
      <c r="T43" s="277">
        <f>((T35-Summary!$I$24+H39))</f>
        <v>5408788.9660452465</v>
      </c>
      <c r="U43" s="277">
        <f>((U35-Summary!$I$24+I39))</f>
        <v>4566374.8643503292</v>
      </c>
      <c r="V43" s="277">
        <f>((V35-Summary!$I$24+J39))</f>
        <v>4386246.9067232115</v>
      </c>
      <c r="W43" s="277">
        <f>((W35-Summary!$I$24+K39))</f>
        <v>5545847.3050282942</v>
      </c>
      <c r="X43" s="277">
        <f>((X35-Summary!$I$24+L39))</f>
        <v>5064293.9745198218</v>
      </c>
      <c r="Y43" s="273">
        <f>((Y35-Summary!$I$24))+$M$39-$M$37</f>
        <v>5963074.567740161</v>
      </c>
      <c r="AA43" s="145"/>
      <c r="AB43" s="155"/>
      <c r="AC43" s="146"/>
      <c r="AD43" s="146"/>
      <c r="AE43" s="146"/>
      <c r="AF43" s="146"/>
      <c r="AG43" s="146"/>
      <c r="AH43" s="146"/>
      <c r="AI43" s="146"/>
      <c r="AJ43" s="146"/>
      <c r="AK43" s="146"/>
      <c r="AL43" s="147"/>
      <c r="AN43" s="289">
        <f>AN35</f>
        <v>5.3999999999999999E-2</v>
      </c>
      <c r="AO43" s="277">
        <f>((AO35-Summary!$I$25+AC39))</f>
        <v>481850.64457864233</v>
      </c>
      <c r="AP43" s="277">
        <f>((AP35-Summary!$I$25+AD39))</f>
        <v>3108761.0890230862</v>
      </c>
      <c r="AQ43" s="277">
        <f>((AQ35-Summary!$I$25+AE39))</f>
        <v>6222415.7279119762</v>
      </c>
      <c r="AR43" s="277">
        <f>((AR35-Summary!$I$25+AF39))</f>
        <v>6565617.1168008642</v>
      </c>
      <c r="AS43" s="277">
        <f>((AS35-Summary!$I$25+AG39))</f>
        <v>6893604.8112453101</v>
      </c>
      <c r="AT43" s="277">
        <f>((AT35-Summary!$I$25+AH39))</f>
        <v>7048318.1168008642</v>
      </c>
      <c r="AU43" s="277">
        <f>((AU35-Summary!$I$25+AI39))</f>
        <v>7202448.4501341982</v>
      </c>
      <c r="AV43" s="277">
        <f>((AV35-Summary!$I$25+AJ39))</f>
        <v>7357443.8390230862</v>
      </c>
      <c r="AW43" s="277">
        <f>((AW35-Summary!$I$25+AK39))</f>
        <v>7257146.9223564202</v>
      </c>
      <c r="AX43" s="273">
        <f>((AX35-Summary!$I$25))+$AL$39-$AL$37</f>
        <v>7220559.5056897532</v>
      </c>
      <c r="AZ43" s="145"/>
      <c r="BA43" s="155"/>
      <c r="BB43" s="146"/>
      <c r="BC43" s="146"/>
      <c r="BD43" s="146"/>
      <c r="BE43" s="146"/>
      <c r="BF43" s="146"/>
      <c r="BG43" s="146"/>
      <c r="BH43" s="146"/>
      <c r="BI43" s="146"/>
      <c r="BJ43" s="146"/>
      <c r="BK43" s="147"/>
      <c r="BM43" s="289">
        <f>BM35</f>
        <v>0.05</v>
      </c>
      <c r="BN43" s="277">
        <f>((BN35-Summary!$I$26+BB39))</f>
        <v>3364802.7288880823</v>
      </c>
      <c r="BO43" s="277">
        <f>((BO35-Summary!$I$26+BC39))</f>
        <v>6527075.4088880839</v>
      </c>
      <c r="BP43" s="277">
        <f>((BP35-Summary!$I$26+BD39))</f>
        <v>8201492.2788880831</v>
      </c>
      <c r="BQ43" s="277">
        <f>((BQ35-Summary!$I$26+BE39))</f>
        <v>8343527.108888085</v>
      </c>
      <c r="BR43" s="277">
        <f>((BR35-Summary!$I$26+BF39))</f>
        <v>8484145.8388880808</v>
      </c>
      <c r="BS43" s="277">
        <f>((BS35-Summary!$I$26+BG39))</f>
        <v>8632330.5888880808</v>
      </c>
      <c r="BT43" s="277">
        <f>((BT35-Summary!$I$26+BH39))</f>
        <v>9793047.0688880812</v>
      </c>
      <c r="BU43" s="277">
        <f>((BU35-Summary!$I$26+BI39))</f>
        <v>10149701.968888083</v>
      </c>
      <c r="BV43" s="277">
        <f>((BV35-Summary!$I$26+BJ39))</f>
        <v>10295014.058888083</v>
      </c>
      <c r="BW43" s="273">
        <f>((BW35-Summary!$I$26))+$BK$39-$BK$37</f>
        <v>10420945.808888083</v>
      </c>
      <c r="BY43" s="145"/>
      <c r="BZ43" s="155"/>
      <c r="CA43" s="146"/>
      <c r="CB43" s="146"/>
      <c r="CC43" s="146"/>
      <c r="CD43" s="146"/>
      <c r="CE43" s="146"/>
      <c r="CF43" s="146"/>
      <c r="CG43" s="146"/>
      <c r="CH43" s="146"/>
      <c r="CI43" s="146"/>
      <c r="CJ43" s="147"/>
      <c r="CL43" s="289">
        <f>CL35</f>
        <v>5.1999999999999998E-2</v>
      </c>
      <c r="CM43" s="277">
        <f>((CM35-Summary!$I$27+CA39))</f>
        <v>8182513.838032376</v>
      </c>
      <c r="CN43" s="277">
        <f>((CN35-Summary!$I$27+CB39))</f>
        <v>8642330.9918785281</v>
      </c>
      <c r="CO43" s="277">
        <f>((CO35-Summary!$I$27+CC39))</f>
        <v>9108560.4822631441</v>
      </c>
      <c r="CP43" s="277">
        <f>((CP35-Summary!$I$27+CD39))</f>
        <v>9587380.7611092962</v>
      </c>
      <c r="CQ43" s="277">
        <f>((CQ35-Summary!$I$27+CE39))</f>
        <v>10072360.001493912</v>
      </c>
      <c r="CR43" s="277">
        <f>((CR35-Summary!$I$27+CF39))</f>
        <v>10567103.92457084</v>
      </c>
      <c r="CS43" s="277">
        <f>((CS35-Summary!$I$27+CG39))</f>
        <v>11067363.626493912</v>
      </c>
      <c r="CT43" s="277">
        <f>((CT35-Summary!$I$27+CH39))</f>
        <v>11575653.366878528</v>
      </c>
      <c r="CU43" s="277">
        <f>((CU35-Summary!$I$27+CI39))</f>
        <v>12106240.107263144</v>
      </c>
      <c r="CV43" s="273">
        <f>((CV35-Summary!$I$27))+$CJ$39-$CJ$37</f>
        <v>12672513.741878528</v>
      </c>
      <c r="CX43" s="145"/>
      <c r="CY43" s="155"/>
      <c r="CZ43" s="146"/>
      <c r="DA43" s="146"/>
      <c r="DB43" s="146"/>
      <c r="DC43" s="146"/>
      <c r="DD43" s="146"/>
      <c r="DE43" s="146"/>
      <c r="DF43" s="146"/>
      <c r="DG43" s="146"/>
      <c r="DH43" s="146"/>
      <c r="DI43" s="147"/>
      <c r="DK43" s="289">
        <f>DK35</f>
        <v>5.2999999999999999E-2</v>
      </c>
      <c r="DL43" s="277">
        <f>((DL35-Summary!$I$28+CZ39))</f>
        <v>3468533.3402511575</v>
      </c>
      <c r="DM43" s="277">
        <f>((DM35-Summary!$I$28+DA39))</f>
        <v>3692163.5949681387</v>
      </c>
      <c r="DN43" s="277">
        <f>((DN35-Summary!$I$28+DB39))</f>
        <v>3920253.8213832327</v>
      </c>
      <c r="DO43" s="277">
        <f>((DO35-Summary!$I$28+DC39))</f>
        <v>4152899.7270436105</v>
      </c>
      <c r="DP43" s="277">
        <f>((DP35-Summary!$I$28+DD39))</f>
        <v>4390216.161005876</v>
      </c>
      <c r="DQ43" s="277">
        <f>((DQ35-Summary!$I$28+DE39))</f>
        <v>4632279.6893077614</v>
      </c>
      <c r="DR43" s="277">
        <f>((DR35-Summary!$I$28+DF39))</f>
        <v>4879166.8779870076</v>
      </c>
      <c r="DS43" s="277">
        <f>((DS35-Summary!$I$28+DG39))</f>
        <v>5131011.7176096486</v>
      </c>
      <c r="DT43" s="277">
        <f>((DT35-Summary!$I$28+DH39))</f>
        <v>5387871.6327039888</v>
      </c>
      <c r="DU43" s="273">
        <f>((DU35-Summary!$I$28))+$DI$39-$DI$37</f>
        <v>5649880.613836064</v>
      </c>
      <c r="DW43" s="145"/>
      <c r="DX43" s="155"/>
      <c r="DY43" s="146"/>
      <c r="DZ43" s="146"/>
      <c r="EA43" s="146"/>
      <c r="EB43" s="146"/>
      <c r="EC43" s="146"/>
      <c r="ED43" s="146"/>
      <c r="EE43" s="146"/>
      <c r="EF43" s="146"/>
      <c r="EG43" s="146"/>
      <c r="EH43" s="147"/>
      <c r="EJ43" s="289">
        <f>EJ35</f>
        <v>0.05</v>
      </c>
      <c r="EK43" s="277">
        <f>((EK35-Summary!$I$29+DY39))</f>
        <v>8155181.0385183524</v>
      </c>
      <c r="EL43" s="277">
        <f>((EL35-Summary!$I$29+DZ39))</f>
        <v>8687897.6285183523</v>
      </c>
      <c r="EM43" s="277">
        <f>((EM35-Summary!$I$29+EA39))</f>
        <v>9225651.4885183517</v>
      </c>
      <c r="EN43" s="277">
        <f>((EN35-Summary!$I$29+EB39))</f>
        <v>9778051.8685183506</v>
      </c>
      <c r="EO43" s="277">
        <f>((EO35-Summary!$I$29+EC39))</f>
        <v>10341558.518518349</v>
      </c>
      <c r="EP43" s="277">
        <f>((EP35-Summary!$I$29+ED39))</f>
        <v>10917243.628518352</v>
      </c>
      <c r="EQ43" s="277">
        <f>((EQ35-Summary!$I$29+EE39))</f>
        <v>11500434.06851835</v>
      </c>
      <c r="ER43" s="277">
        <f>((ER35-Summary!$I$29+EF39))</f>
        <v>12101892.198518349</v>
      </c>
      <c r="ES43" s="277">
        <f>((ES35-Summary!$I$29+EG39))</f>
        <v>12708347.13851835</v>
      </c>
      <c r="ET43" s="273">
        <f>((ET35-Summary!$I$29))+$EH$39-$EH$37</f>
        <v>13329468.828518353</v>
      </c>
    </row>
    <row r="44" spans="2:150" x14ac:dyDescent="0.3">
      <c r="B44" s="258" t="s">
        <v>61</v>
      </c>
      <c r="C44" s="259"/>
      <c r="D44" s="130">
        <f>'Property-Level CF'!P17</f>
        <v>-2.6843350390560627E-2</v>
      </c>
      <c r="E44" s="130">
        <f>'Property-Level CF'!Q17</f>
        <v>4.0831845377026887E-2</v>
      </c>
      <c r="F44" s="130">
        <f>'Property-Level CF'!R17</f>
        <v>6.3933131367711615E-2</v>
      </c>
      <c r="G44" s="130">
        <f>'Property-Level CF'!S17</f>
        <v>5.1863851126367377E-2</v>
      </c>
      <c r="H44" s="130">
        <f>'Property-Level CF'!T17</f>
        <v>8.5837800412382759E-2</v>
      </c>
      <c r="I44" s="130">
        <f>'Property-Level CF'!U17</f>
        <v>6.1263800524201661E-2</v>
      </c>
      <c r="J44" s="130">
        <f>'Property-Level CF'!V17</f>
        <v>6.0346328213419786E-2</v>
      </c>
      <c r="K44" s="130">
        <f>'Property-Level CF'!W17</f>
        <v>7.8471230674868275E-2</v>
      </c>
      <c r="L44" s="130">
        <f>'Property-Level CF'!X17</f>
        <v>7.1098616341067178E-2</v>
      </c>
      <c r="M44" s="131">
        <f>'Property-Level CF'!Y17</f>
        <v>8.0202328433236492E-2</v>
      </c>
      <c r="O44" s="289">
        <f>O36</f>
        <v>0.06</v>
      </c>
      <c r="P44" s="277">
        <f>((P36-Summary!$I$24+D39))</f>
        <v>4114821.0834181262</v>
      </c>
      <c r="Q44" s="277">
        <f>((Q36-Summary!$I$24+E39))</f>
        <v>4339425.7584181251</v>
      </c>
      <c r="R44" s="277">
        <f>((R36-Summary!$I$24+F39))</f>
        <v>4484266.3584181266</v>
      </c>
      <c r="S44" s="277">
        <f>((S36-Summary!$I$24+G39))</f>
        <v>4170612.258418127</v>
      </c>
      <c r="T44" s="277">
        <f>((T36-Summary!$I$24+H39))</f>
        <v>5180805.9084181255</v>
      </c>
      <c r="U44" s="277">
        <f>((U36-Summary!$I$24+I39))</f>
        <v>4351620.3084181258</v>
      </c>
      <c r="V44" s="277">
        <f>((V36-Summary!$I$24+J39))</f>
        <v>4167289.1834181258</v>
      </c>
      <c r="W44" s="277">
        <f>((W36-Summary!$I$24+K39))</f>
        <v>5315712.008418127</v>
      </c>
      <c r="X44" s="277">
        <f>((X36-Summary!$I$24+L39))</f>
        <v>4835854.8834181251</v>
      </c>
      <c r="Y44" s="273">
        <f>((Y36-Summary!$I$24))+$M$39-$M$37</f>
        <v>5722744.3834181242</v>
      </c>
      <c r="AA44" s="258" t="s">
        <v>61</v>
      </c>
      <c r="AB44" s="259"/>
      <c r="AC44" s="130">
        <f>'Property-Level CF'!AO17</f>
        <v>-8.2442683479745149E-2</v>
      </c>
      <c r="AD44" s="130">
        <f>'Property-Level CF'!AP17</f>
        <v>-5.907901017714734E-2</v>
      </c>
      <c r="AE44" s="130">
        <f>'Property-Level CF'!AQ17</f>
        <v>0.21737886737956069</v>
      </c>
      <c r="AF44" s="130">
        <f>'Property-Level CF'!AR17</f>
        <v>0.19556344700915784</v>
      </c>
      <c r="AG44" s="130">
        <f>'Property-Level CF'!AS17</f>
        <v>0.181735997763115</v>
      </c>
      <c r="AH44" s="130">
        <f>'Property-Level CF'!AT17</f>
        <v>0.16833302221070801</v>
      </c>
      <c r="AI44" s="130">
        <f>'Property-Level CF'!AU17</f>
        <v>0.15886919152020207</v>
      </c>
      <c r="AJ44" s="130">
        <f>'Property-Level CF'!AV17</f>
        <v>0.15184412168167949</v>
      </c>
      <c r="AK44" s="130">
        <f>'Property-Level CF'!AW17</f>
        <v>0.14323919323428291</v>
      </c>
      <c r="AL44" s="131">
        <f>'Property-Level CF'!AX17</f>
        <v>0.13599865459232952</v>
      </c>
      <c r="AN44" s="289">
        <f>AN36</f>
        <v>5.5E-2</v>
      </c>
      <c r="AO44" s="277">
        <f>((AO36-Summary!$I$25+AC39))</f>
        <v>345463.00265944947</v>
      </c>
      <c r="AP44" s="277">
        <f>((AP36-Summary!$I$25+AD39))</f>
        <v>2927151.220841269</v>
      </c>
      <c r="AQ44" s="277">
        <f>((AQ36-Summary!$I$25+AE39))</f>
        <v>5987204.3390230862</v>
      </c>
      <c r="AR44" s="277">
        <f>((AR36-Summary!$I$25+AF39))</f>
        <v>6324497.5208412679</v>
      </c>
      <c r="AS44" s="277">
        <f>((AS36-Summary!$I$25+AG39))</f>
        <v>6646838.9117503604</v>
      </c>
      <c r="AT44" s="277">
        <f>((AT36-Summary!$I$25+AH39))</f>
        <v>6798888.8299321784</v>
      </c>
      <c r="AU44" s="277">
        <f>((AU36-Summary!$I$25+AI39))</f>
        <v>6950365.8117503608</v>
      </c>
      <c r="AV44" s="277">
        <f>((AV36-Summary!$I$25+AJ39))</f>
        <v>7102692.9572049053</v>
      </c>
      <c r="AW44" s="277">
        <f>((AW36-Summary!$I$25+AK39))</f>
        <v>7002309.6026594499</v>
      </c>
      <c r="AX44" s="273">
        <f>((AX36-Summary!$I$25))+$AL$39-$AL$37</f>
        <v>6964476.1208412666</v>
      </c>
      <c r="AZ44" s="258" t="s">
        <v>61</v>
      </c>
      <c r="BA44" s="259"/>
      <c r="BB44" s="130">
        <f>'Property-Level CF'!BN17</f>
        <v>-6.22808637656459E-2</v>
      </c>
      <c r="BC44" s="130">
        <f>'Property-Level CF'!BO17</f>
        <v>9.6457276768428191E-2</v>
      </c>
      <c r="BD44" s="130">
        <f>'Property-Level CF'!BP17</f>
        <v>0.17718996389288466</v>
      </c>
      <c r="BE44" s="130">
        <f>'Property-Level CF'!BQ17</f>
        <v>0.15676106881723806</v>
      </c>
      <c r="BF44" s="130">
        <f>'Property-Level CF'!BR17</f>
        <v>0.14465337964823655</v>
      </c>
      <c r="BG44" s="130">
        <f>'Property-Level CF'!BS17</f>
        <v>0.13678449784790314</v>
      </c>
      <c r="BH44" s="130">
        <f>'Property-Level CF'!BT17</f>
        <v>0.14639500378060655</v>
      </c>
      <c r="BI44" s="130">
        <f>'Property-Level CF'!BU17</f>
        <v>0.14263384229906517</v>
      </c>
      <c r="BJ44" s="130">
        <f>'Property-Level CF'!BV17</f>
        <v>0.13753930093793931</v>
      </c>
      <c r="BK44" s="131">
        <f>'Property-Level CF'!BW17</f>
        <v>0.13334285762983966</v>
      </c>
      <c r="BM44" s="289">
        <f>BM36</f>
        <v>5.2999999999999999E-2</v>
      </c>
      <c r="BN44" s="277">
        <f>((BN36-Summary!$I$26+BB39))</f>
        <v>2670020.2890767613</v>
      </c>
      <c r="BO44" s="277">
        <f>((BO36-Summary!$I$26+BC39))</f>
        <v>5662144.4777560076</v>
      </c>
      <c r="BP44" s="277">
        <f>((BP36-Summary!$I$26+BD39))</f>
        <v>7246468.0720956298</v>
      </c>
      <c r="BQ44" s="277">
        <f>((BQ36-Summary!$I$26+BE39))</f>
        <v>7380860.6098314794</v>
      </c>
      <c r="BR44" s="277">
        <f>((BR36-Summary!$I$26+BF39))</f>
        <v>7513913.2419069512</v>
      </c>
      <c r="BS44" s="277">
        <f>((BS36-Summary!$I$26+BG39))</f>
        <v>7654124.7985107256</v>
      </c>
      <c r="BT44" s="277">
        <f>((BT36-Summary!$I$26+BH39))</f>
        <v>8752388.0437937435</v>
      </c>
      <c r="BU44" s="277">
        <f>((BU36-Summary!$I$26+BI39))</f>
        <v>9089852.8551144991</v>
      </c>
      <c r="BV44" s="277">
        <f>((BV36-Summary!$I$26+BJ39))</f>
        <v>9227346.3173786495</v>
      </c>
      <c r="BW44" s="273">
        <f>((BW36-Summary!$I$26))+$BK$39-$BK$37</f>
        <v>9346502.213605063</v>
      </c>
      <c r="BY44" s="258" t="s">
        <v>61</v>
      </c>
      <c r="BZ44" s="259"/>
      <c r="CA44" s="130">
        <f>'Property-Level CF'!CM17</f>
        <v>-4.703113604754261E-2</v>
      </c>
      <c r="CB44" s="130">
        <f>'Property-Level CF'!CN17</f>
        <v>2.0540037493510743E-2</v>
      </c>
      <c r="CC44" s="130">
        <f>'Property-Level CF'!CO17</f>
        <v>5.2697090112387102E-2</v>
      </c>
      <c r="CD44" s="130">
        <f>'Property-Level CF'!CP17</f>
        <v>6.8643753583593092E-2</v>
      </c>
      <c r="CE44" s="130">
        <f>'Property-Level CF'!CQ17</f>
        <v>7.7831229580804573E-2</v>
      </c>
      <c r="CF44" s="130">
        <f>'Property-Level CF'!CR17</f>
        <v>8.3677511448094988E-2</v>
      </c>
      <c r="CG44" s="130">
        <f>'Property-Level CF'!CS17</f>
        <v>8.7572638577033457E-2</v>
      </c>
      <c r="CH44" s="130">
        <f>'Property-Level CF'!CT17</f>
        <v>9.028927299851075E-2</v>
      </c>
      <c r="CI44" s="130">
        <f>'Property-Level CF'!CU17</f>
        <v>9.2340928323717097E-2</v>
      </c>
      <c r="CJ44" s="131">
        <f>'Property-Level CF'!CV17</f>
        <v>9.4007474761676368E-2</v>
      </c>
      <c r="CL44" s="289">
        <f>CL36</f>
        <v>5.2999999999999999E-2</v>
      </c>
      <c r="CM44" s="277">
        <f>((CM36-Summary!$I$27+CA39))</f>
        <v>7710057.2988451459</v>
      </c>
      <c r="CN44" s="277">
        <f>((CN36-Summary!$I$27+CB39))</f>
        <v>8161643.7894111834</v>
      </c>
      <c r="CO44" s="277">
        <f>((CO36-Summary!$I$27+CC39))</f>
        <v>8619527.8365809955</v>
      </c>
      <c r="CP44" s="277">
        <f>((CP36-Summary!$I$27+CD39))</f>
        <v>9089777.2988451459</v>
      </c>
      <c r="CQ44" s="277">
        <f>((CQ36-Summary!$I$27+CE39))</f>
        <v>9566075.4780904278</v>
      </c>
      <c r="CR44" s="277">
        <f>((CR36-Summary!$I$27+CF39))</f>
        <v>10051963.553562131</v>
      </c>
      <c r="CS44" s="277">
        <f>((CS36-Summary!$I$27+CG39))</f>
        <v>10543268.676203635</v>
      </c>
      <c r="CT44" s="277">
        <f>((CT36-Summary!$I$27+CH39))</f>
        <v>11042460.100731939</v>
      </c>
      <c r="CU44" s="277">
        <f>((CU36-Summary!$I$27+CI39))</f>
        <v>11563549.412052695</v>
      </c>
      <c r="CV44" s="273">
        <f>((CV36-Summary!$I$27))+$CJ$39-$CJ$37</f>
        <v>12119686.827147033</v>
      </c>
      <c r="CX44" s="125" t="s">
        <v>61</v>
      </c>
      <c r="CY44" s="259"/>
      <c r="CZ44" s="130">
        <f>'Property-Level CF'!DL17</f>
        <v>-4.5274491818171114E-2</v>
      </c>
      <c r="DA44" s="130">
        <f>'Property-Level CF'!DM17</f>
        <v>2.6088640446477296E-2</v>
      </c>
      <c r="DB44" s="130">
        <f>'Property-Level CF'!DN17</f>
        <v>5.9491167822170565E-2</v>
      </c>
      <c r="DC44" s="130">
        <f>'Property-Level CF'!DO17</f>
        <v>7.5822836474991329E-2</v>
      </c>
      <c r="DD44" s="130">
        <f>'Property-Level CF'!DP17</f>
        <v>8.5187852640569606E-2</v>
      </c>
      <c r="DE44" s="130">
        <f>'Property-Level CF'!DQ17</f>
        <v>9.1062564196414675E-2</v>
      </c>
      <c r="DF44" s="130">
        <f>'Property-Level CF'!DR17</f>
        <v>9.4960294216622554E-2</v>
      </c>
      <c r="DG44" s="130">
        <f>'Property-Level CF'!DS17</f>
        <v>9.7644186151331747E-2</v>
      </c>
      <c r="DH44" s="130">
        <f>'Property-Level CF'!DT17</f>
        <v>9.9537171408764946E-2</v>
      </c>
      <c r="DI44" s="131">
        <f>'Property-Level CF'!DU17</f>
        <v>0.10089337019127864</v>
      </c>
      <c r="DK44" s="289">
        <f>DK36</f>
        <v>5.3999999999999999E-2</v>
      </c>
      <c r="DL44" s="277">
        <f>((DL36-Summary!$I$28+CZ39))</f>
        <v>3272292.9372113259</v>
      </c>
      <c r="DM44" s="277">
        <f>((DM36-Summary!$I$28+DA39))</f>
        <v>3491998.2427668818</v>
      </c>
      <c r="DN44" s="277">
        <f>((DN36-Summary!$I$28+DB39))</f>
        <v>3716085.24276688</v>
      </c>
      <c r="DO44" s="277">
        <f>((DO36-Summary!$I$28+DC39))</f>
        <v>3944647.9649891038</v>
      </c>
      <c r="DP44" s="277">
        <f>((DP36-Summary!$I$28+DD39))</f>
        <v>4177799.2427668818</v>
      </c>
      <c r="DQ44" s="277">
        <f>((DQ36-Summary!$I$28+DE39))</f>
        <v>4415614.2983224383</v>
      </c>
      <c r="DR44" s="277">
        <f>((DR36-Summary!$I$28+DF39))</f>
        <v>4658168.3538779924</v>
      </c>
      <c r="DS44" s="277">
        <f>((DS36-Summary!$I$28+DG39))</f>
        <v>4905593.0483224383</v>
      </c>
      <c r="DT44" s="277">
        <f>((DT36-Summary!$I$28+DH39))</f>
        <v>5157944.7983224383</v>
      </c>
      <c r="DU44" s="273">
        <f>((DU36-Summary!$I$28))+$DI$39-$DI$37</f>
        <v>5415355.2427668823</v>
      </c>
      <c r="DW44" s="125" t="s">
        <v>61</v>
      </c>
      <c r="DX44" s="259"/>
      <c r="DY44" s="130">
        <f>'Property-Level CF'!EK17</f>
        <v>-5.2787347061615808E-2</v>
      </c>
      <c r="DZ44" s="130">
        <f>'Property-Level CF'!EL17</f>
        <v>1.8454177186890908E-2</v>
      </c>
      <c r="EA44" s="130">
        <f>'Property-Level CF'!EM17</f>
        <v>5.1718579870219106E-2</v>
      </c>
      <c r="EB44" s="130">
        <f>'Property-Level CF'!EN17</f>
        <v>6.814375266604733E-2</v>
      </c>
      <c r="EC44" s="130">
        <f>'Property-Level CF'!EO17</f>
        <v>7.760794290231332E-2</v>
      </c>
      <c r="ED44" s="130">
        <f>'Property-Level CF'!EP17</f>
        <v>8.3591479988130546E-2</v>
      </c>
      <c r="EE44" s="130">
        <f>'Property-Level CF'!EQ17</f>
        <v>8.7544775405570485E-2</v>
      </c>
      <c r="EF44" s="130">
        <f>'Property-Level CF'!ER17</f>
        <v>9.034718714598422E-2</v>
      </c>
      <c r="EG44" s="130">
        <f>'Property-Level CF'!ES17</f>
        <v>9.2291610657639245E-2</v>
      </c>
      <c r="EH44" s="131">
        <f>'Property-Level CF'!ET17</f>
        <v>9.3715507031594036E-2</v>
      </c>
      <c r="EJ44" s="289">
        <f>EJ36</f>
        <v>5.0999999999999997E-2</v>
      </c>
      <c r="EK44" s="277">
        <f>((EK36-Summary!$I$29+DY39))</f>
        <v>7660650.6696948241</v>
      </c>
      <c r="EL44" s="277">
        <f>((EL36-Summary!$I$29+DZ39))</f>
        <v>8183438.1696948204</v>
      </c>
      <c r="EM44" s="277">
        <f>((EM36-Summary!$I$29+EA39))</f>
        <v>8711169.0520477649</v>
      </c>
      <c r="EN44" s="277">
        <f>((EN36-Summary!$I$29+EB39))</f>
        <v>9253273.4638124723</v>
      </c>
      <c r="EO44" s="277">
        <f>((EO36-Summary!$I$29+EC39))</f>
        <v>9806277.1402830575</v>
      </c>
      <c r="EP44" s="277">
        <f>((EP36-Summary!$I$29+ED39))</f>
        <v>10371232.28734188</v>
      </c>
      <c r="EQ44" s="277">
        <f>((EQ36-Summary!$I$29+EE39))</f>
        <v>10943552.875577176</v>
      </c>
      <c r="ER44" s="277">
        <f>((ER36-Summary!$I$29+EF39))</f>
        <v>11533800.66969482</v>
      </c>
      <c r="ES44" s="277">
        <f>((ES36-Summary!$I$29+EG39))</f>
        <v>12128952.140283057</v>
      </c>
      <c r="ET44" s="273">
        <f>((ET36-Summary!$I$29))+$EH$39-$EH$37</f>
        <v>12738496.993224233</v>
      </c>
    </row>
    <row r="45" spans="2:150" ht="13.5" thickBot="1" x14ac:dyDescent="0.35">
      <c r="B45" s="126" t="s">
        <v>167</v>
      </c>
      <c r="C45" s="264"/>
      <c r="D45" s="151">
        <f>((SUM($D$36:D36)+(D33))/-'Property-Level CF'!P18)</f>
        <v>0.97565664960943932</v>
      </c>
      <c r="E45" s="151">
        <f>((SUM($D$36:E36)+(E33))/-'Property-Level CF'!Q18)</f>
        <v>1.0849354908920228</v>
      </c>
      <c r="F45" s="151">
        <f>((SUM($D$36:F36)+(F33))/-'Property-Level CF'!R18)</f>
        <v>1.195937465262866</v>
      </c>
      <c r="G45" s="151">
        <f>((SUM($D$36:G36)+(G33))/-'Property-Level CF'!S18)</f>
        <v>1.2083663959248805</v>
      </c>
      <c r="H45" s="151">
        <f>((SUM($D$36:H36)+(H33))/-'Property-Level CF'!T18)</f>
        <v>1.4522655012419501</v>
      </c>
      <c r="I45" s="151">
        <f>((SUM($D$36:I36)+(I33))/-'Property-Level CF'!U18)</f>
        <v>1.370459560750136</v>
      </c>
      <c r="J45" s="151">
        <f>((SUM($D$36:J36)+(J33))/-'Property-Level CF'!V18)</f>
        <v>1.4214695053030035</v>
      </c>
      <c r="K45" s="151">
        <f>((SUM($D$36:K36)+(K33))/-'Property-Level CF'!W18)</f>
        <v>1.6665193564533787</v>
      </c>
      <c r="L45" s="151">
        <f>((SUM($D$36:L36)+(L33))/-'Property-Level CF'!X18)</f>
        <v>1.664673945401294</v>
      </c>
      <c r="M45" s="152">
        <f>((SUM($D$36:M36)+(M33))/-'Property-Level CF'!Y18)</f>
        <v>1.8775316833732389</v>
      </c>
      <c r="O45" s="290">
        <f>O37</f>
        <v>6.0999999999999999E-2</v>
      </c>
      <c r="P45" s="278">
        <f>((P37-Summary!$I$24+D39))</f>
        <v>3910745.8608771423</v>
      </c>
      <c r="Q45" s="278">
        <f>((Q37-Summary!$I$24+E39))</f>
        <v>4131182.1969427159</v>
      </c>
      <c r="R45" s="278">
        <f>((R37-Summary!$I$24+F39))</f>
        <v>4273662.6559591098</v>
      </c>
      <c r="S45" s="278">
        <f>((S37-Summary!$I$24+G39))</f>
        <v>3960955.3444837006</v>
      </c>
      <c r="T45" s="278">
        <f>((T37-Summary!$I$24+H39))</f>
        <v>4960297.7051394368</v>
      </c>
      <c r="U45" s="278">
        <f>((U37-Summary!$I$24+I39))</f>
        <v>4143906.8854673048</v>
      </c>
      <c r="V45" s="278">
        <f>((V37-Summary!$I$24+J39))</f>
        <v>3955510.4018607484</v>
      </c>
      <c r="W45" s="278">
        <f>((W37-Summary!$I$24+K39))</f>
        <v>5093122.1313689454</v>
      </c>
      <c r="X45" s="278">
        <f>((X37-Summary!$I$24+L39))</f>
        <v>4614905.5985820601</v>
      </c>
      <c r="Y45" s="279">
        <f>((Y37-Summary!$I$24))+$M$39-$M$37</f>
        <v>5490293.8772705831</v>
      </c>
      <c r="AA45" s="126" t="s">
        <v>167</v>
      </c>
      <c r="AB45" s="264"/>
      <c r="AC45" s="151">
        <f>((SUM($AC$36:AC36)+(AC33))/-'Property-Level CF'!AO18)</f>
        <v>0.92005731652025502</v>
      </c>
      <c r="AD45" s="151">
        <f>((SUM($AC$36:AD36)+(AD33))/-'Property-Level CF'!AP18)</f>
        <v>0.89196036807235979</v>
      </c>
      <c r="AE45" s="151">
        <f>((SUM($AC$36:AE36)+(AE33))/-'Property-Level CF'!AQ18)</f>
        <v>1.7844814049431321</v>
      </c>
      <c r="AF45" s="151">
        <f>((SUM($AC$36:AF36)+(AF33))/-'Property-Level CF'!AR18)</f>
        <v>1.9851543502157432</v>
      </c>
      <c r="AG45" s="151">
        <f>((SUM($AC$36:AG36)+(AG33))/-'Property-Level CF'!AS18)</f>
        <v>2.1865478518824717</v>
      </c>
      <c r="AH45" s="151">
        <f>((SUM($AC$36:AH36)+(AH33))/-'Property-Level CF'!AT18)</f>
        <v>2.3465174322580062</v>
      </c>
      <c r="AI45" s="151">
        <f>((SUM($AC$36:AI36)+(AI33))/-'Property-Level CF'!AU18)</f>
        <v>2.5084766712575921</v>
      </c>
      <c r="AJ45" s="151">
        <f>((SUM($AC$36:AJ36)+(AJ33))/-'Property-Level CF'!AV18)</f>
        <v>2.6728016517193884</v>
      </c>
      <c r="AK45" s="151">
        <f>((SUM($AC$36:AK36)+(AK33))/-'Property-Level CF'!AW18)</f>
        <v>2.7720360237199917</v>
      </c>
      <c r="AL45" s="152">
        <f>((SUM($AC$36:AL36)+(AL33))/-'Property-Level CF'!AX18)</f>
        <v>2.8608086208146286</v>
      </c>
      <c r="AN45" s="290">
        <f>AN37</f>
        <v>5.6000000000000001E-2</v>
      </c>
      <c r="AO45" s="278">
        <f>((AO37-Summary!$I$25+AC39))</f>
        <v>213946.34795165723</v>
      </c>
      <c r="AP45" s="278">
        <f>((AP37-Summary!$I$25+AD39))</f>
        <v>2752027.419380228</v>
      </c>
      <c r="AQ45" s="278">
        <f>((AQ37-Summary!$I$25+AE39))</f>
        <v>5760393.356880228</v>
      </c>
      <c r="AR45" s="278">
        <f>((AR37-Summary!$I$25+AF39))</f>
        <v>6091989.3390230862</v>
      </c>
      <c r="AS45" s="278">
        <f>((AS37-Summary!$I$25+AG39))</f>
        <v>6408886.0800945153</v>
      </c>
      <c r="AT45" s="278">
        <f>((AT37-Summary!$I$25+AH39))</f>
        <v>6558367.731880228</v>
      </c>
      <c r="AU45" s="278">
        <f>((AU37-Summary!$I$25+AI39))</f>
        <v>6707286.1247373717</v>
      </c>
      <c r="AV45" s="278">
        <f>((AV37-Summary!$I$25+AJ39))</f>
        <v>6857040.3211659426</v>
      </c>
      <c r="AW45" s="278">
        <f>((AW37-Summary!$I$25+AK39))</f>
        <v>6756573.6158088008</v>
      </c>
      <c r="AX45" s="279">
        <f>((AX37-Summary!$I$25))+$AL$39-$AL$37</f>
        <v>6717538.5711659435</v>
      </c>
      <c r="AZ45" s="126" t="s">
        <v>167</v>
      </c>
      <c r="BA45" s="264"/>
      <c r="BB45" s="151">
        <f>((SUM($BB$36:BB36)+(BB33))/-'Property-Level CF'!BN18)</f>
        <v>0.94021913623435394</v>
      </c>
      <c r="BC45" s="151">
        <f>((SUM($BB$36:BC36)+(BC33))/-'Property-Level CF'!BO18)</f>
        <v>1.2026157018475296</v>
      </c>
      <c r="BD45" s="151">
        <f>((SUM($BB$36:BD36)+(BD33))/-'Property-Level CF'!BP18)</f>
        <v>1.606332616064174</v>
      </c>
      <c r="BE45" s="151">
        <f>((SUM($BB$36:BE36)+(BE33))/-'Property-Level CF'!BQ18)</f>
        <v>1.7323994350383931</v>
      </c>
      <c r="BF45" s="151">
        <f>((SUM($BB$36:BF36)+(BF33))/-'Property-Level CF'!BR18)</f>
        <v>1.85961999901077</v>
      </c>
      <c r="BG45" s="151">
        <f>((SUM($BB$36:BG36)+(BG33))/-'Property-Level CF'!BS18)</f>
        <v>1.9897060768922137</v>
      </c>
      <c r="BH45" s="151">
        <f>((SUM($BB$36:BH36)+(BH33))/-'Property-Level CF'!BT18)</f>
        <v>2.3158456718105853</v>
      </c>
      <c r="BI45" s="151">
        <f>((SUM($BB$36:BI36)+(BI33))/-'Property-Level CF'!BU18)</f>
        <v>2.499130727399181</v>
      </c>
      <c r="BJ45" s="151">
        <f>((SUM($BB$36:BJ36)+(BJ33))/-'Property-Level CF'!BV18)</f>
        <v>2.6453849915847711</v>
      </c>
      <c r="BK45" s="152">
        <f>((SUM($BB$36:BK36)+(BK33))/-'Property-Level CF'!BW18)</f>
        <v>2.7893739308165229</v>
      </c>
      <c r="BM45" s="290">
        <f>BM37</f>
        <v>5.6000000000000001E-2</v>
      </c>
      <c r="BN45" s="278">
        <f>((BN37-Summary!$I$26+BB39))</f>
        <v>2049678.8249595116</v>
      </c>
      <c r="BO45" s="278">
        <f>((BO37-Summary!$I$26+BC39))</f>
        <v>4889884.7178166537</v>
      </c>
      <c r="BP45" s="278">
        <f>((BP37-Summary!$I$26+BD39))</f>
        <v>6393767.8874595119</v>
      </c>
      <c r="BQ45" s="278">
        <f>((BQ37-Summary!$I$26+BE39))</f>
        <v>6521336.9499595119</v>
      </c>
      <c r="BR45" s="278">
        <f>((BR37-Summary!$I$26+BF39))</f>
        <v>6647634.1374595119</v>
      </c>
      <c r="BS45" s="278">
        <f>((BS37-Summary!$I$26+BG39))</f>
        <v>6780726.7713880828</v>
      </c>
      <c r="BT45" s="278">
        <f>((BT37-Summary!$I$26+BH39))</f>
        <v>7823228.1999595119</v>
      </c>
      <c r="BU45" s="278">
        <f>((BU37-Summary!$I$26+BI39))</f>
        <v>8143559.003530941</v>
      </c>
      <c r="BV45" s="278">
        <f>((BV37-Summary!$I$26+BJ39))</f>
        <v>8274071.5481737955</v>
      </c>
      <c r="BW45" s="279">
        <f>((BW37-Summary!$I$26))+$BK$39-$BK$37</f>
        <v>8387177.5749595109</v>
      </c>
      <c r="BY45" s="126" t="s">
        <v>167</v>
      </c>
      <c r="BZ45" s="264"/>
      <c r="CA45" s="151">
        <f>((SUM($CA$36:CA36)+(CA33))/-'Property-Level CF'!CM18)</f>
        <v>0.955468863952457</v>
      </c>
      <c r="CB45" s="151">
        <f>((SUM($CA$36:CB36)+(CB33))/-'Property-Level CF'!CN18)</f>
        <v>1.0452085853007491</v>
      </c>
      <c r="CC45" s="151">
        <f>((SUM($CA$36:CC36)+(CC33))/-'Property-Level CF'!CO18)</f>
        <v>1.1638065502774959</v>
      </c>
      <c r="CD45" s="151">
        <f>((SUM($CA$36:CD36)+(CD33))/-'Property-Level CF'!CP18)</f>
        <v>1.2863174151840249</v>
      </c>
      <c r="CE45" s="151">
        <f>((SUM($CA$36:CE36)+(CE33))/-'Property-Level CF'!CQ18)</f>
        <v>1.4121116355452965</v>
      </c>
      <c r="CF45" s="151">
        <f>((SUM($CA$36:CF36)+(CF33))/-'Property-Level CF'!CR18)</f>
        <v>1.5416143139104357</v>
      </c>
      <c r="CG45" s="151">
        <f>((SUM($CA$36:CG36)+(CG33))/-'Property-Level CF'!CS18)</f>
        <v>1.6744174716977038</v>
      </c>
      <c r="CH45" s="151">
        <f>((SUM($CA$36:CH36)+(CH33))/-'Property-Level CF'!CT18)</f>
        <v>1.810824200076866</v>
      </c>
      <c r="CI45" s="151">
        <f>((SUM($CA$36:CI36)+(CI33))/-'Property-Level CF'!CU18)</f>
        <v>1.9524273018850085</v>
      </c>
      <c r="CJ45" s="152">
        <f>((SUM($CA$36:CJ36)+(CJ33))/-'Property-Level CF'!CV18)</f>
        <v>2.1008022646431579</v>
      </c>
      <c r="CL45" s="290">
        <f>CL37</f>
        <v>5.3999999999999999E-2</v>
      </c>
      <c r="CM45" s="278">
        <f>((CM37-Summary!$I$27+CA39))</f>
        <v>7255099.1499981843</v>
      </c>
      <c r="CN45" s="278">
        <f>((CN37-Summary!$I$27+CB39))</f>
        <v>7698759.8166648522</v>
      </c>
      <c r="CO45" s="278">
        <f>((CO37-Summary!$I$27+CC39))</f>
        <v>8148607.5111092962</v>
      </c>
      <c r="CP45" s="278">
        <f>((CP37-Summary!$I$27+CD39))</f>
        <v>8610603.594442632</v>
      </c>
      <c r="CQ45" s="278">
        <f>((CQ37-Summary!$I$27+CE39))</f>
        <v>9078542.2333315201</v>
      </c>
      <c r="CR45" s="278">
        <f>((CR37-Summary!$I$27+CF39))</f>
        <v>9555902.4555537403</v>
      </c>
      <c r="CS45" s="278">
        <f>((CS37-Summary!$I$27+CG39))</f>
        <v>10038584.649998184</v>
      </c>
      <c r="CT45" s="278">
        <f>((CT37-Summary!$I$27+CH39))</f>
        <v>10529014.73333152</v>
      </c>
      <c r="CU45" s="278">
        <f>((CU37-Summary!$I$27+CI39))</f>
        <v>11040958.372220408</v>
      </c>
      <c r="CV45" s="279">
        <f>((CV37-Summary!$I$27))+$CJ$39-$CJ$37</f>
        <v>11587334.98333152</v>
      </c>
      <c r="CX45" s="126" t="s">
        <v>167</v>
      </c>
      <c r="CY45" s="264"/>
      <c r="CZ45" s="151">
        <f>((SUM($CZ$36:CZ36)+(CZ33))/-'Property-Level CF'!DL18)</f>
        <v>0.95722550818182883</v>
      </c>
      <c r="DA45" s="151">
        <f>((SUM($CZ$36:DA36)+(DA33))/-'Property-Level CF'!DM18)</f>
        <v>1.0561692975426289</v>
      </c>
      <c r="DB45" s="151">
        <f>((SUM($CZ$36:DB36)+(DB33))/-'Property-Level CF'!DN18)</f>
        <v>1.1848460234253986</v>
      </c>
      <c r="DC45" s="151">
        <f>((SUM($CZ$36:DC36)+(DC33))/-'Property-Level CF'!DO18)</f>
        <v>1.3176876758778868</v>
      </c>
      <c r="DD45" s="151">
        <f>((SUM($CZ$36:DD36)+(DD33))/-'Property-Level CF'!DP18)</f>
        <v>1.4547835619951404</v>
      </c>
      <c r="DE45" s="151">
        <f>((SUM($CZ$36:DE36)+(DE33))/-'Property-Level CF'!DQ18)</f>
        <v>1.596214676536011</v>
      </c>
      <c r="DF45" s="151">
        <f>((SUM($CZ$36:DF36)+(DF33))/-'Property-Level CF'!DR18)</f>
        <v>1.7420630200419478</v>
      </c>
      <c r="DG45" s="151">
        <f>((SUM($CZ$36:DG36)+(DG33))/-'Property-Level CF'!DS18)</f>
        <v>1.8924263303521518</v>
      </c>
      <c r="DH45" s="151">
        <f>((SUM($CZ$36:DH36)+(DH33))/-'Property-Level CF'!DT18)</f>
        <v>2.0473844634051765</v>
      </c>
      <c r="DI45" s="152">
        <f>((SUM($CZ$36:DI36)+(DI33))/-'Property-Level CF'!DU18)</f>
        <v>2.2070376714967241</v>
      </c>
      <c r="DK45" s="290">
        <f>DK37</f>
        <v>5.5E-2</v>
      </c>
      <c r="DL45" s="278">
        <f>((DL37-Summary!$I$28+CZ39))</f>
        <v>3083188.5488274884</v>
      </c>
      <c r="DM45" s="278">
        <f>((DM37-Summary!$I$28+DA39))</f>
        <v>3299111.6306456686</v>
      </c>
      <c r="DN45" s="278">
        <f>((DN37-Summary!$I$28+DB39))</f>
        <v>3519340.9761002143</v>
      </c>
      <c r="DO45" s="278">
        <f>((DO37-Summary!$I$28+DC39))</f>
        <v>3743968.9942820319</v>
      </c>
      <c r="DP45" s="278">
        <f>((DP37-Summary!$I$28+DD39))</f>
        <v>3973106.5761002139</v>
      </c>
      <c r="DQ45" s="278">
        <f>((DQ37-Summary!$I$28+DE39))</f>
        <v>4206827.6488274885</v>
      </c>
      <c r="DR45" s="278">
        <f>((DR37-Summary!$I$28+DF39))</f>
        <v>4445206.1397365788</v>
      </c>
      <c r="DS45" s="278">
        <f>((DS37-Summary!$I$28+DG39))</f>
        <v>4688371.4215547601</v>
      </c>
      <c r="DT45" s="278">
        <f>((DT37-Summary!$I$28+DH39))</f>
        <v>4936378.9397365777</v>
      </c>
      <c r="DU45" s="279">
        <f>((DU37-Summary!$I$28))+$DI$39-$DI$37</f>
        <v>5189358.0670093065</v>
      </c>
      <c r="DW45" s="126" t="s">
        <v>167</v>
      </c>
      <c r="DX45" s="264"/>
      <c r="DY45" s="151">
        <f>((SUM($DY$36:DY36)+(DY33))/-'Property-Level CF'!EK18)</f>
        <v>0.94971265293838414</v>
      </c>
      <c r="DZ45" s="151">
        <f>((SUM($DY$36:DZ36)+(DZ33))/-'Property-Level CF'!EL18)</f>
        <v>1.0411930985947702</v>
      </c>
      <c r="EA45" s="151">
        <f>((SUM($DY$36:EA36)+(EA33))/-'Property-Level CF'!EM18)</f>
        <v>1.1616449674199532</v>
      </c>
      <c r="EB45" s="151">
        <f>((SUM($DY$36:EB36)+(EB33))/-'Property-Level CF'!EN18)</f>
        <v>1.286479106562995</v>
      </c>
      <c r="EC45" s="151">
        <f>((SUM($DY$36:EC36)+(EC33))/-'Property-Level CF'!EO18)</f>
        <v>1.4153902896054555</v>
      </c>
      <c r="ED45" s="151">
        <f>((SUM($DY$36:ED36)+(ED33))/-'Property-Level CF'!EP18)</f>
        <v>1.5485519855253203</v>
      </c>
      <c r="EE45" s="151">
        <f>((SUM($DY$36:EE36)+(EE33))/-'Property-Level CF'!EQ18)</f>
        <v>1.6855239929630172</v>
      </c>
      <c r="EF45" s="151">
        <f>((SUM($DY$36:EF36)+(EF33))/-'Property-Level CF'!ER18)</f>
        <v>1.827505463816494</v>
      </c>
      <c r="EG45" s="151">
        <f>((SUM($DY$36:EG36)+(EG33))/-'Property-Level CF'!ES18)</f>
        <v>1.9731612332294368</v>
      </c>
      <c r="EH45" s="152">
        <f>((SUM($DY$36:EH36)+(EH33))/-'Property-Level CF'!ET18)</f>
        <v>2.1235596282069751</v>
      </c>
      <c r="EJ45" s="290">
        <f>EJ37</f>
        <v>5.1999999999999998E-2</v>
      </c>
      <c r="EK45" s="278">
        <f>((EK37-Summary!$I$29+DY39))</f>
        <v>7185140.6996721979</v>
      </c>
      <c r="EL45" s="278">
        <f>((EL37-Summary!$I$29+DZ39))</f>
        <v>7698380.9977491219</v>
      </c>
      <c r="EM45" s="278">
        <f>((EM37-Summary!$I$29+EA39))</f>
        <v>8216474.401595274</v>
      </c>
      <c r="EN45" s="278">
        <f>((EN37-Summary!$I$29+EB39))</f>
        <v>8748678.843902966</v>
      </c>
      <c r="EO45" s="278">
        <f>((EO37-Summary!$I$29+EC39))</f>
        <v>9291583.5073645059</v>
      </c>
      <c r="EP45" s="278">
        <f>((EP37-Summary!$I$29+ED39))</f>
        <v>9846221.3823645059</v>
      </c>
      <c r="EQ45" s="278">
        <f>((EQ37-Summary!$I$29+EE39))</f>
        <v>10408090.190056814</v>
      </c>
      <c r="ER45" s="278">
        <f>((ER37-Summary!$I$29+EF39))</f>
        <v>10987558.815056814</v>
      </c>
      <c r="ES45" s="278">
        <f>((ES37-Summary!$I$29+EG39))</f>
        <v>11571841.565056814</v>
      </c>
      <c r="ET45" s="279">
        <f>((ET37-Summary!$I$29))+$EH$39-$EH$37</f>
        <v>12170254.843902968</v>
      </c>
    </row>
    <row r="46" spans="2:150" ht="13.5" thickBot="1" x14ac:dyDescent="0.35"/>
    <row r="47" spans="2:150" ht="13.5" thickBot="1" x14ac:dyDescent="0.35">
      <c r="B47" s="2" t="s">
        <v>108</v>
      </c>
      <c r="C47" s="280"/>
      <c r="D47" s="280"/>
      <c r="E47" s="280"/>
      <c r="F47" s="280"/>
      <c r="G47" s="280"/>
      <c r="H47" s="280"/>
      <c r="I47" s="280"/>
      <c r="J47" s="280"/>
      <c r="K47" s="280"/>
      <c r="L47" s="280"/>
      <c r="M47" s="242"/>
      <c r="O47" s="512" t="s">
        <v>168</v>
      </c>
      <c r="P47" s="513"/>
      <c r="Q47" s="513"/>
      <c r="R47" s="513"/>
      <c r="S47" s="513"/>
      <c r="T47" s="513"/>
      <c r="U47" s="513"/>
      <c r="V47" s="513"/>
      <c r="W47" s="513"/>
      <c r="X47" s="513"/>
      <c r="Y47" s="514"/>
      <c r="AA47" s="2" t="s">
        <v>108</v>
      </c>
      <c r="AB47" s="280"/>
      <c r="AC47" s="280"/>
      <c r="AD47" s="280"/>
      <c r="AE47" s="280"/>
      <c r="AF47" s="280"/>
      <c r="AG47" s="280"/>
      <c r="AH47" s="280"/>
      <c r="AI47" s="280"/>
      <c r="AJ47" s="280"/>
      <c r="AK47" s="280"/>
      <c r="AL47" s="242"/>
      <c r="AN47" s="512" t="s">
        <v>168</v>
      </c>
      <c r="AO47" s="513"/>
      <c r="AP47" s="513"/>
      <c r="AQ47" s="513"/>
      <c r="AR47" s="513"/>
      <c r="AS47" s="513"/>
      <c r="AT47" s="513"/>
      <c r="AU47" s="513"/>
      <c r="AV47" s="513"/>
      <c r="AW47" s="513"/>
      <c r="AX47" s="514"/>
      <c r="AZ47" s="2" t="s">
        <v>108</v>
      </c>
      <c r="BA47" s="280"/>
      <c r="BB47" s="280"/>
      <c r="BC47" s="280"/>
      <c r="BD47" s="280"/>
      <c r="BE47" s="280"/>
      <c r="BF47" s="280"/>
      <c r="BG47" s="280"/>
      <c r="BH47" s="280"/>
      <c r="BI47" s="280"/>
      <c r="BJ47" s="280"/>
      <c r="BK47" s="242"/>
      <c r="BM47" s="512" t="s">
        <v>168</v>
      </c>
      <c r="BN47" s="513"/>
      <c r="BO47" s="513"/>
      <c r="BP47" s="513"/>
      <c r="BQ47" s="513"/>
      <c r="BR47" s="513"/>
      <c r="BS47" s="513"/>
      <c r="BT47" s="513"/>
      <c r="BU47" s="513"/>
      <c r="BV47" s="513"/>
      <c r="BW47" s="514"/>
      <c r="BY47" s="2" t="s">
        <v>108</v>
      </c>
      <c r="BZ47" s="280"/>
      <c r="CA47" s="280"/>
      <c r="CB47" s="280"/>
      <c r="CC47" s="280"/>
      <c r="CD47" s="280"/>
      <c r="CE47" s="280"/>
      <c r="CF47" s="280"/>
      <c r="CG47" s="280"/>
      <c r="CH47" s="280"/>
      <c r="CI47" s="280"/>
      <c r="CJ47" s="242"/>
      <c r="CL47" s="512" t="s">
        <v>168</v>
      </c>
      <c r="CM47" s="513"/>
      <c r="CN47" s="513"/>
      <c r="CO47" s="513"/>
      <c r="CP47" s="513"/>
      <c r="CQ47" s="513"/>
      <c r="CR47" s="513"/>
      <c r="CS47" s="513"/>
      <c r="CT47" s="513"/>
      <c r="CU47" s="513"/>
      <c r="CV47" s="514"/>
      <c r="CX47" s="2" t="s">
        <v>108</v>
      </c>
      <c r="CY47" s="280"/>
      <c r="CZ47" s="280"/>
      <c r="DA47" s="280"/>
      <c r="DB47" s="280"/>
      <c r="DC47" s="280"/>
      <c r="DD47" s="280"/>
      <c r="DE47" s="280"/>
      <c r="DF47" s="280"/>
      <c r="DG47" s="280"/>
      <c r="DH47" s="280"/>
      <c r="DI47" s="242"/>
      <c r="DK47" s="512" t="s">
        <v>168</v>
      </c>
      <c r="DL47" s="513"/>
      <c r="DM47" s="513"/>
      <c r="DN47" s="513"/>
      <c r="DO47" s="513"/>
      <c r="DP47" s="513"/>
      <c r="DQ47" s="513"/>
      <c r="DR47" s="513"/>
      <c r="DS47" s="513"/>
      <c r="DT47" s="513"/>
      <c r="DU47" s="514"/>
      <c r="DW47" s="2" t="s">
        <v>108</v>
      </c>
      <c r="DX47" s="280"/>
      <c r="DY47" s="280"/>
      <c r="DZ47" s="280"/>
      <c r="EA47" s="280"/>
      <c r="EB47" s="280"/>
      <c r="EC47" s="280"/>
      <c r="ED47" s="280"/>
      <c r="EE47" s="280"/>
      <c r="EF47" s="280"/>
      <c r="EG47" s="280"/>
      <c r="EH47" s="242"/>
      <c r="EJ47" s="512" t="s">
        <v>168</v>
      </c>
      <c r="EK47" s="513"/>
      <c r="EL47" s="513"/>
      <c r="EM47" s="513"/>
      <c r="EN47" s="513"/>
      <c r="EO47" s="513"/>
      <c r="EP47" s="513"/>
      <c r="EQ47" s="513"/>
      <c r="ER47" s="513"/>
      <c r="ES47" s="513"/>
      <c r="ET47" s="514"/>
    </row>
    <row r="48" spans="2:150" ht="13.5" thickBot="1" x14ac:dyDescent="0.35">
      <c r="B48" s="180" t="s">
        <v>169</v>
      </c>
      <c r="C48" s="181"/>
      <c r="D48" s="181"/>
      <c r="E48" s="181"/>
      <c r="F48" s="181"/>
      <c r="G48" s="181"/>
      <c r="H48" s="181"/>
      <c r="I48" s="181"/>
      <c r="J48" s="181"/>
      <c r="K48" s="181"/>
      <c r="L48" s="181"/>
      <c r="M48" s="182"/>
      <c r="O48" s="3" t="s">
        <v>11</v>
      </c>
      <c r="P48" s="287" t="str">
        <f>P40</f>
        <v>Year 1</v>
      </c>
      <c r="Q48" s="287" t="str">
        <f t="shared" ref="Q48:Y48" si="158">Q40</f>
        <v>Year 2</v>
      </c>
      <c r="R48" s="287" t="str">
        <f t="shared" si="158"/>
        <v>Year 3</v>
      </c>
      <c r="S48" s="287" t="str">
        <f t="shared" si="158"/>
        <v>Year 4</v>
      </c>
      <c r="T48" s="287" t="str">
        <f t="shared" si="158"/>
        <v>Year 5</v>
      </c>
      <c r="U48" s="287" t="str">
        <f t="shared" si="158"/>
        <v>Year 6</v>
      </c>
      <c r="V48" s="287" t="str">
        <f t="shared" si="158"/>
        <v>Year 7</v>
      </c>
      <c r="W48" s="287" t="str">
        <f t="shared" si="158"/>
        <v>Year 8</v>
      </c>
      <c r="X48" s="287" t="str">
        <f t="shared" si="158"/>
        <v>Year 9</v>
      </c>
      <c r="Y48" s="288" t="str">
        <f t="shared" si="158"/>
        <v>Year 10</v>
      </c>
      <c r="AA48" s="180" t="s">
        <v>169</v>
      </c>
      <c r="AB48" s="181"/>
      <c r="AC48" s="181"/>
      <c r="AD48" s="181"/>
      <c r="AE48" s="181"/>
      <c r="AF48" s="181"/>
      <c r="AG48" s="181"/>
      <c r="AH48" s="181"/>
      <c r="AI48" s="181"/>
      <c r="AJ48" s="181"/>
      <c r="AK48" s="181"/>
      <c r="AL48" s="182"/>
      <c r="AN48" s="332" t="s">
        <v>11</v>
      </c>
      <c r="AO48" s="330" t="s">
        <v>114</v>
      </c>
      <c r="AP48" s="330" t="s">
        <v>115</v>
      </c>
      <c r="AQ48" s="330" t="s">
        <v>116</v>
      </c>
      <c r="AR48" s="330" t="s">
        <v>117</v>
      </c>
      <c r="AS48" s="330" t="s">
        <v>118</v>
      </c>
      <c r="AT48" s="330" t="s">
        <v>119</v>
      </c>
      <c r="AU48" s="330" t="s">
        <v>120</v>
      </c>
      <c r="AV48" s="330" t="s">
        <v>121</v>
      </c>
      <c r="AW48" s="330" t="s">
        <v>122</v>
      </c>
      <c r="AX48" s="331" t="s">
        <v>123</v>
      </c>
      <c r="AZ48" s="180" t="s">
        <v>169</v>
      </c>
      <c r="BA48" s="181"/>
      <c r="BB48" s="181"/>
      <c r="BC48" s="181"/>
      <c r="BD48" s="181"/>
      <c r="BE48" s="181"/>
      <c r="BF48" s="181"/>
      <c r="BG48" s="181"/>
      <c r="BH48" s="181"/>
      <c r="BI48" s="181"/>
      <c r="BJ48" s="181"/>
      <c r="BK48" s="182"/>
      <c r="BM48" s="332" t="s">
        <v>11</v>
      </c>
      <c r="BN48" s="330" t="s">
        <v>114</v>
      </c>
      <c r="BO48" s="330" t="s">
        <v>115</v>
      </c>
      <c r="BP48" s="330" t="s">
        <v>116</v>
      </c>
      <c r="BQ48" s="330" t="s">
        <v>117</v>
      </c>
      <c r="BR48" s="330" t="s">
        <v>118</v>
      </c>
      <c r="BS48" s="330" t="s">
        <v>119</v>
      </c>
      <c r="BT48" s="330" t="s">
        <v>120</v>
      </c>
      <c r="BU48" s="330" t="s">
        <v>121</v>
      </c>
      <c r="BV48" s="330" t="s">
        <v>122</v>
      </c>
      <c r="BW48" s="331" t="s">
        <v>123</v>
      </c>
      <c r="BY48" s="180" t="s">
        <v>169</v>
      </c>
      <c r="BZ48" s="181"/>
      <c r="CA48" s="181"/>
      <c r="CB48" s="181"/>
      <c r="CC48" s="181"/>
      <c r="CD48" s="181"/>
      <c r="CE48" s="181"/>
      <c r="CF48" s="181"/>
      <c r="CG48" s="181"/>
      <c r="CH48" s="181"/>
      <c r="CI48" s="181"/>
      <c r="CJ48" s="182"/>
      <c r="CL48" s="332" t="s">
        <v>11</v>
      </c>
      <c r="CM48" s="330" t="s">
        <v>114</v>
      </c>
      <c r="CN48" s="330" t="s">
        <v>115</v>
      </c>
      <c r="CO48" s="330" t="s">
        <v>116</v>
      </c>
      <c r="CP48" s="330" t="s">
        <v>117</v>
      </c>
      <c r="CQ48" s="330" t="s">
        <v>118</v>
      </c>
      <c r="CR48" s="330" t="s">
        <v>119</v>
      </c>
      <c r="CS48" s="330" t="s">
        <v>120</v>
      </c>
      <c r="CT48" s="330" t="s">
        <v>121</v>
      </c>
      <c r="CU48" s="330" t="s">
        <v>122</v>
      </c>
      <c r="CV48" s="331" t="s">
        <v>123</v>
      </c>
      <c r="CX48" s="180" t="s">
        <v>169</v>
      </c>
      <c r="CY48" s="181"/>
      <c r="CZ48" s="181"/>
      <c r="DA48" s="181"/>
      <c r="DB48" s="181"/>
      <c r="DC48" s="181"/>
      <c r="DD48" s="181"/>
      <c r="DE48" s="181"/>
      <c r="DF48" s="181"/>
      <c r="DG48" s="181"/>
      <c r="DH48" s="181"/>
      <c r="DI48" s="182"/>
      <c r="DK48" s="332" t="s">
        <v>11</v>
      </c>
      <c r="DL48" s="330" t="s">
        <v>114</v>
      </c>
      <c r="DM48" s="330" t="s">
        <v>115</v>
      </c>
      <c r="DN48" s="330" t="s">
        <v>116</v>
      </c>
      <c r="DO48" s="330" t="s">
        <v>117</v>
      </c>
      <c r="DP48" s="330" t="s">
        <v>118</v>
      </c>
      <c r="DQ48" s="330" t="s">
        <v>119</v>
      </c>
      <c r="DR48" s="330" t="s">
        <v>120</v>
      </c>
      <c r="DS48" s="330" t="s">
        <v>121</v>
      </c>
      <c r="DT48" s="330" t="s">
        <v>122</v>
      </c>
      <c r="DU48" s="331" t="s">
        <v>123</v>
      </c>
      <c r="DW48" s="180" t="s">
        <v>169</v>
      </c>
      <c r="DX48" s="181"/>
      <c r="DY48" s="181"/>
      <c r="DZ48" s="181"/>
      <c r="EA48" s="181"/>
      <c r="EB48" s="181"/>
      <c r="EC48" s="181"/>
      <c r="ED48" s="181"/>
      <c r="EE48" s="181"/>
      <c r="EF48" s="181"/>
      <c r="EG48" s="181"/>
      <c r="EH48" s="182"/>
      <c r="EJ48" s="332" t="s">
        <v>11</v>
      </c>
      <c r="EK48" s="330" t="s">
        <v>114</v>
      </c>
      <c r="EL48" s="330" t="s">
        <v>115</v>
      </c>
      <c r="EM48" s="330" t="s">
        <v>116</v>
      </c>
      <c r="EN48" s="330" t="s">
        <v>117</v>
      </c>
      <c r="EO48" s="330" t="s">
        <v>118</v>
      </c>
      <c r="EP48" s="330" t="s">
        <v>119</v>
      </c>
      <c r="EQ48" s="330" t="s">
        <v>120</v>
      </c>
      <c r="ER48" s="330" t="s">
        <v>121</v>
      </c>
      <c r="ES48" s="330" t="s">
        <v>122</v>
      </c>
      <c r="ET48" s="331" t="s">
        <v>123</v>
      </c>
    </row>
    <row r="49" spans="2:150" x14ac:dyDescent="0.3">
      <c r="B49" s="165"/>
      <c r="C49" s="285" t="str">
        <f>'Portfolio-Level CF'!C49</f>
        <v>Year 0</v>
      </c>
      <c r="D49" s="285" t="s">
        <v>114</v>
      </c>
      <c r="E49" s="285" t="s">
        <v>115</v>
      </c>
      <c r="F49" s="285" t="s">
        <v>116</v>
      </c>
      <c r="G49" s="285" t="s">
        <v>117</v>
      </c>
      <c r="H49" s="285" t="s">
        <v>118</v>
      </c>
      <c r="I49" s="285" t="s">
        <v>119</v>
      </c>
      <c r="J49" s="285" t="s">
        <v>120</v>
      </c>
      <c r="K49" s="285" t="s">
        <v>121</v>
      </c>
      <c r="L49" s="285" t="s">
        <v>122</v>
      </c>
      <c r="M49" s="286" t="s">
        <v>123</v>
      </c>
      <c r="O49" s="291">
        <f>O41</f>
        <v>5.7000000000000002E-2</v>
      </c>
      <c r="P49" s="333">
        <f>IRR(($C$39:C39,P41))</f>
        <v>1.537892434724264E-2</v>
      </c>
      <c r="Q49" s="333">
        <f>IRR(($C39:D39,Q41))</f>
        <v>7.4906622689458802E-2</v>
      </c>
      <c r="R49" s="333">
        <f>IRR(($C39:E39,R41))</f>
        <v>8.5751378888706098E-2</v>
      </c>
      <c r="S49" s="333">
        <f>IRR(($C39:F39,S41))</f>
        <v>6.8289846759903572E-2</v>
      </c>
      <c r="T49" s="333">
        <f>IRR(($C39:G39,T41))</f>
        <v>9.7656505244380742E-2</v>
      </c>
      <c r="U49" s="333">
        <f>IRR(($C39:H39,U41))</f>
        <v>7.1201959051767405E-2</v>
      </c>
      <c r="V49" s="333">
        <f>IRR(($C39:I39,V41))</f>
        <v>6.8857791756952169E-2</v>
      </c>
      <c r="W49" s="333">
        <f>IRR(($C39:J39,W41))</f>
        <v>8.5144028292905016E-2</v>
      </c>
      <c r="X49" s="333">
        <f>IRR(($C39:K39,X41))</f>
        <v>7.7051554749567597E-2</v>
      </c>
      <c r="Y49" s="334">
        <f>IRR(($C39:L39,Y41))</f>
        <v>8.5166114369981782E-2</v>
      </c>
      <c r="AA49" s="165"/>
      <c r="AB49" s="285" t="str">
        <f>'Portfolio-Level CF'!C49</f>
        <v>Year 0</v>
      </c>
      <c r="AC49" s="285" t="s">
        <v>114</v>
      </c>
      <c r="AD49" s="285" t="s">
        <v>115</v>
      </c>
      <c r="AE49" s="285" t="s">
        <v>116</v>
      </c>
      <c r="AF49" s="285" t="s">
        <v>117</v>
      </c>
      <c r="AG49" s="285" t="s">
        <v>118</v>
      </c>
      <c r="AH49" s="285" t="s">
        <v>119</v>
      </c>
      <c r="AI49" s="285" t="s">
        <v>120</v>
      </c>
      <c r="AJ49" s="285" t="s">
        <v>121</v>
      </c>
      <c r="AK49" s="285" t="s">
        <v>122</v>
      </c>
      <c r="AL49" s="286" t="s">
        <v>123</v>
      </c>
      <c r="AN49" s="291">
        <f>AN41</f>
        <v>5.1999999999999998E-2</v>
      </c>
      <c r="AO49" s="333">
        <f>IRR(($AB$39:AB39,AO41))</f>
        <v>-0.79920919840379312</v>
      </c>
      <c r="AP49" s="333">
        <f>IRR(($AB39:AC39,AP41))</f>
        <v>-3.1965584111142586E-2</v>
      </c>
      <c r="AQ49" s="333">
        <f>IRR(($AB39:AD39,AQ41))</f>
        <v>0.23249715939496496</v>
      </c>
      <c r="AR49" s="333">
        <f>IRR(($AB39:AE39,AR41))</f>
        <v>0.20591133880241763</v>
      </c>
      <c r="AS49" s="333">
        <f>IRR(($AB39:AF39,AS41))</f>
        <v>0.189387329963141</v>
      </c>
      <c r="AT49" s="333">
        <f>IRR(($AB39:AG39,AT41))</f>
        <v>0.17430109556923101</v>
      </c>
      <c r="AU49" s="333">
        <f>IRR(($AB39:AH39,AU41))</f>
        <v>0.16367795015953512</v>
      </c>
      <c r="AV49" s="333">
        <f>IRR(($AB39:AI39,AV41))</f>
        <v>0.15580946675455354</v>
      </c>
      <c r="AW49" s="333">
        <f>IRR(($AB39:AJ39,AW41))</f>
        <v>0.14661437059013038</v>
      </c>
      <c r="AX49" s="334">
        <f>IRR(($AB39:AK39,AX41))</f>
        <v>0.1389343697207468</v>
      </c>
      <c r="AZ49" s="165"/>
      <c r="BA49" s="285" t="str">
        <f>'Portfolio-Level CF'!C49</f>
        <v>Year 0</v>
      </c>
      <c r="BB49" s="285" t="s">
        <v>114</v>
      </c>
      <c r="BC49" s="285" t="s">
        <v>115</v>
      </c>
      <c r="BD49" s="285" t="s">
        <v>116</v>
      </c>
      <c r="BE49" s="285" t="s">
        <v>117</v>
      </c>
      <c r="BF49" s="285" t="s">
        <v>118</v>
      </c>
      <c r="BG49" s="285" t="s">
        <v>119</v>
      </c>
      <c r="BH49" s="285" t="s">
        <v>120</v>
      </c>
      <c r="BI49" s="285" t="s">
        <v>121</v>
      </c>
      <c r="BJ49" s="285" t="s">
        <v>122</v>
      </c>
      <c r="BK49" s="286" t="s">
        <v>123</v>
      </c>
      <c r="BM49" s="291">
        <f>BM41</f>
        <v>4.3999999999999997E-2</v>
      </c>
      <c r="BN49" s="333">
        <f>IRR(($BA$39:BA39,BN41))</f>
        <v>2.3263388154570075E-2</v>
      </c>
      <c r="BO49" s="333">
        <f>IRR(($BA39:BB39,BO41))</f>
        <v>0.34646607559046405</v>
      </c>
      <c r="BP49" s="333">
        <f>IRR(($BA39:BC39,BP41))</f>
        <v>0.32415180010588451</v>
      </c>
      <c r="BQ49" s="333">
        <f>IRR(($BA39:BD39,BQ41))</f>
        <v>0.25837527176994546</v>
      </c>
      <c r="BR49" s="333">
        <f>IRR(($BA39:BE39,BR41))</f>
        <v>0.22074364219594766</v>
      </c>
      <c r="BS49" s="333">
        <f>IRR(($BA39:BF39,BS41))</f>
        <v>0.19656354773984752</v>
      </c>
      <c r="BT49" s="333">
        <f>IRR(($BA39:BG39,BT41))</f>
        <v>0.19358626488950015</v>
      </c>
      <c r="BU49" s="333">
        <f>IRR(($BA39:BH39,BU41))</f>
        <v>0.1815285967457394</v>
      </c>
      <c r="BV49" s="333">
        <f>IRR(($BA39:BI39,BV41))</f>
        <v>0.17031278545486672</v>
      </c>
      <c r="BW49" s="334">
        <f>IRR(($BA39:BJ39,BW41))</f>
        <v>0.16134876063926495</v>
      </c>
      <c r="BY49" s="165"/>
      <c r="BZ49" s="285" t="s">
        <v>113</v>
      </c>
      <c r="CA49" s="285" t="s">
        <v>114</v>
      </c>
      <c r="CB49" s="285" t="s">
        <v>115</v>
      </c>
      <c r="CC49" s="285" t="s">
        <v>116</v>
      </c>
      <c r="CD49" s="285" t="s">
        <v>117</v>
      </c>
      <c r="CE49" s="285" t="s">
        <v>118</v>
      </c>
      <c r="CF49" s="285" t="s">
        <v>119</v>
      </c>
      <c r="CG49" s="285" t="s">
        <v>120</v>
      </c>
      <c r="CH49" s="285" t="s">
        <v>121</v>
      </c>
      <c r="CI49" s="285" t="s">
        <v>122</v>
      </c>
      <c r="CJ49" s="286" t="s">
        <v>123</v>
      </c>
      <c r="CL49" s="291">
        <f>CL41</f>
        <v>0.05</v>
      </c>
      <c r="CM49" s="333">
        <f>IRR(($BZ$39:BZ39,CM41))</f>
        <v>-2.2528032965568379E-2</v>
      </c>
      <c r="CN49" s="333">
        <f>IRR(($BZ39:CA39,CN41))</f>
        <v>4.6008448552649295E-2</v>
      </c>
      <c r="CO49" s="333">
        <f>IRR(($BZ39:CB39,CO41))</f>
        <v>6.9036104203899828E-2</v>
      </c>
      <c r="CP49" s="333">
        <f>IRR(($BZ39:CC39,CP41))</f>
        <v>8.0291448962861889E-2</v>
      </c>
      <c r="CQ49" s="333">
        <f>IRR(($BZ39:CD39,CQ41))</f>
        <v>8.6653355213375471E-2</v>
      </c>
      <c r="CR49" s="333">
        <f>IRR(($BZ39:CE39,CR41))</f>
        <v>9.0628158021436533E-2</v>
      </c>
      <c r="CS49" s="333">
        <f>IRR(($BZ39:CF39,CS41))</f>
        <v>9.3204100045147342E-2</v>
      </c>
      <c r="CT49" s="333">
        <f>IRR(($BZ39:CG39,CT41))</f>
        <v>9.4947807247574012E-2</v>
      </c>
      <c r="CU49" s="333">
        <f>IRR(($BZ39:CH39,CU41))</f>
        <v>9.6255821574937839E-2</v>
      </c>
      <c r="CV49" s="334">
        <f>IRR(($BZ39:CI39,CV41))</f>
        <v>9.7338027962601714E-2</v>
      </c>
      <c r="CX49" s="165"/>
      <c r="CY49" s="285">
        <f ca="1">CY49</f>
        <v>0</v>
      </c>
      <c r="CZ49" s="285" t="s">
        <v>114</v>
      </c>
      <c r="DA49" s="285" t="s">
        <v>115</v>
      </c>
      <c r="DB49" s="285" t="s">
        <v>116</v>
      </c>
      <c r="DC49" s="285" t="s">
        <v>117</v>
      </c>
      <c r="DD49" s="285" t="s">
        <v>118</v>
      </c>
      <c r="DE49" s="285" t="s">
        <v>119</v>
      </c>
      <c r="DF49" s="285" t="s">
        <v>120</v>
      </c>
      <c r="DG49" s="285" t="s">
        <v>121</v>
      </c>
      <c r="DH49" s="285" t="s">
        <v>122</v>
      </c>
      <c r="DI49" s="286" t="s">
        <v>123</v>
      </c>
      <c r="DK49" s="291">
        <f>DK41</f>
        <v>5.0999999999999997E-2</v>
      </c>
      <c r="DL49" s="333">
        <f>IRR(($CY$39:CY39,DL41))</f>
        <v>-2.3359635052184302E-2</v>
      </c>
      <c r="DM49" s="333">
        <f>IRR(($CY39:CZ39,DM41))</f>
        <v>5.0207780416439141E-2</v>
      </c>
      <c r="DN49" s="333">
        <f>IRR(($CY39:DA39,DN41))</f>
        <v>7.4903207119246584E-2</v>
      </c>
      <c r="DO49" s="333">
        <f>IRR(($CY39:DB39,DO41))</f>
        <v>8.6765043744074788E-2</v>
      </c>
      <c r="DP49" s="333">
        <f>IRR(($CY39:DC39,DP41))</f>
        <v>9.3442665477783571E-2</v>
      </c>
      <c r="DQ49" s="333">
        <f>IRR(($CY39:DD39,DQ41))</f>
        <v>9.7542206239472851E-2</v>
      </c>
      <c r="DR49" s="333">
        <f>IRR(($CY39:DE39,DR41))</f>
        <v>0.10019153466136377</v>
      </c>
      <c r="DS49" s="333">
        <f>IRR(($CY39:DF39,DS41))</f>
        <v>0.10195723992796513</v>
      </c>
      <c r="DT49" s="333">
        <f>IRR(($CY39:DG39,DT41))</f>
        <v>0.10315177943787401</v>
      </c>
      <c r="DU49" s="334">
        <f>IRR(($CY39:DH39,DU41))</f>
        <v>0.10396252463001776</v>
      </c>
      <c r="DW49" s="165"/>
      <c r="DX49" s="285" t="str">
        <f>'Portfolio-Level CF'!C49</f>
        <v>Year 0</v>
      </c>
      <c r="DY49" s="285" t="s">
        <v>114</v>
      </c>
      <c r="DZ49" s="285" t="s">
        <v>115</v>
      </c>
      <c r="EA49" s="285" t="s">
        <v>116</v>
      </c>
      <c r="EB49" s="285" t="s">
        <v>117</v>
      </c>
      <c r="EC49" s="285" t="s">
        <v>118</v>
      </c>
      <c r="ED49" s="285" t="s">
        <v>119</v>
      </c>
      <c r="EE49" s="285" t="s">
        <v>120</v>
      </c>
      <c r="EF49" s="285" t="s">
        <v>121</v>
      </c>
      <c r="EG49" s="285" t="s">
        <v>122</v>
      </c>
      <c r="EH49" s="286" t="s">
        <v>123</v>
      </c>
      <c r="EJ49" s="291">
        <f>EJ41</f>
        <v>4.8000000000000001E-2</v>
      </c>
      <c r="EK49" s="333">
        <f>IRR(($DX$39:DX39,EK41))</f>
        <v>-2.9040760902509177E-2</v>
      </c>
      <c r="EL49" s="333">
        <f>IRR(($DX39:DY39,EL41))</f>
        <v>4.358824833381636E-2</v>
      </c>
      <c r="EM49" s="333">
        <f>IRR(($DX39:DZ39,EM41))</f>
        <v>6.7837624042073497E-2</v>
      </c>
      <c r="EN49" s="333">
        <f>IRR(($DX39:EA39,EN41))</f>
        <v>7.9628305094925356E-2</v>
      </c>
      <c r="EO49" s="333">
        <f>IRR(($DX39:EB39,EO41))</f>
        <v>8.6302023817956375E-2</v>
      </c>
      <c r="EP49" s="333">
        <f>IRR(($DX39:EC39,EP41))</f>
        <v>9.0439166373536439E-2</v>
      </c>
      <c r="EQ49" s="333">
        <f>IRR(($DX39:ED39,EQ41))</f>
        <v>9.3092484465244318E-2</v>
      </c>
      <c r="ER49" s="333">
        <f>IRR(($DX39:EE39,ER41))</f>
        <v>9.4936196892671854E-2</v>
      </c>
      <c r="ES49" s="333">
        <f>IRR(($DX39:EF39,ES41))</f>
        <v>9.6150796913191838E-2</v>
      </c>
      <c r="ET49" s="334">
        <f>IRR(($DX39:EG39,ET41))</f>
        <v>9.7003450230804145E-2</v>
      </c>
    </row>
    <row r="50" spans="2:150" ht="13.5" thickBot="1" x14ac:dyDescent="0.35">
      <c r="B50" s="124" t="s">
        <v>125</v>
      </c>
      <c r="C50" s="122">
        <f>'Portfolio-Level CF'!C50</f>
        <v>44377</v>
      </c>
      <c r="D50" s="122">
        <f>'Portfolio-Level CF'!D50</f>
        <v>44742</v>
      </c>
      <c r="E50" s="122">
        <f>'Portfolio-Level CF'!E50</f>
        <v>45107</v>
      </c>
      <c r="F50" s="122">
        <f>'Portfolio-Level CF'!F50</f>
        <v>45473</v>
      </c>
      <c r="G50" s="122">
        <f>'Portfolio-Level CF'!G50</f>
        <v>45838</v>
      </c>
      <c r="H50" s="122">
        <f>'Portfolio-Level CF'!H50</f>
        <v>46203</v>
      </c>
      <c r="I50" s="122">
        <f>'Portfolio-Level CF'!I50</f>
        <v>46568</v>
      </c>
      <c r="J50" s="122">
        <f>'Portfolio-Level CF'!J50</f>
        <v>46934</v>
      </c>
      <c r="K50" s="122">
        <f>'Portfolio-Level CF'!K50</f>
        <v>47299</v>
      </c>
      <c r="L50" s="122">
        <f>'Portfolio-Level CF'!L50</f>
        <v>47664</v>
      </c>
      <c r="M50" s="123">
        <f>'Portfolio-Level CF'!M50</f>
        <v>48029</v>
      </c>
      <c r="O50" s="289">
        <f>O42</f>
        <v>5.8000000000000003E-2</v>
      </c>
      <c r="P50" s="335">
        <f>IRR(($C$39:C39,P42))</f>
        <v>-3.2713577926561821E-2</v>
      </c>
      <c r="Q50" s="335">
        <f>IRR(($C$39:D39,Q42))</f>
        <v>5.0881329564986366E-2</v>
      </c>
      <c r="R50" s="335">
        <f>IRR(($C$39:E39,R42))</f>
        <v>7.038871209999864E-2</v>
      </c>
      <c r="S50" s="335">
        <f>IRR(($C$39:F39,S42))</f>
        <v>5.673571513175002E-2</v>
      </c>
      <c r="T50" s="335">
        <f>IRR(($C$39:G39,T42))</f>
        <v>8.9338828749270904E-2</v>
      </c>
      <c r="U50" s="335">
        <f>IRR(($C$39:H39,U42))</f>
        <v>6.4212160842078481E-2</v>
      </c>
      <c r="V50" s="335">
        <f>IRR(($C$39:I39,V42))</f>
        <v>6.2873358122791601E-2</v>
      </c>
      <c r="W50" s="335">
        <f>IRR(($C$39:J39,W42))</f>
        <v>8.0448644199828001E-2</v>
      </c>
      <c r="X50" s="335">
        <f>IRR(($C$39:K39,X42))</f>
        <v>7.2863824573638603E-2</v>
      </c>
      <c r="Y50" s="336">
        <f>IRR(($C$39:L39,Y42))</f>
        <v>8.1672480653112833E-2</v>
      </c>
      <c r="AA50" s="124" t="s">
        <v>125</v>
      </c>
      <c r="AB50" s="122">
        <f>'Portfolio-Level CF'!C50</f>
        <v>44377</v>
      </c>
      <c r="AC50" s="122">
        <f>'Portfolio-Level CF'!D50</f>
        <v>44742</v>
      </c>
      <c r="AD50" s="122">
        <f>'Portfolio-Level CF'!E50</f>
        <v>45107</v>
      </c>
      <c r="AE50" s="122">
        <f>'Portfolio-Level CF'!F50</f>
        <v>45473</v>
      </c>
      <c r="AF50" s="122">
        <f>'Portfolio-Level CF'!G50</f>
        <v>45838</v>
      </c>
      <c r="AG50" s="122">
        <f>'Portfolio-Level CF'!H50</f>
        <v>46203</v>
      </c>
      <c r="AH50" s="122">
        <f>'Portfolio-Level CF'!I50</f>
        <v>46568</v>
      </c>
      <c r="AI50" s="122">
        <f>'Portfolio-Level CF'!J50</f>
        <v>46934</v>
      </c>
      <c r="AJ50" s="122">
        <f>'Portfolio-Level CF'!K50</f>
        <v>47299</v>
      </c>
      <c r="AK50" s="122">
        <f>'Portfolio-Level CF'!L50</f>
        <v>47664</v>
      </c>
      <c r="AL50" s="123">
        <f>'Portfolio-Level CF'!M50</f>
        <v>48029</v>
      </c>
      <c r="AN50" s="289">
        <f>AN42</f>
        <v>5.2999999999999999E-2</v>
      </c>
      <c r="AO50" s="335">
        <f>IRR(($AB$39:AB39,AO42))</f>
        <v>-0.83751818599282712</v>
      </c>
      <c r="AP50" s="335">
        <f>IRR(($AB$39:AC39,AP42))</f>
        <v>-5.907901017714734E-2</v>
      </c>
      <c r="AQ50" s="335">
        <f>IRR(($AB$39:AD39,AQ42))</f>
        <v>0.21737886737956069</v>
      </c>
      <c r="AR50" s="335">
        <f>IRR(($AB$39:AE39,AR42))</f>
        <v>0.19556344700915784</v>
      </c>
      <c r="AS50" s="335">
        <f>IRR(($AB$39:AF39,AS42))</f>
        <v>0.181735997763115</v>
      </c>
      <c r="AT50" s="335">
        <f>IRR(($AB$39:AG39,AT42))</f>
        <v>0.16833302221070801</v>
      </c>
      <c r="AU50" s="335">
        <f>IRR(($AB$39:AH39,AU42))</f>
        <v>0.15886919152020229</v>
      </c>
      <c r="AV50" s="335">
        <f>IRR(($AB$39:AI39,AV42))</f>
        <v>0.15184412168167971</v>
      </c>
      <c r="AW50" s="335">
        <f>IRR(($AB$39:AJ39,AW42))</f>
        <v>0.14323919323428314</v>
      </c>
      <c r="AX50" s="336">
        <f>IRR(($AB$39:AK39,AX42))</f>
        <v>0.13599865459232952</v>
      </c>
      <c r="AZ50" s="124" t="s">
        <v>125</v>
      </c>
      <c r="BA50" s="122">
        <f>'Portfolio-Level CF'!C50</f>
        <v>44377</v>
      </c>
      <c r="BB50" s="122">
        <f>'Portfolio-Level CF'!D50</f>
        <v>44742</v>
      </c>
      <c r="BC50" s="122">
        <f>'Portfolio-Level CF'!E50</f>
        <v>45107</v>
      </c>
      <c r="BD50" s="122">
        <f>'Portfolio-Level CF'!F50</f>
        <v>45473</v>
      </c>
      <c r="BE50" s="122">
        <f>'Portfolio-Level CF'!G50</f>
        <v>45838</v>
      </c>
      <c r="BF50" s="122">
        <f>'Portfolio-Level CF'!H50</f>
        <v>46203</v>
      </c>
      <c r="BG50" s="122">
        <f>'Portfolio-Level CF'!I50</f>
        <v>46568</v>
      </c>
      <c r="BH50" s="122">
        <f>'Portfolio-Level CF'!J50</f>
        <v>46934</v>
      </c>
      <c r="BI50" s="122">
        <f>'Portfolio-Level CF'!K50</f>
        <v>47299</v>
      </c>
      <c r="BJ50" s="122">
        <f>'Portfolio-Level CF'!L50</f>
        <v>47664</v>
      </c>
      <c r="BK50" s="123">
        <f>'Portfolio-Level CF'!M50</f>
        <v>48029</v>
      </c>
      <c r="BM50" s="289">
        <f>BM42</f>
        <v>4.7E-2</v>
      </c>
      <c r="BN50" s="335">
        <f>IRR(($BA$39:BA39,BN42))</f>
        <v>-0.15754642731754087</v>
      </c>
      <c r="BO50" s="335">
        <f>IRR(($BA$39:BB39,BO42))</f>
        <v>0.25844403446664499</v>
      </c>
      <c r="BP50" s="335">
        <f>IRR(($BA$39:BC39,BP42))</f>
        <v>0.27297125084491092</v>
      </c>
      <c r="BQ50" s="335">
        <f>IRR(($BA$39:BD39,BQ42))</f>
        <v>0.2232337067744794</v>
      </c>
      <c r="BR50" s="335">
        <f>IRR(($BA$39:BE39,BR42))</f>
        <v>0.19450353850083402</v>
      </c>
      <c r="BS50" s="335">
        <f>IRR(($BA$39:BF39,BS42))</f>
        <v>0.17596366716929479</v>
      </c>
      <c r="BT50" s="335">
        <f>IRR(($BA$39:BG39,BT42))</f>
        <v>0.17725652483358623</v>
      </c>
      <c r="BU50" s="335">
        <f>IRR(($BA$39:BH39,BU42))</f>
        <v>0.16804594267672401</v>
      </c>
      <c r="BV50" s="335">
        <f>IRR(($BA$39:BI39,BV42))</f>
        <v>0.1589346436564989</v>
      </c>
      <c r="BW50" s="336">
        <f>IRR(($BA$39:BJ39,BW42))</f>
        <v>0.15160889344944906</v>
      </c>
      <c r="BY50" s="124" t="s">
        <v>125</v>
      </c>
      <c r="BZ50" s="122">
        <f>'Property-Level CF'!BA50</f>
        <v>44377</v>
      </c>
      <c r="CA50" s="122">
        <f>'Property-Level CF'!BB50</f>
        <v>44742</v>
      </c>
      <c r="CB50" s="122">
        <f>'Property-Level CF'!BC50</f>
        <v>45107</v>
      </c>
      <c r="CC50" s="122">
        <f>'Property-Level CF'!BD50</f>
        <v>45473</v>
      </c>
      <c r="CD50" s="122">
        <f>'Property-Level CF'!BE50</f>
        <v>45838</v>
      </c>
      <c r="CE50" s="122">
        <f>'Property-Level CF'!BF50</f>
        <v>46203</v>
      </c>
      <c r="CF50" s="122">
        <f>'Property-Level CF'!BG50</f>
        <v>46568</v>
      </c>
      <c r="CG50" s="122">
        <f>'Property-Level CF'!BH50</f>
        <v>46934</v>
      </c>
      <c r="CH50" s="122">
        <f>'Property-Level CF'!BI50</f>
        <v>47299</v>
      </c>
      <c r="CI50" s="122">
        <f>'Property-Level CF'!BJ50</f>
        <v>47664</v>
      </c>
      <c r="CJ50" s="123">
        <f>'Property-Level CF'!BK50</f>
        <v>48029</v>
      </c>
      <c r="CL50" s="289">
        <f>CL42</f>
        <v>5.0999999999999997E-2</v>
      </c>
      <c r="CM50" s="335">
        <f>IRR(($BZ$39:BZ39,CM42))</f>
        <v>-7.6874032185662911E-2</v>
      </c>
      <c r="CN50" s="335">
        <f>IRR(($BZ$39:CA39,CN42))</f>
        <v>1.8381700985595772E-2</v>
      </c>
      <c r="CO50" s="335">
        <f>IRR(($BZ$39:CB39,CO42))</f>
        <v>5.1307406749199203E-2</v>
      </c>
      <c r="CP50" s="335">
        <f>IRR(($BZ$39:CC39,CP42))</f>
        <v>6.76519474306021E-2</v>
      </c>
      <c r="CQ50" s="335">
        <f>IRR(($BZ$39:CD39,CQ42))</f>
        <v>7.7079857920799411E-2</v>
      </c>
      <c r="CR50" s="335">
        <f>IRR(($BZ$39:CE39,CR42))</f>
        <v>8.3085652701516022E-2</v>
      </c>
      <c r="CS50" s="335">
        <f>IRR(($BZ$39:CF39,CS42))</f>
        <v>8.7093307667345243E-2</v>
      </c>
      <c r="CT50" s="335">
        <f>IRR(($BZ$39:CG39,CT42))</f>
        <v>8.9892959885121249E-2</v>
      </c>
      <c r="CU50" s="335">
        <f>IRR(($BZ$39:CH39,CU42))</f>
        <v>9.2008072100448368E-2</v>
      </c>
      <c r="CV50" s="336">
        <f>IRR(($BZ$39:CI39,CV42))</f>
        <v>9.3724475957070563E-2</v>
      </c>
      <c r="CX50" s="469" t="s">
        <v>125</v>
      </c>
      <c r="CY50" s="122">
        <f>'Portfolio-Level CF'!C50</f>
        <v>44377</v>
      </c>
      <c r="CZ50" s="122">
        <f>'Portfolio-Level CF'!D50</f>
        <v>44742</v>
      </c>
      <c r="DA50" s="122">
        <f>'Portfolio-Level CF'!E50</f>
        <v>45107</v>
      </c>
      <c r="DB50" s="122">
        <f>'Portfolio-Level CF'!F50</f>
        <v>45473</v>
      </c>
      <c r="DC50" s="122">
        <f>'Portfolio-Level CF'!G50</f>
        <v>45838</v>
      </c>
      <c r="DD50" s="122">
        <f>'Portfolio-Level CF'!H50</f>
        <v>46203</v>
      </c>
      <c r="DE50" s="122">
        <f>'Portfolio-Level CF'!I50</f>
        <v>46568</v>
      </c>
      <c r="DF50" s="122">
        <f>'Portfolio-Level CF'!J50</f>
        <v>46934</v>
      </c>
      <c r="DG50" s="122">
        <f>'Portfolio-Level CF'!K50</f>
        <v>47299</v>
      </c>
      <c r="DH50" s="122">
        <f>'Portfolio-Level CF'!L50</f>
        <v>47664</v>
      </c>
      <c r="DI50" s="123">
        <f>'Portfolio-Level CF'!M50</f>
        <v>48029</v>
      </c>
      <c r="DK50" s="289">
        <f>DK42</f>
        <v>5.1999999999999998E-2</v>
      </c>
      <c r="DL50" s="335">
        <f>IRR(($CY$39:CY39,DL42))</f>
        <v>-7.6610744935046826E-2</v>
      </c>
      <c r="DM50" s="335">
        <f>IRR(($CY$39:CZ39,DM42))</f>
        <v>2.3166633396256797E-2</v>
      </c>
      <c r="DN50" s="335">
        <f>IRR(($CY$39:DA39,DN42))</f>
        <v>5.7617573949722223E-2</v>
      </c>
      <c r="DO50" s="335">
        <f>IRR(($CY$39:DB39,DO42))</f>
        <v>7.4491252597543411E-2</v>
      </c>
      <c r="DP50" s="335">
        <f>IRR(($CY$39:DC39,DP42))</f>
        <v>8.4183165982837593E-2</v>
      </c>
      <c r="DQ50" s="335">
        <f>IRR(($CY$39:DD39,DQ42))</f>
        <v>9.0274137896830808E-2</v>
      </c>
      <c r="DR50" s="335">
        <f>IRR(($CY$39:DE39,DR42))</f>
        <v>9.4324059124403004E-2</v>
      </c>
      <c r="DS50" s="335">
        <f>IRR(($CY$39:DF39,DS42))</f>
        <v>9.711991089908012E-2</v>
      </c>
      <c r="DT50" s="335">
        <f>IRR(($CY$39:DG39,DT42))</f>
        <v>9.9098056559010717E-2</v>
      </c>
      <c r="DU50" s="336">
        <f>IRR(($CY$39:DH39,DU42))</f>
        <v>0.10052074590686999</v>
      </c>
      <c r="DW50" s="469" t="s">
        <v>125</v>
      </c>
      <c r="DX50" s="122">
        <f>'Portfolio-Level CF'!C50</f>
        <v>44377</v>
      </c>
      <c r="DY50" s="122">
        <f>'Portfolio-Level CF'!D50</f>
        <v>44742</v>
      </c>
      <c r="DZ50" s="122">
        <f>'Portfolio-Level CF'!E50</f>
        <v>45107</v>
      </c>
      <c r="EA50" s="122">
        <f>'Portfolio-Level CF'!F50</f>
        <v>45473</v>
      </c>
      <c r="EB50" s="122">
        <f>'Portfolio-Level CF'!G50</f>
        <v>45838</v>
      </c>
      <c r="EC50" s="122">
        <f>'Portfolio-Level CF'!H50</f>
        <v>46203</v>
      </c>
      <c r="ED50" s="122">
        <f>'Portfolio-Level CF'!I50</f>
        <v>46568</v>
      </c>
      <c r="EE50" s="122">
        <f>'Portfolio-Level CF'!J50</f>
        <v>46934</v>
      </c>
      <c r="EF50" s="122">
        <f>'Portfolio-Level CF'!K50</f>
        <v>47299</v>
      </c>
      <c r="EG50" s="122">
        <f>'Portfolio-Level CF'!L50</f>
        <v>47664</v>
      </c>
      <c r="EH50" s="123">
        <f>'Portfolio-Level CF'!M50</f>
        <v>48029</v>
      </c>
      <c r="EJ50" s="289">
        <f>EJ42</f>
        <v>4.9000000000000002E-2</v>
      </c>
      <c r="EK50" s="335">
        <f>IRR(($DX$39:DX39,EK42))</f>
        <v>-8.5589525051528947E-2</v>
      </c>
      <c r="EL50" s="335">
        <f>IRR(($DX$39:DY39,EL42))</f>
        <v>1.4762582775958544E-2</v>
      </c>
      <c r="EM50" s="335">
        <f>IRR(($DX$39:DZ39,EM42))</f>
        <v>4.9342220762845779E-2</v>
      </c>
      <c r="EN50" s="335">
        <f>IRR(($DX$39:EA39,EN42))</f>
        <v>6.6448681643862084E-2</v>
      </c>
      <c r="EO50" s="335">
        <f>IRR(($DX$39:EB39,EO42))</f>
        <v>7.6324483308253699E-2</v>
      </c>
      <c r="EP50" s="335">
        <f>IRR(($DX$39:EC39,EP42))</f>
        <v>8.2580831609168071E-2</v>
      </c>
      <c r="EQ50" s="335">
        <f>IRR(($DX$39:ED39,EQ42))</f>
        <v>8.6726352343840407E-2</v>
      </c>
      <c r="ER50" s="335">
        <f>IRR(($DX$39:EE39,ER42))</f>
        <v>8.9670569619459517E-2</v>
      </c>
      <c r="ES50" s="335">
        <f>IRR(($DX$39:EF39,ES42))</f>
        <v>9.1722940611005832E-2</v>
      </c>
      <c r="ET50" s="336">
        <f>IRR(($DX$39:EG39,ET42))</f>
        <v>9.3231312518990528E-2</v>
      </c>
    </row>
    <row r="51" spans="2:150" x14ac:dyDescent="0.3">
      <c r="B51" s="153"/>
      <c r="C51" s="155"/>
      <c r="D51" s="283"/>
      <c r="E51" s="283"/>
      <c r="F51" s="283"/>
      <c r="G51" s="283"/>
      <c r="H51" s="283"/>
      <c r="I51" s="283"/>
      <c r="J51" s="283"/>
      <c r="K51" s="283"/>
      <c r="L51" s="283"/>
      <c r="M51" s="158"/>
      <c r="O51" s="289">
        <f>O43</f>
        <v>5.8999999999999997E-2</v>
      </c>
      <c r="P51" s="335">
        <f>IRR(($C$39:C39,P43))</f>
        <v>-7.9175825885999807E-2</v>
      </c>
      <c r="Q51" s="335">
        <f>IRR(($C$39:D39,Q43))</f>
        <v>2.7114368135709777E-2</v>
      </c>
      <c r="R51" s="335">
        <f>IRR(($C$39:E39,R43))</f>
        <v>5.5092746059301811E-2</v>
      </c>
      <c r="S51" s="335">
        <f>IRR(($C$39:F39,S43))</f>
        <v>4.5175864855017567E-2</v>
      </c>
      <c r="T51" s="335">
        <f>IRR(($C$39:G39,T43))</f>
        <v>8.103798771145776E-2</v>
      </c>
      <c r="U51" s="335">
        <f>IRR(($C$39:H39,U43))</f>
        <v>5.7215495648863746E-2</v>
      </c>
      <c r="V51" s="335">
        <f>IRR(($C$39:I39,V43))</f>
        <v>5.6873830407039083E-2</v>
      </c>
      <c r="W51" s="335">
        <f>IRR(($C$39:J39,W43))</f>
        <v>7.5759288835174132E-2</v>
      </c>
      <c r="X51" s="335">
        <f>IRR(($C$39:K39,X43))</f>
        <v>6.8676136913360386E-2</v>
      </c>
      <c r="Y51" s="336">
        <f>IRR(($C$39:L39,Y43))</f>
        <v>7.8187239490590033E-2</v>
      </c>
      <c r="AA51" s="153"/>
      <c r="AB51" s="155"/>
      <c r="AC51" s="283"/>
      <c r="AD51" s="283"/>
      <c r="AE51" s="283"/>
      <c r="AF51" s="283"/>
      <c r="AG51" s="283"/>
      <c r="AH51" s="283"/>
      <c r="AI51" s="283"/>
      <c r="AJ51" s="283"/>
      <c r="AK51" s="283"/>
      <c r="AL51" s="158"/>
      <c r="AN51" s="289">
        <f>AN43</f>
        <v>5.3999999999999999E-2</v>
      </c>
      <c r="AO51" s="335">
        <f>IRR(($AB$39:AB39,AO43))</f>
        <v>-0.8744083221896749</v>
      </c>
      <c r="AP51" s="335">
        <f>IRR(($AB$39:AC39,AP43))</f>
        <v>-8.595968157600109E-2</v>
      </c>
      <c r="AQ51" s="335">
        <f>IRR(($AB$39:AD39,AQ43))</f>
        <v>0.20244837776147384</v>
      </c>
      <c r="AR51" s="335">
        <f>IRR(($AB$39:AE39,AR43))</f>
        <v>0.18532796309208921</v>
      </c>
      <c r="AS51" s="335">
        <f>IRR(($AB$39:AF39,AS43))</f>
        <v>0.17416527326758602</v>
      </c>
      <c r="AT51" s="335">
        <f>IRR(($AB$39:AG39,AT43))</f>
        <v>0.16242770654020999</v>
      </c>
      <c r="AU51" s="335">
        <f>IRR(($AB$39:AH39,AU43))</f>
        <v>0.1541124971869936</v>
      </c>
      <c r="AV51" s="335">
        <f>IRR(($AB$39:AI39,AV43))</f>
        <v>0.14792372677435117</v>
      </c>
      <c r="AW51" s="335">
        <f>IRR(($AB$39:AJ39,AW43))</f>
        <v>0.13990276164628734</v>
      </c>
      <c r="AX51" s="336">
        <f>IRR(($AB$39:AK39,AX43))</f>
        <v>0.13309676622723199</v>
      </c>
      <c r="AZ51" s="153"/>
      <c r="BA51" s="155"/>
      <c r="BB51" s="283"/>
      <c r="BC51" s="283"/>
      <c r="BD51" s="283"/>
      <c r="BE51" s="283"/>
      <c r="BF51" s="283"/>
      <c r="BG51" s="283"/>
      <c r="BH51" s="283"/>
      <c r="BI51" s="283"/>
      <c r="BJ51" s="283"/>
      <c r="BK51" s="158"/>
      <c r="BM51" s="289">
        <f>BM43</f>
        <v>0.05</v>
      </c>
      <c r="BN51" s="335">
        <f>IRR(($BA$39:BA39,BN43))</f>
        <v>-0.31665906493299889</v>
      </c>
      <c r="BO51" s="335">
        <f>IRR(($BA$39:BB39,BO43))</f>
        <v>0.17543255137930358</v>
      </c>
      <c r="BP51" s="335">
        <f>IRR(($BA$39:BC39,BP43))</f>
        <v>0.22413698594926124</v>
      </c>
      <c r="BQ51" s="335">
        <f>IRR(($BA$39:BD39,BQ43))</f>
        <v>0.18945835090858232</v>
      </c>
      <c r="BR51" s="335">
        <f>IRR(($BA$39:BE39,BR43))</f>
        <v>0.16920783979625487</v>
      </c>
      <c r="BS51" s="335">
        <f>IRR(($BA$39:BF39,BS43))</f>
        <v>0.1560882722920145</v>
      </c>
      <c r="BT51" s="335">
        <f>IRR(($BA$39:BG39,BT43))</f>
        <v>0.16156455812424109</v>
      </c>
      <c r="BU51" s="335">
        <f>IRR(($BA$39:BH39,BU43))</f>
        <v>0.15511207615920219</v>
      </c>
      <c r="BV51" s="335">
        <f>IRR(($BA$39:BI39,BV43))</f>
        <v>0.14803602342289279</v>
      </c>
      <c r="BW51" s="336">
        <f>IRR(($BA$39:BJ39,BW43))</f>
        <v>0.14229560548480302</v>
      </c>
      <c r="BY51" s="153"/>
      <c r="BZ51" s="155"/>
      <c r="CA51" s="283"/>
      <c r="CB51" s="283"/>
      <c r="CC51" s="283"/>
      <c r="CD51" s="283"/>
      <c r="CE51" s="283"/>
      <c r="CF51" s="283"/>
      <c r="CG51" s="283"/>
      <c r="CH51" s="283"/>
      <c r="CI51" s="283"/>
      <c r="CJ51" s="284"/>
      <c r="CL51" s="289">
        <f>CL43</f>
        <v>5.1999999999999998E-2</v>
      </c>
      <c r="CM51" s="335">
        <f>IRR(($BZ$39:BZ39,CM43))</f>
        <v>-0.12912980066652346</v>
      </c>
      <c r="CN51" s="335">
        <f>IRR(($BZ$39:CA39,CN43))</f>
        <v>-8.9322711778737629E-3</v>
      </c>
      <c r="CO51" s="335">
        <f>IRR(($BZ$39:CB39,CO43))</f>
        <v>3.3651996089990144E-2</v>
      </c>
      <c r="CP51" s="335">
        <f>IRR(($BZ$39:CC39,CP43))</f>
        <v>5.5036168032991606E-2</v>
      </c>
      <c r="CQ51" s="335">
        <f>IRR(($BZ$39:CD39,CQ43))</f>
        <v>6.7520450888416184E-2</v>
      </c>
      <c r="CR51" s="335">
        <f>IRR(($BZ$39:CE39,CR43))</f>
        <v>7.5557559226866244E-2</v>
      </c>
      <c r="CS51" s="335">
        <f>IRR(($BZ$39:CF39,CS43))</f>
        <v>8.0999380949960287E-2</v>
      </c>
      <c r="CT51" s="335">
        <f>IRR(($BZ$39:CG39,CT43))</f>
        <v>8.4857419256894495E-2</v>
      </c>
      <c r="CU51" s="335">
        <f>IRR(($BZ$39:CH39,CU43))</f>
        <v>8.7781560016368054E-2</v>
      </c>
      <c r="CV51" s="336">
        <f>IRR(($BZ$39:CI39,CV43))</f>
        <v>9.0133507353215681E-2</v>
      </c>
      <c r="CX51" s="145"/>
      <c r="CY51" s="155"/>
      <c r="CZ51" s="283"/>
      <c r="DA51" s="283"/>
      <c r="DB51" s="283"/>
      <c r="DC51" s="283"/>
      <c r="DD51" s="283"/>
      <c r="DE51" s="283"/>
      <c r="DF51" s="283"/>
      <c r="DG51" s="283"/>
      <c r="DH51" s="283"/>
      <c r="DI51" s="158"/>
      <c r="DK51" s="289">
        <f>DK43</f>
        <v>5.2999999999999999E-2</v>
      </c>
      <c r="DL51" s="335">
        <f>IRR(($CY$39:CY39,DL43))</f>
        <v>-0.12785237897327317</v>
      </c>
      <c r="DM51" s="335">
        <f>IRR(($CY$39:CZ39,DM43))</f>
        <v>-3.5699123250653164E-3</v>
      </c>
      <c r="DN51" s="335">
        <f>IRR(($CY$39:DA39,DN43))</f>
        <v>4.0408559128958466E-2</v>
      </c>
      <c r="DO51" s="335">
        <f>IRR(($CY$39:DB39,DO43))</f>
        <v>6.2246944546627381E-2</v>
      </c>
      <c r="DP51" s="335">
        <f>IRR(($CY$39:DC39,DP43))</f>
        <v>7.4943664096625451E-2</v>
      </c>
      <c r="DQ51" s="335">
        <f>IRR(($CY$39:DD39,DQ43))</f>
        <v>8.3025780323145559E-2</v>
      </c>
      <c r="DR51" s="335">
        <f>IRR(($CY$39:DE39,DR43))</f>
        <v>8.8477975578109991E-2</v>
      </c>
      <c r="DS51" s="335">
        <f>IRR(($CY$39:DF39,DS43))</f>
        <v>9.2305630488266566E-2</v>
      </c>
      <c r="DT51" s="335">
        <f>IRR(($CY$39:DG39,DT43))</f>
        <v>9.5068519858988454E-2</v>
      </c>
      <c r="DU51" s="336">
        <f>IRR(($CY$39:DH39,DU43))</f>
        <v>9.7103731076908506E-2</v>
      </c>
      <c r="DW51" s="145"/>
      <c r="DX51" s="155"/>
      <c r="DY51" s="283"/>
      <c r="DZ51" s="283"/>
      <c r="EA51" s="283"/>
      <c r="EB51" s="283"/>
      <c r="EC51" s="283"/>
      <c r="ED51" s="283"/>
      <c r="EE51" s="283"/>
      <c r="EF51" s="283"/>
      <c r="EG51" s="283"/>
      <c r="EH51" s="158"/>
      <c r="EJ51" s="289">
        <f>EJ43</f>
        <v>0.05</v>
      </c>
      <c r="EK51" s="335">
        <f>IRR(($DX$39:DX39,EK43))</f>
        <v>-0.13987633863458759</v>
      </c>
      <c r="EL51" s="335">
        <f>IRR(($DX$39:DY39,EL43))</f>
        <v>-1.3725992344735483E-2</v>
      </c>
      <c r="EM51" s="335">
        <f>IRR(($DX$39:DZ39,EM43))</f>
        <v>3.0926080201833184E-2</v>
      </c>
      <c r="EN51" s="335">
        <f>IRR(($DX$39:EA39,EN43))</f>
        <v>5.3295609762154195E-2</v>
      </c>
      <c r="EO51" s="335">
        <f>IRR(($DX$39:EB39,EO43))</f>
        <v>6.6363522373580563E-2</v>
      </c>
      <c r="EP51" s="335">
        <f>IRR(($DX$39:EC39,EP43))</f>
        <v>7.473953473352668E-2</v>
      </c>
      <c r="EQ51" s="335">
        <f>IRR(($DX$39:ED39,EQ43))</f>
        <v>8.0379849463080744E-2</v>
      </c>
      <c r="ER51" s="335">
        <f>IRR(($DX$39:EE39,ER43))</f>
        <v>8.4427131146696199E-2</v>
      </c>
      <c r="ES51" s="335">
        <f>IRR(($DX$39:EF39,ES43))</f>
        <v>8.7319125597209446E-2</v>
      </c>
      <c r="ET51" s="336">
        <f>IRR(($DX$39:EG39,ET43))</f>
        <v>8.9484384996936672E-2</v>
      </c>
    </row>
    <row r="52" spans="2:150" x14ac:dyDescent="0.3">
      <c r="B52" s="190" t="s">
        <v>170</v>
      </c>
      <c r="C52" s="155"/>
      <c r="D52" s="221">
        <f>('Property-Level CF'!D36+'Property-Level CF'!D38)*Summary!$C$22</f>
        <v>19532.513282264445</v>
      </c>
      <c r="E52" s="221">
        <f>('Property-Level CF'!E36+'Property-Level CF'!E38)*Summary!$C$22</f>
        <v>18049.313282264444</v>
      </c>
      <c r="F52" s="221">
        <f>('Property-Level CF'!F36+'Property-Level CF'!F38)*Summary!$C$22</f>
        <v>18092.913282264442</v>
      </c>
      <c r="G52" s="221">
        <f>('Property-Level CF'!G36+'Property-Level CF'!G38)*Summary!$C$22</f>
        <v>5297.9132822644424</v>
      </c>
      <c r="H52" s="221">
        <f>('Property-Level CF'!H36+'Property-Level CF'!H38)*Summary!$C$22</f>
        <v>22711.163282264446</v>
      </c>
      <c r="I52" s="221">
        <f>('Property-Level CF'!I36+'Property-Level CF'!I38)*Summary!$C$22</f>
        <v>20275.963282264445</v>
      </c>
      <c r="J52" s="221">
        <f>('Property-Level CF'!J36+'Property-Level CF'!J38)*Summary!$C$22</f>
        <v>-1339.9367177355584</v>
      </c>
      <c r="K52" s="221">
        <f>('Property-Level CF'!K36+'Property-Level CF'!K38)*Summary!$C$22</f>
        <v>23107.363282264443</v>
      </c>
      <c r="L52" s="221">
        <f>('Property-Level CF'!L36+'Property-Level CF'!L38)*Summary!$C$22</f>
        <v>4118.313282264442</v>
      </c>
      <c r="M52" s="247">
        <f>('Property-Level CF'!M36+'Property-Level CF'!M38)*Summary!$C$22</f>
        <v>13384.063282264444</v>
      </c>
      <c r="O52" s="289">
        <f>O44</f>
        <v>0.06</v>
      </c>
      <c r="P52" s="335">
        <f>IRR(($C$39:C39,P44))</f>
        <v>-0.12408933224679009</v>
      </c>
      <c r="Q52" s="335">
        <f>IRR(($C$39:D39,Q44))</f>
        <v>3.5816540165729549E-3</v>
      </c>
      <c r="R52" s="335">
        <f>IRR(($C$39:E39,R44))</f>
        <v>3.9848905669973789E-2</v>
      </c>
      <c r="S52" s="335">
        <f>IRR(($C$39:F39,S44))</f>
        <v>3.3598022709494746E-2</v>
      </c>
      <c r="T52" s="335">
        <f>IRR(($C$39:G39,T44))</f>
        <v>7.2747171559672807E-2</v>
      </c>
      <c r="U52" s="335">
        <f>IRR(($C$39:H39,U44))</f>
        <v>5.0205463992895716E-2</v>
      </c>
      <c r="V52" s="335">
        <f>IRR(($C$39:I39,V44))</f>
        <v>5.0853280458587724E-2</v>
      </c>
      <c r="W52" s="335">
        <f>IRR(($C$39:J39,W44))</f>
        <v>7.1072436921450599E-2</v>
      </c>
      <c r="X52" s="335">
        <f>IRR(($C$39:K39,X44))</f>
        <v>6.4485156941611388E-2</v>
      </c>
      <c r="Y52" s="336">
        <f>IRR(($C$39:L39,Y44))</f>
        <v>7.470802567465773E-2</v>
      </c>
      <c r="AA52" s="190" t="s">
        <v>170</v>
      </c>
      <c r="AB52" s="155"/>
      <c r="AC52" s="221">
        <f>('Property-Level CF'!AC36+'Property-Level CF'!AC38)*Summary!$C$22</f>
        <v>5286.3816136751839</v>
      </c>
      <c r="AD52" s="221">
        <f>('Property-Level CF'!AD36+'Property-Level CF'!AD38)*Summary!$C$22</f>
        <v>12270.781613675184</v>
      </c>
      <c r="AE52" s="221">
        <f>('Property-Level CF'!AE36+'Property-Level CF'!AE38)*Summary!$C$22</f>
        <v>20549.331613675186</v>
      </c>
      <c r="AF52" s="221">
        <f>('Property-Level CF'!AF36+'Property-Level CF'!AF38)*Summary!$C$22</f>
        <v>21461.831613675186</v>
      </c>
      <c r="AG52" s="221">
        <f>('Property-Level CF'!AG36+'Property-Level CF'!AG38)*Summary!$C$22</f>
        <v>22333.881613675185</v>
      </c>
      <c r="AH52" s="221">
        <f>('Property-Level CF'!AH36+'Property-Level CF'!AH38)*Summary!$C$22</f>
        <v>22745.231613675187</v>
      </c>
      <c r="AI52" s="221">
        <f>('Property-Level CF'!AI36+'Property-Level CF'!AI38)*Summary!$C$22</f>
        <v>23155.031613675186</v>
      </c>
      <c r="AJ52" s="221">
        <f>('Property-Level CF'!AJ36+'Property-Level CF'!AJ38)*Summary!$C$22</f>
        <v>23567.131613675185</v>
      </c>
      <c r="AK52" s="221">
        <f>('Property-Level CF'!AK36+'Property-Level CF'!AK38)*Summary!$C$22</f>
        <v>18314.581613675186</v>
      </c>
      <c r="AL52" s="247">
        <f>('Property-Level CF'!AL36+'Property-Level CF'!AL38)*Summary!$C$22</f>
        <v>13058.531613675184</v>
      </c>
      <c r="AN52" s="289">
        <f>AN44</f>
        <v>5.5E-2</v>
      </c>
      <c r="AO52" s="335">
        <f>IRR(($AB$39:AB39,AO44))</f>
        <v>-0.9099569988884556</v>
      </c>
      <c r="AP52" s="335">
        <f>IRR(($AB$39:AC39,AP44))</f>
        <v>-0.11264509463849748</v>
      </c>
      <c r="AQ52" s="335">
        <f>IRR(($AB$39:AD39,AQ44))</f>
        <v>0.18769279798207261</v>
      </c>
      <c r="AR52" s="335">
        <f>IRR(($AB$39:AE39,AR44))</f>
        <v>0.17519691806870386</v>
      </c>
      <c r="AS52" s="335">
        <f>IRR(($AB$39:AF39,AS44))</f>
        <v>0.16666965110824195</v>
      </c>
      <c r="AT52" s="335">
        <f>IRR(($AB$39:AG39,AT44))</f>
        <v>0.15658104077970481</v>
      </c>
      <c r="AU52" s="335">
        <f>IRR(($AB$39:AH39,AU44))</f>
        <v>0.14940466243653505</v>
      </c>
      <c r="AV52" s="335">
        <f>IRR(($AB$39:AI39,AV44))</f>
        <v>0.14404569805162226</v>
      </c>
      <c r="AW52" s="335">
        <f>IRR(($AB$39:AJ39,AW44))</f>
        <v>0.13660290296537858</v>
      </c>
      <c r="AX52" s="336">
        <f>IRR(($AB$39:AK39,AX44))</f>
        <v>0.13022683049242412</v>
      </c>
      <c r="AZ52" s="190" t="s">
        <v>170</v>
      </c>
      <c r="BA52" s="155"/>
      <c r="BB52" s="221">
        <f>('Property-Level CF'!BB36+'Property-Level CF'!BB38)*Summary!$C$22</f>
        <v>11748.562948727271</v>
      </c>
      <c r="BC52" s="221">
        <f>('Property-Level CF'!BC36+'Property-Level CF'!BC38)*Summary!$C$22</f>
        <v>19564.36294872727</v>
      </c>
      <c r="BD52" s="221">
        <f>('Property-Level CF'!BD36+'Property-Level CF'!BD38)*Summary!$C$22</f>
        <v>23702.812948727271</v>
      </c>
      <c r="BE52" s="221">
        <f>('Property-Level CF'!BE36+'Property-Level CF'!BE38)*Summary!$C$22</f>
        <v>24053.86294872727</v>
      </c>
      <c r="BF52" s="221">
        <f>('Property-Level CF'!BF36+'Property-Level CF'!BF38)*Summary!$C$22</f>
        <v>24401.412948727273</v>
      </c>
      <c r="BG52" s="221">
        <f>('Property-Level CF'!BG36+'Property-Level CF'!BG38)*Summary!$C$22</f>
        <v>24767.662948727273</v>
      </c>
      <c r="BH52" s="221">
        <f>('Property-Level CF'!BH36+'Property-Level CF'!BH38)*Summary!$C$22</f>
        <v>27636.462948727272</v>
      </c>
      <c r="BI52" s="221">
        <f>('Property-Level CF'!BI36+'Property-Level CF'!BI38)*Summary!$C$22</f>
        <v>28517.962948727272</v>
      </c>
      <c r="BJ52" s="221">
        <f>('Property-Level CF'!BJ36+'Property-Level CF'!BJ38)*Summary!$C$22</f>
        <v>28877.11294872727</v>
      </c>
      <c r="BK52" s="247">
        <f>('Property-Level CF'!BK36+'Property-Level CF'!BK38)*Summary!$C$22</f>
        <v>29188.36294872727</v>
      </c>
      <c r="BM52" s="289">
        <f>BM44</f>
        <v>5.2999999999999999E-2</v>
      </c>
      <c r="BN52" s="335">
        <f>IRR(($BA$39:BA39,BN44))</f>
        <v>-0.45775895112029164</v>
      </c>
      <c r="BO52" s="335">
        <f>IRR(($BA$39:BB39,BO44))</f>
        <v>9.6457276768427969E-2</v>
      </c>
      <c r="BP52" s="335">
        <f>IRR(($BA$39:BC39,BP44))</f>
        <v>0.17718996389288466</v>
      </c>
      <c r="BQ52" s="335">
        <f>IRR(($BA$39:BD39,BQ44))</f>
        <v>0.15676106881723784</v>
      </c>
      <c r="BR52" s="335">
        <f>IRR(($BA$39:BE39,BR44))</f>
        <v>0.14465337964823655</v>
      </c>
      <c r="BS52" s="335">
        <f>IRR(($BA$39:BF39,BS44))</f>
        <v>0.13678449784790314</v>
      </c>
      <c r="BT52" s="335">
        <f>IRR(($BA$39:BG39,BT44))</f>
        <v>0.14639500378060655</v>
      </c>
      <c r="BU52" s="335">
        <f>IRR(($BA$39:BH39,BU44))</f>
        <v>0.14263384229906495</v>
      </c>
      <c r="BV52" s="335">
        <f>IRR(($BA$39:BI39,BV44))</f>
        <v>0.13753930093793931</v>
      </c>
      <c r="BW52" s="336">
        <f>IRR(($BA$39:BJ39,BW44))</f>
        <v>0.13334285762983966</v>
      </c>
      <c r="BY52" s="190" t="s">
        <v>170</v>
      </c>
      <c r="BZ52" s="155"/>
      <c r="CA52" s="221">
        <f>(CA36+CA38)*Summary!$C$22</f>
        <v>29582.112297016385</v>
      </c>
      <c r="CB52" s="221">
        <f>(CB36+CB38)*Summary!$C$22</f>
        <v>30761.712297016384</v>
      </c>
      <c r="CC52" s="221">
        <f>(CC36+CC38)*Summary!$C$22</f>
        <v>31957.762297016383</v>
      </c>
      <c r="CD52" s="221">
        <f>(CD36+CD38)*Summary!$C$22</f>
        <v>33186.112297016385</v>
      </c>
      <c r="CE52" s="221">
        <f>(CE36+CE38)*Summary!$C$22</f>
        <v>34430.262297016387</v>
      </c>
      <c r="CF52" s="221">
        <f>(CF36+CF38)*Summary!$C$22</f>
        <v>35699.462297016384</v>
      </c>
      <c r="CG52" s="221">
        <f>(CG36+CG38)*Summary!$C$22</f>
        <v>36982.812297016382</v>
      </c>
      <c r="CH52" s="221">
        <f>(CH36+CH38)*Summary!$C$22</f>
        <v>38286.762297016387</v>
      </c>
      <c r="CI52" s="221">
        <f>(CI36+CI38)*Summary!$C$22</f>
        <v>39647.912297016388</v>
      </c>
      <c r="CJ52" s="247">
        <f>(CJ36+CJ38)*Summary!$C$22</f>
        <v>41100.612297016385</v>
      </c>
      <c r="CL52" s="289">
        <f>CL44</f>
        <v>5.2999999999999999E-2</v>
      </c>
      <c r="CM52" s="335">
        <f>IRR(($BZ$39:BZ39,CM44))</f>
        <v>-0.17941365335565329</v>
      </c>
      <c r="CN52" s="335">
        <f>IRR(($BZ$39:CA39,CN44))</f>
        <v>-3.597052561501124E-2</v>
      </c>
      <c r="CO52" s="335">
        <f>IRR(($BZ$39:CB39,CO44))</f>
        <v>1.6047261744442265E-2</v>
      </c>
      <c r="CP52" s="335">
        <f>IRR(($BZ$39:CC39,CP44))</f>
        <v>4.2428929984388963E-2</v>
      </c>
      <c r="CQ52" s="335">
        <f>IRR(($BZ$39:CD39,CQ44))</f>
        <v>5.7964488199204522E-2</v>
      </c>
      <c r="CR52" s="335">
        <f>IRR(($BZ$39:CE39,CR44))</f>
        <v>6.8036166603171022E-2</v>
      </c>
      <c r="CS52" s="335">
        <f>IRR(($BZ$39:CF39,CS44))</f>
        <v>7.4916572386406477E-2</v>
      </c>
      <c r="CT52" s="335">
        <f>IRR(($BZ$39:CG39,CT44))</f>
        <v>7.983678892160806E-2</v>
      </c>
      <c r="CU52" s="335">
        <f>IRR(($BZ$39:CH39,CU44))</f>
        <v>8.3572843753155768E-2</v>
      </c>
      <c r="CV52" s="336">
        <f>IRR(($BZ$39:CI39,CV44))</f>
        <v>8.6562369555517771E-2</v>
      </c>
      <c r="CX52" s="190" t="s">
        <v>170</v>
      </c>
      <c r="CY52" s="155"/>
      <c r="CZ52" s="221">
        <f>('Property-Level CF'!CZ36+'Property-Level CF'!CZ38)*Summary!$C$22</f>
        <v>12870.675656322928</v>
      </c>
      <c r="DA52" s="221">
        <f>('Property-Level CF'!DA36+'Property-Level CF'!DA38)*Summary!$C$22</f>
        <v>13454.82565632293</v>
      </c>
      <c r="DB52" s="221">
        <f>('Property-Level CF'!DB36+'Property-Level CF'!DB38)*Summary!$C$22</f>
        <v>14050.625656322929</v>
      </c>
      <c r="DC52" s="221">
        <f>('Property-Level CF'!DC36+'Property-Level CF'!DC38)*Summary!$C$22</f>
        <v>14658.32565632293</v>
      </c>
      <c r="DD52" s="221">
        <f>('Property-Level CF'!DD36+'Property-Level CF'!DD38)*Summary!$C$22</f>
        <v>15278.225656322929</v>
      </c>
      <c r="DE52" s="221">
        <f>('Property-Level CF'!DE36+'Property-Level CF'!DE38)*Summary!$C$22</f>
        <v>15910.525656322929</v>
      </c>
      <c r="DF52" s="221">
        <f>('Property-Level CF'!DF36+'Property-Level CF'!DF38)*Summary!$C$22</f>
        <v>16555.425656322928</v>
      </c>
      <c r="DG52" s="221">
        <f>('Property-Level CF'!DG36+'Property-Level CF'!DG38)*Summary!$C$22</f>
        <v>17213.27565632293</v>
      </c>
      <c r="DH52" s="221">
        <f>('Property-Level CF'!DH36+'Property-Level CF'!DH38)*Summary!$C$22</f>
        <v>17884.225656322928</v>
      </c>
      <c r="DI52" s="247">
        <f>('Property-Level CF'!DI36+'Property-Level CF'!DI38)*Summary!$C$22</f>
        <v>18568.625656322929</v>
      </c>
      <c r="DK52" s="289">
        <f>DK44</f>
        <v>5.3999999999999999E-2</v>
      </c>
      <c r="DL52" s="335">
        <f>IRR(($CY$39:CY39,DL44))</f>
        <v>-0.17719617471378668</v>
      </c>
      <c r="DM52" s="335">
        <f>IRR(($CY$39:CZ39,DM44))</f>
        <v>-3.0036522493547935E-2</v>
      </c>
      <c r="DN52" s="335">
        <f>IRR(($CY$39:DA39,DN44))</f>
        <v>2.3255359692692545E-2</v>
      </c>
      <c r="DO52" s="335">
        <f>IRR(($CY$39:DB39,DO44))</f>
        <v>5.0018352977515113E-2</v>
      </c>
      <c r="DP52" s="335">
        <f>IRR(($CY$39:DC39,DP44))</f>
        <v>6.5714620407304913E-2</v>
      </c>
      <c r="DQ52" s="335">
        <f>IRR(($CY$39:DD39,DQ44))</f>
        <v>7.57902838780522E-2</v>
      </c>
      <c r="DR52" s="335">
        <f>IRR(($CY$39:DE39,DR44))</f>
        <v>8.2648208927405209E-2</v>
      </c>
      <c r="DS52" s="335">
        <f>IRR(($CY$39:DF39,DS44))</f>
        <v>8.7510528095723128E-2</v>
      </c>
      <c r="DT52" s="335">
        <f>IRR(($CY$39:DG39,DT44))</f>
        <v>9.106013629094778E-2</v>
      </c>
      <c r="DU52" s="336">
        <f>IRR(($CY$39:DH39,DU44))</f>
        <v>9.3709042201986392E-2</v>
      </c>
      <c r="DW52" s="190" t="s">
        <v>170</v>
      </c>
      <c r="DX52" s="155"/>
      <c r="DY52" s="221">
        <f>('Property-Level CF'!DY36+'Property-Level CF'!DY38)*Summary!$C$22</f>
        <v>27122.817529851643</v>
      </c>
      <c r="DZ52" s="221">
        <f>('Property-Level CF'!DZ36+'Property-Level CF'!DZ38)*Summary!$C$22</f>
        <v>28439.467529851641</v>
      </c>
      <c r="EA52" s="221">
        <f>('Property-Level CF'!EA36+'Property-Level CF'!EA38)*Summary!$C$22</f>
        <v>29768.567529851643</v>
      </c>
      <c r="EB52" s="221">
        <f>('Property-Level CF'!EB36+'Property-Level CF'!EB38)*Summary!$C$22</f>
        <v>31133.867529851643</v>
      </c>
      <c r="EC52" s="221">
        <f>('Property-Level CF'!EC36+'Property-Level CF'!EC38)*Summary!$C$22</f>
        <v>32526.617529851643</v>
      </c>
      <c r="ED52" s="221">
        <f>('Property-Level CF'!ED36+'Property-Level CF'!ED38)*Summary!$C$22</f>
        <v>33949.467529851645</v>
      </c>
      <c r="EE52" s="221">
        <f>('Property-Level CF'!EE36+'Property-Level CF'!EE38)*Summary!$C$22</f>
        <v>35390.867529851639</v>
      </c>
      <c r="EF52" s="221">
        <f>('Property-Level CF'!EF36+'Property-Level CF'!EF38)*Summary!$C$22</f>
        <v>36877.417529851642</v>
      </c>
      <c r="EG52" s="221">
        <f>('Property-Level CF'!EG36+'Property-Level CF'!EG38)*Summary!$C$22</f>
        <v>38376.317529851643</v>
      </c>
      <c r="EH52" s="247">
        <f>('Property-Level CF'!EH36+'Property-Level CF'!EH38)*Summary!$C$22</f>
        <v>39911.467529851645</v>
      </c>
      <c r="EJ52" s="289">
        <f>EJ44</f>
        <v>5.0999999999999997E-2</v>
      </c>
      <c r="EK52" s="335">
        <f>IRR(($DX$39:DX39,EK44))</f>
        <v>-0.1920342575673305</v>
      </c>
      <c r="EL52" s="335">
        <f>IRR(($DX$39:DY39,EL44))</f>
        <v>-4.1919493399858676E-2</v>
      </c>
      <c r="EM52" s="335">
        <f>IRR(($DX$39:DZ39,EM44))</f>
        <v>1.2563644661772067E-2</v>
      </c>
      <c r="EN52" s="335">
        <f>IRR(($DX$39:EA39,EN44))</f>
        <v>4.0152018045225724E-2</v>
      </c>
      <c r="EO52" s="335">
        <f>IRR(($DX$39:EB39,EO44))</f>
        <v>5.640722719385538E-2</v>
      </c>
      <c r="EP52" s="335">
        <f>IRR(($DX$39:EC39,EP44))</f>
        <v>6.6906676400761977E-2</v>
      </c>
      <c r="EQ52" s="335">
        <f>IRR(($DX$39:ED39,EQ44))</f>
        <v>7.4046578798958596E-2</v>
      </c>
      <c r="ER52" s="335">
        <f>IRR(($DX$39:EE39,ER44))</f>
        <v>7.9200994734224928E-2</v>
      </c>
      <c r="ES52" s="335">
        <f>IRR(($DX$39:EF39,ES44))</f>
        <v>8.2935520188374801E-2</v>
      </c>
      <c r="ET52" s="336">
        <f>IRR(($DX$39:EG39,ET44))</f>
        <v>8.5759591224978005E-2</v>
      </c>
    </row>
    <row r="53" spans="2:150" ht="13.5" thickBot="1" x14ac:dyDescent="0.35">
      <c r="B53" s="207" t="s">
        <v>171</v>
      </c>
      <c r="C53" s="155"/>
      <c r="D53" s="221">
        <f>-'Property-Level CF'!D38</f>
        <v>11744.408519344257</v>
      </c>
      <c r="E53" s="221">
        <f>-'Property-Level CF'!E38</f>
        <v>11744.408519344257</v>
      </c>
      <c r="F53" s="221">
        <f>-'Property-Level CF'!F38</f>
        <v>11744.408519344257</v>
      </c>
      <c r="G53" s="221">
        <f>-'Property-Level CF'!G38</f>
        <v>11744.408519344257</v>
      </c>
      <c r="H53" s="221">
        <f>-'Property-Level CF'!H38</f>
        <v>11744.408519344257</v>
      </c>
      <c r="I53" s="221">
        <f>-'Property-Level CF'!I38</f>
        <v>11744.408519344257</v>
      </c>
      <c r="J53" s="221">
        <f>-'Property-Level CF'!J38</f>
        <v>11744.408519344257</v>
      </c>
      <c r="K53" s="221">
        <f>-'Property-Level CF'!K38</f>
        <v>11744.408519344257</v>
      </c>
      <c r="L53" s="221">
        <f>-'Property-Level CF'!L38</f>
        <v>11744.408519344257</v>
      </c>
      <c r="M53" s="247">
        <f>-'Property-Level CF'!M38</f>
        <v>11744.408519344257</v>
      </c>
      <c r="O53" s="290">
        <f>O45</f>
        <v>6.0999999999999999E-2</v>
      </c>
      <c r="P53" s="337">
        <f>IRR(($C$39:C39,P45))</f>
        <v>-0.16753026462853815</v>
      </c>
      <c r="Q53" s="337">
        <f>IRR(($C$39:D39,Q45))</f>
        <v>-1.9740595079587031E-2</v>
      </c>
      <c r="R53" s="337">
        <f>IRR(($C$39:E39,R45))</f>
        <v>2.4642456920341838E-2</v>
      </c>
      <c r="S53" s="337">
        <f>IRR(($C$39:F39,S45))</f>
        <v>2.198947583184796E-2</v>
      </c>
      <c r="T53" s="337">
        <f>IRR(($C$39:G39,T45))</f>
        <v>6.4459494693250852E-2</v>
      </c>
      <c r="U53" s="337">
        <f>IRR(($C$39:H39,U45))</f>
        <v>4.3175376332546866E-2</v>
      </c>
      <c r="V53" s="337">
        <f>IRR(($C$39:I39,V45))</f>
        <v>4.4805555174364464E-2</v>
      </c>
      <c r="W53" s="337">
        <f>IRR(($C$39:J39,W45))</f>
        <v>6.6384528392436915E-2</v>
      </c>
      <c r="X53" s="337">
        <f>IRR(($C$39:K39,X45))</f>
        <v>6.028749035630776E-2</v>
      </c>
      <c r="Y53" s="338">
        <f>IRR(($C$39:L39,Y45))</f>
        <v>7.1232472463910845E-2</v>
      </c>
      <c r="AA53" s="207" t="s">
        <v>171</v>
      </c>
      <c r="AB53" s="155"/>
      <c r="AC53" s="221">
        <f>-'Property-Level CF'!AC38</f>
        <v>9591.6117409140243</v>
      </c>
      <c r="AD53" s="221">
        <f>-'Property-Level CF'!AD38</f>
        <v>9591.6117409140243</v>
      </c>
      <c r="AE53" s="221">
        <f>-'Property-Level CF'!AE38</f>
        <v>9591.6117409140243</v>
      </c>
      <c r="AF53" s="221">
        <f>-'Property-Level CF'!AF38</f>
        <v>9591.6117409140243</v>
      </c>
      <c r="AG53" s="221">
        <f>-'Property-Level CF'!AG38</f>
        <v>9591.6117409140243</v>
      </c>
      <c r="AH53" s="221">
        <f>-'Property-Level CF'!AH38</f>
        <v>9591.6117409140243</v>
      </c>
      <c r="AI53" s="221">
        <f>-'Property-Level CF'!AI38</f>
        <v>9591.6117409140243</v>
      </c>
      <c r="AJ53" s="221">
        <f>-'Property-Level CF'!AJ38</f>
        <v>9591.6117409140243</v>
      </c>
      <c r="AK53" s="221">
        <f>-'Property-Level CF'!AK38</f>
        <v>9591.6117409140243</v>
      </c>
      <c r="AL53" s="247">
        <f>-'Property-Level CF'!AL38</f>
        <v>9591.6117409140243</v>
      </c>
      <c r="AN53" s="290">
        <f>AN45</f>
        <v>5.6000000000000001E-2</v>
      </c>
      <c r="AO53" s="337">
        <f>IRR(($AB$39:AB39,AO45))</f>
        <v>-0.94423607999085113</v>
      </c>
      <c r="AP53" s="337">
        <f>IRR(($AB$39:AC39,AP45))</f>
        <v>-0.13917327977202876</v>
      </c>
      <c r="AQ53" s="337">
        <f>IRR(($AB$39:AD39,AQ45))</f>
        <v>0.17309973696087089</v>
      </c>
      <c r="AR53" s="337">
        <f>IRR(($AB$39:AE39,AR45))</f>
        <v>0.16516263906619</v>
      </c>
      <c r="AS53" s="337">
        <f>IRR(($AB$39:AF39,AS45))</f>
        <v>0.15924383786578233</v>
      </c>
      <c r="AT53" s="337">
        <f>IRR(($AB$39:AG39,AT45))</f>
        <v>0.15078908116381262</v>
      </c>
      <c r="AU53" s="337">
        <f>IRR(($AB$39:AH39,AU45))</f>
        <v>0.14474261725827708</v>
      </c>
      <c r="AV53" s="337">
        <f>IRR(($AB$39:AI39,AV45))</f>
        <v>0.14020756617831576</v>
      </c>
      <c r="AW53" s="337">
        <f>IRR(($AB$39:AJ39,AW45))</f>
        <v>0.13333754223896044</v>
      </c>
      <c r="AX53" s="338">
        <f>IRR(($AB$39:AK39,AX45))</f>
        <v>0.12738705820236551</v>
      </c>
      <c r="AZ53" s="207" t="s">
        <v>171</v>
      </c>
      <c r="BA53" s="155"/>
      <c r="BB53" s="221">
        <f>-'Property-Level CF'!BB38</f>
        <v>12310.116942424083</v>
      </c>
      <c r="BC53" s="221">
        <f>-'Property-Level CF'!BC38</f>
        <v>12310.116942424083</v>
      </c>
      <c r="BD53" s="221">
        <f>-'Property-Level CF'!BD38</f>
        <v>12310.116942424083</v>
      </c>
      <c r="BE53" s="221">
        <f>-'Property-Level CF'!BE38</f>
        <v>12310.116942424083</v>
      </c>
      <c r="BF53" s="221">
        <f>-'Property-Level CF'!BF38</f>
        <v>12310.116942424083</v>
      </c>
      <c r="BG53" s="221">
        <f>-'Property-Level CF'!BG38</f>
        <v>12310.116942424083</v>
      </c>
      <c r="BH53" s="221">
        <f>-'Property-Level CF'!BH38</f>
        <v>12310.116942424083</v>
      </c>
      <c r="BI53" s="221">
        <f>-'Property-Level CF'!BI38</f>
        <v>12310.116942424083</v>
      </c>
      <c r="BJ53" s="221">
        <f>-'Property-Level CF'!BJ38</f>
        <v>12310.116942424083</v>
      </c>
      <c r="BK53" s="247">
        <f>-'Property-Level CF'!BK38</f>
        <v>12310.116942424083</v>
      </c>
      <c r="BM53" s="290">
        <f>BM45</f>
        <v>5.6000000000000001E-2</v>
      </c>
      <c r="BN53" s="337">
        <f>IRR(($BA$39:BA39,BN45))</f>
        <v>-0.58374099235894561</v>
      </c>
      <c r="BO53" s="337">
        <f>IRR(($BA$39:BB39,BO45))</f>
        <v>2.0670220890858015E-2</v>
      </c>
      <c r="BP53" s="337">
        <f>IRR(($BA$39:BC39,BP45))</f>
        <v>0.13172883871181451</v>
      </c>
      <c r="BQ53" s="337">
        <f>IRR(($BA$39:BD39,BQ45))</f>
        <v>0.12488605699269217</v>
      </c>
      <c r="BR53" s="337">
        <f>IRR(($BA$39:BE39,BR45))</f>
        <v>0.12065914877457851</v>
      </c>
      <c r="BS53" s="337">
        <f>IRR(($BA$39:BF39,BS45))</f>
        <v>0.11791653925638412</v>
      </c>
      <c r="BT53" s="337">
        <f>IRR(($BA$39:BG39,BT45))</f>
        <v>0.13164776026791114</v>
      </c>
      <c r="BU53" s="337">
        <f>IRR(($BA$39:BH39,BU45))</f>
        <v>0.13053110781386423</v>
      </c>
      <c r="BV53" s="337">
        <f>IRR(($BA$39:BI39,BV45))</f>
        <v>0.12737811030591817</v>
      </c>
      <c r="BW53" s="338">
        <f>IRR(($BA$39:BJ39,BW45))</f>
        <v>0.12469450593629094</v>
      </c>
      <c r="BY53" s="207" t="s">
        <v>171</v>
      </c>
      <c r="BZ53" s="155"/>
      <c r="CA53" s="221">
        <f t="shared" ref="CA53:CJ53" si="159">-CA38</f>
        <v>23489.475941118693</v>
      </c>
      <c r="CB53" s="221">
        <f t="shared" si="159"/>
        <v>23489.475941118693</v>
      </c>
      <c r="CC53" s="221">
        <f t="shared" si="159"/>
        <v>23489.475941118693</v>
      </c>
      <c r="CD53" s="221">
        <f t="shared" si="159"/>
        <v>23489.475941118693</v>
      </c>
      <c r="CE53" s="221">
        <f t="shared" si="159"/>
        <v>23489.475941118693</v>
      </c>
      <c r="CF53" s="221">
        <f t="shared" si="159"/>
        <v>23489.475941118693</v>
      </c>
      <c r="CG53" s="221">
        <f t="shared" si="159"/>
        <v>23489.475941118693</v>
      </c>
      <c r="CH53" s="221">
        <f t="shared" si="159"/>
        <v>23489.475941118693</v>
      </c>
      <c r="CI53" s="221">
        <f t="shared" si="159"/>
        <v>23489.475941118693</v>
      </c>
      <c r="CJ53" s="247">
        <f t="shared" si="159"/>
        <v>23489.475941118693</v>
      </c>
      <c r="CL53" s="290">
        <f>CL45</f>
        <v>5.3999999999999999E-2</v>
      </c>
      <c r="CM53" s="337">
        <f>IRR(($BZ$39:BZ39,CM45))</f>
        <v>-0.22783514113037096</v>
      </c>
      <c r="CN53" s="337">
        <f>IRR(($BZ$39:CA39,CN45))</f>
        <v>-6.2769898521554013E-2</v>
      </c>
      <c r="CO53" s="337">
        <f>IRR(($BZ$39:CB39,CO45))</f>
        <v>-1.5298477251188825E-3</v>
      </c>
      <c r="CP53" s="337">
        <f>IRR(($BZ$39:CC39,CP45))</f>
        <v>2.9814696542420638E-2</v>
      </c>
      <c r="CQ53" s="337">
        <f>IRR(($BZ$39:CD39,CQ45))</f>
        <v>4.8401112891565123E-2</v>
      </c>
      <c r="CR53" s="337">
        <f>IRR(($BZ$39:CE39,CR45))</f>
        <v>6.0513663154600161E-2</v>
      </c>
      <c r="CS53" s="337">
        <f>IRR(($BZ$39:CF39,CS45))</f>
        <v>6.8839105780981624E-2</v>
      </c>
      <c r="CT53" s="337">
        <f>IRR(($BZ$39:CG39,CT45))</f>
        <v>7.4826687920617196E-2</v>
      </c>
      <c r="CU53" s="337">
        <f>IRR(($BZ$39:CH39,CU45))</f>
        <v>7.9378523300839054E-2</v>
      </c>
      <c r="CV53" s="338">
        <f>IRR(($BZ$39:CI39,CV45))</f>
        <v>8.3008365989684529E-2</v>
      </c>
      <c r="CX53" s="207" t="s">
        <v>171</v>
      </c>
      <c r="CY53" s="155"/>
      <c r="CZ53" s="221">
        <f>-'Property-Level CF'!CZ38</f>
        <v>9942.506453689175</v>
      </c>
      <c r="DA53" s="221">
        <f>-'Property-Level CF'!DA38</f>
        <v>9942.506453689175</v>
      </c>
      <c r="DB53" s="221">
        <f>-'Property-Level CF'!DB38</f>
        <v>9942.506453689175</v>
      </c>
      <c r="DC53" s="221">
        <f>-'Property-Level CF'!DC38</f>
        <v>9942.506453689175</v>
      </c>
      <c r="DD53" s="221">
        <f>-'Property-Level CF'!DD38</f>
        <v>9942.506453689175</v>
      </c>
      <c r="DE53" s="221">
        <f>-'Property-Level CF'!DE38</f>
        <v>9942.506453689175</v>
      </c>
      <c r="DF53" s="221">
        <f>-'Property-Level CF'!DF38</f>
        <v>9942.506453689175</v>
      </c>
      <c r="DG53" s="221">
        <f>-'Property-Level CF'!DG38</f>
        <v>9942.506453689175</v>
      </c>
      <c r="DH53" s="221">
        <f>-'Property-Level CF'!DH38</f>
        <v>9942.506453689175</v>
      </c>
      <c r="DI53" s="247">
        <f>-'Property-Level CF'!DI38</f>
        <v>9942.506453689175</v>
      </c>
      <c r="DK53" s="290">
        <f>DK45</f>
        <v>5.5E-2</v>
      </c>
      <c r="DL53" s="337">
        <f>IRR(($CY$39:CY39,DL45))</f>
        <v>-0.22474565060919094</v>
      </c>
      <c r="DM53" s="337">
        <f>IRR(($CY$39:CZ39,DM45))</f>
        <v>-5.6267607975582501E-2</v>
      </c>
      <c r="DN53" s="337">
        <f>IRR(($CY$39:DA39,DN45))</f>
        <v>6.1368393382386088E-3</v>
      </c>
      <c r="DO53" s="337">
        <f>IRR(($CY$39:DB39,DO45))</f>
        <v>3.7791453200666902E-2</v>
      </c>
      <c r="DP53" s="337">
        <f>IRR(($CY$39:DC39,DP45))</f>
        <v>5.6486359500449668E-2</v>
      </c>
      <c r="DQ53" s="337">
        <f>IRR(($CY$39:DD39,DQ45))</f>
        <v>6.8560751566482336E-2</v>
      </c>
      <c r="DR53" s="337">
        <f>IRR(($CY$39:DE39,DR45))</f>
        <v>7.6829691814943812E-2</v>
      </c>
      <c r="DS53" s="337">
        <f>IRR(($CY$39:DF39,DS45))</f>
        <v>8.273077248948657E-2</v>
      </c>
      <c r="DT53" s="337">
        <f>IRR(($CY$39:DG39,DT45))</f>
        <v>8.706992889897891E-2</v>
      </c>
      <c r="DU53" s="338">
        <f>IRR(($CY$39:DH39,DU45))</f>
        <v>9.0334305086890998E-2</v>
      </c>
      <c r="DW53" s="207" t="s">
        <v>171</v>
      </c>
      <c r="DX53" s="155"/>
      <c r="DY53" s="221">
        <f>-'Property-Level CF'!DY38</f>
        <v>23703.513241259763</v>
      </c>
      <c r="DZ53" s="221">
        <f>-'Property-Level CF'!DZ38</f>
        <v>23703.513241259763</v>
      </c>
      <c r="EA53" s="221">
        <f>-'Property-Level CF'!EA38</f>
        <v>23703.513241259763</v>
      </c>
      <c r="EB53" s="221">
        <f>-'Property-Level CF'!EB38</f>
        <v>23703.513241259763</v>
      </c>
      <c r="EC53" s="221">
        <f>-'Property-Level CF'!EC38</f>
        <v>23703.513241259763</v>
      </c>
      <c r="ED53" s="221">
        <f>-'Property-Level CF'!ED38</f>
        <v>23703.513241259763</v>
      </c>
      <c r="EE53" s="221">
        <f>-'Property-Level CF'!EE38</f>
        <v>23703.513241259763</v>
      </c>
      <c r="EF53" s="221">
        <f>-'Property-Level CF'!EF38</f>
        <v>23703.513241259763</v>
      </c>
      <c r="EG53" s="221">
        <f>-'Property-Level CF'!EG38</f>
        <v>23703.513241259763</v>
      </c>
      <c r="EH53" s="247">
        <f>-'Property-Level CF'!EH38</f>
        <v>23703.513241259763</v>
      </c>
      <c r="EJ53" s="290">
        <f>EJ45</f>
        <v>5.1999999999999998E-2</v>
      </c>
      <c r="EK53" s="337">
        <f>IRR(($DX$39:DX39,EK45))</f>
        <v>-0.24218610269496788</v>
      </c>
      <c r="EL53" s="337">
        <f>IRR(($DX$39:DY39,EL45))</f>
        <v>-6.9859721392153351E-2</v>
      </c>
      <c r="EM53" s="337">
        <f>IRR(($DX$39:DZ39,EM45))</f>
        <v>-5.7711725967929395E-3</v>
      </c>
      <c r="EN53" s="337">
        <f>IRR(($DX$39:EA39,EN45))</f>
        <v>2.7000423497827608E-2</v>
      </c>
      <c r="EO53" s="337">
        <f>IRR(($DX$39:EB39,EO45))</f>
        <v>4.6443448474003945E-2</v>
      </c>
      <c r="EP53" s="337">
        <f>IRR(($DX$39:EC39,EP45))</f>
        <v>5.9073551369386745E-2</v>
      </c>
      <c r="EQ53" s="337">
        <f>IRR(($DX$39:ED39,EQ45))</f>
        <v>6.7720119866574224E-2</v>
      </c>
      <c r="ER53" s="337">
        <f>IRR(($DX$39:EE39,ER45))</f>
        <v>7.3987299964087816E-2</v>
      </c>
      <c r="ES53" s="337">
        <f>IRR(($DX$39:EF39,ES45))</f>
        <v>7.8568347002019312E-2</v>
      </c>
      <c r="ET53" s="338">
        <f>IRR(($DX$39:EG39,ET45))</f>
        <v>8.2053923756059355E-2</v>
      </c>
    </row>
    <row r="54" spans="2:150" ht="13.5" thickBot="1" x14ac:dyDescent="0.35">
      <c r="B54" s="206" t="s">
        <v>172</v>
      </c>
      <c r="C54" s="196">
        <f>C39*Summary!$C$22</f>
        <v>-234888.17038688518</v>
      </c>
      <c r="D54" s="210">
        <f t="shared" ref="D54:M54" si="160">SUM(D52:D53)</f>
        <v>31276.921801608703</v>
      </c>
      <c r="E54" s="210">
        <f t="shared" si="160"/>
        <v>29793.721801608699</v>
      </c>
      <c r="F54" s="210">
        <f t="shared" si="160"/>
        <v>29837.321801608698</v>
      </c>
      <c r="G54" s="210">
        <f t="shared" si="160"/>
        <v>17042.321801608698</v>
      </c>
      <c r="H54" s="210">
        <f t="shared" si="160"/>
        <v>34455.571801608705</v>
      </c>
      <c r="I54" s="210">
        <f t="shared" si="160"/>
        <v>32020.3718016087</v>
      </c>
      <c r="J54" s="210">
        <f t="shared" si="160"/>
        <v>10404.471801608699</v>
      </c>
      <c r="K54" s="210">
        <f t="shared" si="160"/>
        <v>34851.771801608702</v>
      </c>
      <c r="L54" s="210">
        <f t="shared" si="160"/>
        <v>15862.721801608699</v>
      </c>
      <c r="M54" s="211">
        <f t="shared" si="160"/>
        <v>25128.471801608699</v>
      </c>
      <c r="AA54" s="206" t="s">
        <v>172</v>
      </c>
      <c r="AB54" s="196">
        <f>AB39*Summary!$C$22</f>
        <v>-191832.23481828047</v>
      </c>
      <c r="AC54" s="210">
        <f t="shared" ref="AC54:AL54" si="161">SUM(AC52:AC53)</f>
        <v>14877.993354589209</v>
      </c>
      <c r="AD54" s="210">
        <f t="shared" si="161"/>
        <v>21862.393354589207</v>
      </c>
      <c r="AE54" s="210">
        <f t="shared" si="161"/>
        <v>30140.94335458921</v>
      </c>
      <c r="AF54" s="210">
        <f t="shared" si="161"/>
        <v>31053.44335458921</v>
      </c>
      <c r="AG54" s="210">
        <f t="shared" si="161"/>
        <v>31925.493354589209</v>
      </c>
      <c r="AH54" s="210">
        <f t="shared" si="161"/>
        <v>32336.843354589211</v>
      </c>
      <c r="AI54" s="210">
        <f t="shared" si="161"/>
        <v>32746.643354589211</v>
      </c>
      <c r="AJ54" s="210">
        <f t="shared" si="161"/>
        <v>33158.743354589213</v>
      </c>
      <c r="AK54" s="210">
        <f t="shared" si="161"/>
        <v>27906.19335458921</v>
      </c>
      <c r="AL54" s="211">
        <f t="shared" si="161"/>
        <v>22650.143354589207</v>
      </c>
      <c r="AZ54" s="206" t="s">
        <v>172</v>
      </c>
      <c r="BA54" s="196">
        <f>BA39*Summary!$C$22</f>
        <v>-246202.33884848165</v>
      </c>
      <c r="BB54" s="210">
        <f t="shared" ref="BB54:BK54" si="162">SUM(BB52:BB53)</f>
        <v>24058.679891151354</v>
      </c>
      <c r="BC54" s="210">
        <f t="shared" si="162"/>
        <v>31874.479891151354</v>
      </c>
      <c r="BD54" s="210">
        <f t="shared" si="162"/>
        <v>36012.929891151354</v>
      </c>
      <c r="BE54" s="210">
        <f t="shared" si="162"/>
        <v>36363.97989115135</v>
      </c>
      <c r="BF54" s="210">
        <f t="shared" si="162"/>
        <v>36711.529891151353</v>
      </c>
      <c r="BG54" s="210">
        <f t="shared" si="162"/>
        <v>37077.779891151353</v>
      </c>
      <c r="BH54" s="210">
        <f t="shared" si="162"/>
        <v>39946.579891151356</v>
      </c>
      <c r="BI54" s="210">
        <f t="shared" si="162"/>
        <v>40828.079891151356</v>
      </c>
      <c r="BJ54" s="210">
        <f t="shared" si="162"/>
        <v>41187.22989115135</v>
      </c>
      <c r="BK54" s="211">
        <f t="shared" si="162"/>
        <v>41498.47989115135</v>
      </c>
      <c r="BY54" s="206" t="s">
        <v>172</v>
      </c>
      <c r="BZ54" s="210">
        <f>BZ39*Summary!C22</f>
        <v>-469789.51882237382</v>
      </c>
      <c r="CA54" s="210">
        <f t="shared" ref="CA54:CJ54" si="163">SUM(CA52:CA53)</f>
        <v>53071.588238135082</v>
      </c>
      <c r="CB54" s="210">
        <f t="shared" si="163"/>
        <v>54251.188238135073</v>
      </c>
      <c r="CC54" s="210">
        <f t="shared" si="163"/>
        <v>55447.238238135076</v>
      </c>
      <c r="CD54" s="210">
        <f t="shared" si="163"/>
        <v>56675.588238135082</v>
      </c>
      <c r="CE54" s="210">
        <f t="shared" si="163"/>
        <v>57919.738238135076</v>
      </c>
      <c r="CF54" s="210">
        <f t="shared" si="163"/>
        <v>59188.938238135073</v>
      </c>
      <c r="CG54" s="210">
        <f t="shared" si="163"/>
        <v>60472.288238135079</v>
      </c>
      <c r="CH54" s="210">
        <f t="shared" si="163"/>
        <v>61776.238238135076</v>
      </c>
      <c r="CI54" s="210">
        <f t="shared" si="163"/>
        <v>63137.388238135085</v>
      </c>
      <c r="CJ54" s="211">
        <f t="shared" si="163"/>
        <v>64590.088238135082</v>
      </c>
      <c r="CX54" s="206" t="s">
        <v>172</v>
      </c>
      <c r="CY54" s="196">
        <f>CY39*Summary!$C$22</f>
        <v>-198850.12907378352</v>
      </c>
      <c r="CZ54" s="210">
        <f t="shared" ref="CZ54:DI54" si="164">SUM(CZ52:CZ53)</f>
        <v>22813.182110012101</v>
      </c>
      <c r="DA54" s="210">
        <f t="shared" si="164"/>
        <v>23397.332110012103</v>
      </c>
      <c r="DB54" s="210">
        <f t="shared" si="164"/>
        <v>23993.132110012106</v>
      </c>
      <c r="DC54" s="210">
        <f t="shared" si="164"/>
        <v>24600.832110012103</v>
      </c>
      <c r="DD54" s="210">
        <f t="shared" si="164"/>
        <v>25220.732110012104</v>
      </c>
      <c r="DE54" s="210">
        <f t="shared" si="164"/>
        <v>25853.032110012104</v>
      </c>
      <c r="DF54" s="210">
        <f t="shared" si="164"/>
        <v>26497.932110012101</v>
      </c>
      <c r="DG54" s="210">
        <f t="shared" si="164"/>
        <v>27155.782110012107</v>
      </c>
      <c r="DH54" s="210">
        <f t="shared" si="164"/>
        <v>27826.732110012104</v>
      </c>
      <c r="DI54" s="211">
        <f t="shared" si="164"/>
        <v>28511.132110012106</v>
      </c>
      <c r="DW54" s="206" t="s">
        <v>172</v>
      </c>
      <c r="DX54" s="196">
        <f>DX39*Summary!$C$22</f>
        <v>-474070.26482519531</v>
      </c>
      <c r="DY54" s="210">
        <f t="shared" ref="DY54:EH54" si="165">SUM(DY52:DY53)</f>
        <v>50826.330771111403</v>
      </c>
      <c r="DZ54" s="210">
        <f t="shared" si="165"/>
        <v>52142.980771111404</v>
      </c>
      <c r="EA54" s="210">
        <f t="shared" si="165"/>
        <v>53472.080771111403</v>
      </c>
      <c r="EB54" s="210">
        <f t="shared" si="165"/>
        <v>54837.380771111406</v>
      </c>
      <c r="EC54" s="210">
        <f t="shared" si="165"/>
        <v>56230.130771111406</v>
      </c>
      <c r="ED54" s="210">
        <f t="shared" si="165"/>
        <v>57652.980771111412</v>
      </c>
      <c r="EE54" s="210">
        <f t="shared" si="165"/>
        <v>59094.380771111406</v>
      </c>
      <c r="EF54" s="210">
        <f t="shared" si="165"/>
        <v>60580.930771111409</v>
      </c>
      <c r="EG54" s="210">
        <f t="shared" si="165"/>
        <v>62079.830771111403</v>
      </c>
      <c r="EH54" s="211">
        <f t="shared" si="165"/>
        <v>63614.980771111412</v>
      </c>
    </row>
    <row r="55" spans="2:150" ht="13.5" thickBot="1" x14ac:dyDescent="0.35">
      <c r="B55" s="145"/>
      <c r="C55" s="155"/>
      <c r="D55" s="155"/>
      <c r="E55" s="155"/>
      <c r="F55" s="155"/>
      <c r="G55" s="155"/>
      <c r="H55" s="155"/>
      <c r="I55" s="155"/>
      <c r="J55" s="155"/>
      <c r="K55" s="155"/>
      <c r="L55" s="155"/>
      <c r="M55" s="158"/>
      <c r="O55" s="512" t="s">
        <v>173</v>
      </c>
      <c r="P55" s="513"/>
      <c r="Q55" s="513"/>
      <c r="R55" s="513"/>
      <c r="S55" s="513"/>
      <c r="T55" s="513"/>
      <c r="U55" s="513"/>
      <c r="V55" s="513"/>
      <c r="W55" s="513"/>
      <c r="X55" s="513"/>
      <c r="Y55" s="514"/>
      <c r="AA55" s="145"/>
      <c r="AB55" s="155"/>
      <c r="AC55" s="155"/>
      <c r="AD55" s="155"/>
      <c r="AE55" s="155"/>
      <c r="AF55" s="155"/>
      <c r="AG55" s="155"/>
      <c r="AH55" s="155"/>
      <c r="AI55" s="155"/>
      <c r="AJ55" s="155"/>
      <c r="AK55" s="155"/>
      <c r="AL55" s="158"/>
      <c r="AN55" s="512" t="s">
        <v>173</v>
      </c>
      <c r="AO55" s="513"/>
      <c r="AP55" s="513"/>
      <c r="AQ55" s="513"/>
      <c r="AR55" s="513"/>
      <c r="AS55" s="513"/>
      <c r="AT55" s="513"/>
      <c r="AU55" s="513"/>
      <c r="AV55" s="513"/>
      <c r="AW55" s="513"/>
      <c r="AX55" s="514"/>
      <c r="AZ55" s="145"/>
      <c r="BA55" s="155"/>
      <c r="BB55" s="155"/>
      <c r="BC55" s="155"/>
      <c r="BD55" s="155"/>
      <c r="BE55" s="155"/>
      <c r="BF55" s="155"/>
      <c r="BG55" s="155"/>
      <c r="BH55" s="155"/>
      <c r="BI55" s="155"/>
      <c r="BJ55" s="155"/>
      <c r="BK55" s="158"/>
      <c r="BM55" s="512" t="s">
        <v>173</v>
      </c>
      <c r="BN55" s="513"/>
      <c r="BO55" s="513"/>
      <c r="BP55" s="513"/>
      <c r="BQ55" s="513"/>
      <c r="BR55" s="513"/>
      <c r="BS55" s="513"/>
      <c r="BT55" s="513"/>
      <c r="BU55" s="513"/>
      <c r="BV55" s="513"/>
      <c r="BW55" s="514"/>
      <c r="BY55" s="145"/>
      <c r="BZ55" s="155"/>
      <c r="CA55" s="155"/>
      <c r="CB55" s="155"/>
      <c r="CC55" s="155"/>
      <c r="CD55" s="155"/>
      <c r="CE55" s="155"/>
      <c r="CF55" s="155"/>
      <c r="CG55" s="155"/>
      <c r="CH55" s="155"/>
      <c r="CI55" s="155"/>
      <c r="CJ55" s="158"/>
      <c r="CL55" s="512" t="s">
        <v>173</v>
      </c>
      <c r="CM55" s="513"/>
      <c r="CN55" s="513"/>
      <c r="CO55" s="513"/>
      <c r="CP55" s="513"/>
      <c r="CQ55" s="513"/>
      <c r="CR55" s="513"/>
      <c r="CS55" s="513"/>
      <c r="CT55" s="513"/>
      <c r="CU55" s="513"/>
      <c r="CV55" s="514"/>
      <c r="CX55" s="145"/>
      <c r="CY55" s="155"/>
      <c r="CZ55" s="155"/>
      <c r="DA55" s="155"/>
      <c r="DB55" s="155"/>
      <c r="DC55" s="155"/>
      <c r="DD55" s="155"/>
      <c r="DE55" s="155"/>
      <c r="DF55" s="155"/>
      <c r="DG55" s="155"/>
      <c r="DH55" s="155"/>
      <c r="DI55" s="158"/>
      <c r="DK55" s="512" t="s">
        <v>173</v>
      </c>
      <c r="DL55" s="513"/>
      <c r="DM55" s="513"/>
      <c r="DN55" s="513"/>
      <c r="DO55" s="513"/>
      <c r="DP55" s="513"/>
      <c r="DQ55" s="513"/>
      <c r="DR55" s="513"/>
      <c r="DS55" s="513"/>
      <c r="DT55" s="513"/>
      <c r="DU55" s="514"/>
      <c r="DW55" s="145"/>
      <c r="DX55" s="155"/>
      <c r="DY55" s="155"/>
      <c r="DZ55" s="155"/>
      <c r="EA55" s="155"/>
      <c r="EB55" s="155"/>
      <c r="EC55" s="155"/>
      <c r="ED55" s="155"/>
      <c r="EE55" s="155"/>
      <c r="EF55" s="155"/>
      <c r="EG55" s="155"/>
      <c r="EH55" s="158"/>
      <c r="EJ55" s="512" t="s">
        <v>173</v>
      </c>
      <c r="EK55" s="513"/>
      <c r="EL55" s="513"/>
      <c r="EM55" s="513"/>
      <c r="EN55" s="513"/>
      <c r="EO55" s="513"/>
      <c r="EP55" s="513"/>
      <c r="EQ55" s="513"/>
      <c r="ER55" s="513"/>
      <c r="ES55" s="513"/>
      <c r="ET55" s="514"/>
    </row>
    <row r="56" spans="2:150" ht="13.5" thickBot="1" x14ac:dyDescent="0.35">
      <c r="B56" s="145"/>
      <c r="C56" s="155"/>
      <c r="D56" s="221">
        <f>'Property-Level CF'!C39*Summary!$C$22</f>
        <v>-234888.17038688518</v>
      </c>
      <c r="E56" s="221">
        <f t="shared" ref="E56:M56" si="166">D56</f>
        <v>-234888.17038688518</v>
      </c>
      <c r="F56" s="221">
        <f t="shared" si="166"/>
        <v>-234888.17038688518</v>
      </c>
      <c r="G56" s="221">
        <f t="shared" si="166"/>
        <v>-234888.17038688518</v>
      </c>
      <c r="H56" s="221">
        <f t="shared" si="166"/>
        <v>-234888.17038688518</v>
      </c>
      <c r="I56" s="221">
        <f t="shared" si="166"/>
        <v>-234888.17038688518</v>
      </c>
      <c r="J56" s="221">
        <f t="shared" si="166"/>
        <v>-234888.17038688518</v>
      </c>
      <c r="K56" s="221">
        <f t="shared" si="166"/>
        <v>-234888.17038688518</v>
      </c>
      <c r="L56" s="221">
        <f t="shared" si="166"/>
        <v>-234888.17038688518</v>
      </c>
      <c r="M56" s="247">
        <f t="shared" si="166"/>
        <v>-234888.17038688518</v>
      </c>
      <c r="O56" s="3" t="s">
        <v>11</v>
      </c>
      <c r="P56" s="287" t="str">
        <f>P48</f>
        <v>Year 1</v>
      </c>
      <c r="Q56" s="287" t="str">
        <f t="shared" ref="Q56:Y56" si="167">Q48</f>
        <v>Year 2</v>
      </c>
      <c r="R56" s="287" t="str">
        <f t="shared" si="167"/>
        <v>Year 3</v>
      </c>
      <c r="S56" s="287" t="str">
        <f t="shared" si="167"/>
        <v>Year 4</v>
      </c>
      <c r="T56" s="287" t="str">
        <f t="shared" si="167"/>
        <v>Year 5</v>
      </c>
      <c r="U56" s="287" t="str">
        <f t="shared" si="167"/>
        <v>Year 6</v>
      </c>
      <c r="V56" s="287" t="str">
        <f t="shared" si="167"/>
        <v>Year 7</v>
      </c>
      <c r="W56" s="287" t="str">
        <f t="shared" si="167"/>
        <v>Year 8</v>
      </c>
      <c r="X56" s="287" t="str">
        <f t="shared" si="167"/>
        <v>Year 9</v>
      </c>
      <c r="Y56" s="288" t="str">
        <f t="shared" si="167"/>
        <v>Year 10</v>
      </c>
      <c r="AA56" s="145"/>
      <c r="AB56" s="155"/>
      <c r="AC56" s="221">
        <f>'Property-Level CF'!AB39*Summary!$C$22</f>
        <v>-191832.23481828047</v>
      </c>
      <c r="AD56" s="221">
        <f t="shared" ref="AD56:AL56" si="168">AC56</f>
        <v>-191832.23481828047</v>
      </c>
      <c r="AE56" s="221">
        <f t="shared" si="168"/>
        <v>-191832.23481828047</v>
      </c>
      <c r="AF56" s="221">
        <f t="shared" si="168"/>
        <v>-191832.23481828047</v>
      </c>
      <c r="AG56" s="221">
        <f t="shared" si="168"/>
        <v>-191832.23481828047</v>
      </c>
      <c r="AH56" s="221">
        <f t="shared" si="168"/>
        <v>-191832.23481828047</v>
      </c>
      <c r="AI56" s="221">
        <f t="shared" si="168"/>
        <v>-191832.23481828047</v>
      </c>
      <c r="AJ56" s="221">
        <f t="shared" si="168"/>
        <v>-191832.23481828047</v>
      </c>
      <c r="AK56" s="221">
        <f t="shared" si="168"/>
        <v>-191832.23481828047</v>
      </c>
      <c r="AL56" s="247">
        <f t="shared" si="168"/>
        <v>-191832.23481828047</v>
      </c>
      <c r="AN56" s="3" t="s">
        <v>11</v>
      </c>
      <c r="AO56" s="287" t="s">
        <v>114</v>
      </c>
      <c r="AP56" s="287" t="s">
        <v>115</v>
      </c>
      <c r="AQ56" s="287" t="s">
        <v>116</v>
      </c>
      <c r="AR56" s="287" t="s">
        <v>117</v>
      </c>
      <c r="AS56" s="287" t="s">
        <v>118</v>
      </c>
      <c r="AT56" s="287" t="s">
        <v>119</v>
      </c>
      <c r="AU56" s="287" t="s">
        <v>120</v>
      </c>
      <c r="AV56" s="287" t="s">
        <v>121</v>
      </c>
      <c r="AW56" s="287" t="s">
        <v>122</v>
      </c>
      <c r="AX56" s="288" t="s">
        <v>123</v>
      </c>
      <c r="AZ56" s="145"/>
      <c r="BA56" s="155"/>
      <c r="BB56" s="221">
        <f>'Property-Level CF'!BA39*Summary!$C$22</f>
        <v>-246202.33884848165</v>
      </c>
      <c r="BC56" s="221">
        <f t="shared" ref="BC56:BK56" si="169">BB56</f>
        <v>-246202.33884848165</v>
      </c>
      <c r="BD56" s="221">
        <f t="shared" si="169"/>
        <v>-246202.33884848165</v>
      </c>
      <c r="BE56" s="221">
        <f t="shared" si="169"/>
        <v>-246202.33884848165</v>
      </c>
      <c r="BF56" s="221">
        <f t="shared" si="169"/>
        <v>-246202.33884848165</v>
      </c>
      <c r="BG56" s="221">
        <f t="shared" si="169"/>
        <v>-246202.33884848165</v>
      </c>
      <c r="BH56" s="221">
        <f t="shared" si="169"/>
        <v>-246202.33884848165</v>
      </c>
      <c r="BI56" s="221">
        <f t="shared" si="169"/>
        <v>-246202.33884848165</v>
      </c>
      <c r="BJ56" s="221">
        <f t="shared" si="169"/>
        <v>-246202.33884848165</v>
      </c>
      <c r="BK56" s="247">
        <f t="shared" si="169"/>
        <v>-246202.33884848165</v>
      </c>
      <c r="BM56" s="3" t="s">
        <v>11</v>
      </c>
      <c r="BN56" s="287" t="s">
        <v>114</v>
      </c>
      <c r="BO56" s="287" t="s">
        <v>115</v>
      </c>
      <c r="BP56" s="287" t="s">
        <v>116</v>
      </c>
      <c r="BQ56" s="287" t="s">
        <v>117</v>
      </c>
      <c r="BR56" s="287" t="s">
        <v>118</v>
      </c>
      <c r="BS56" s="287" t="s">
        <v>119</v>
      </c>
      <c r="BT56" s="287" t="s">
        <v>120</v>
      </c>
      <c r="BU56" s="287" t="s">
        <v>121</v>
      </c>
      <c r="BV56" s="287" t="s">
        <v>122</v>
      </c>
      <c r="BW56" s="288" t="s">
        <v>123</v>
      </c>
      <c r="BY56" s="145"/>
      <c r="BZ56" s="155"/>
      <c r="CA56" s="221">
        <f>BZ54</f>
        <v>-469789.51882237382</v>
      </c>
      <c r="CB56" s="221">
        <f>BZ54</f>
        <v>-469789.51882237382</v>
      </c>
      <c r="CC56" s="221">
        <f t="shared" ref="CC56:CJ57" si="170">CB56</f>
        <v>-469789.51882237382</v>
      </c>
      <c r="CD56" s="221">
        <f t="shared" si="170"/>
        <v>-469789.51882237382</v>
      </c>
      <c r="CE56" s="221">
        <f t="shared" si="170"/>
        <v>-469789.51882237382</v>
      </c>
      <c r="CF56" s="221">
        <f t="shared" si="170"/>
        <v>-469789.51882237382</v>
      </c>
      <c r="CG56" s="221">
        <f t="shared" si="170"/>
        <v>-469789.51882237382</v>
      </c>
      <c r="CH56" s="221">
        <f t="shared" si="170"/>
        <v>-469789.51882237382</v>
      </c>
      <c r="CI56" s="221">
        <f t="shared" si="170"/>
        <v>-469789.51882237382</v>
      </c>
      <c r="CJ56" s="247">
        <f t="shared" si="170"/>
        <v>-469789.51882237382</v>
      </c>
      <c r="CL56" s="3" t="s">
        <v>11</v>
      </c>
      <c r="CM56" s="287" t="s">
        <v>114</v>
      </c>
      <c r="CN56" s="287" t="s">
        <v>115</v>
      </c>
      <c r="CO56" s="287" t="s">
        <v>116</v>
      </c>
      <c r="CP56" s="287" t="s">
        <v>117</v>
      </c>
      <c r="CQ56" s="287" t="s">
        <v>118</v>
      </c>
      <c r="CR56" s="287" t="s">
        <v>119</v>
      </c>
      <c r="CS56" s="287" t="s">
        <v>120</v>
      </c>
      <c r="CT56" s="287" t="s">
        <v>121</v>
      </c>
      <c r="CU56" s="287" t="s">
        <v>122</v>
      </c>
      <c r="CV56" s="288" t="s">
        <v>123</v>
      </c>
      <c r="CX56" s="145"/>
      <c r="CY56" s="155"/>
      <c r="CZ56" s="221">
        <f>'Property-Level CF'!CY39*Summary!$C$22</f>
        <v>-198850.12907378352</v>
      </c>
      <c r="DA56" s="221">
        <f t="shared" ref="DA56:DI56" si="171">CZ56</f>
        <v>-198850.12907378352</v>
      </c>
      <c r="DB56" s="221">
        <f t="shared" si="171"/>
        <v>-198850.12907378352</v>
      </c>
      <c r="DC56" s="221">
        <f t="shared" si="171"/>
        <v>-198850.12907378352</v>
      </c>
      <c r="DD56" s="221">
        <f t="shared" si="171"/>
        <v>-198850.12907378352</v>
      </c>
      <c r="DE56" s="221">
        <f t="shared" si="171"/>
        <v>-198850.12907378352</v>
      </c>
      <c r="DF56" s="221">
        <f t="shared" si="171"/>
        <v>-198850.12907378352</v>
      </c>
      <c r="DG56" s="221">
        <f t="shared" si="171"/>
        <v>-198850.12907378352</v>
      </c>
      <c r="DH56" s="221">
        <f t="shared" si="171"/>
        <v>-198850.12907378352</v>
      </c>
      <c r="DI56" s="247">
        <f t="shared" si="171"/>
        <v>-198850.12907378352</v>
      </c>
      <c r="DK56" s="3" t="s">
        <v>11</v>
      </c>
      <c r="DL56" s="287" t="s">
        <v>114</v>
      </c>
      <c r="DM56" s="287" t="s">
        <v>115</v>
      </c>
      <c r="DN56" s="287" t="s">
        <v>116</v>
      </c>
      <c r="DO56" s="287" t="s">
        <v>117</v>
      </c>
      <c r="DP56" s="287" t="s">
        <v>118</v>
      </c>
      <c r="DQ56" s="287" t="s">
        <v>119</v>
      </c>
      <c r="DR56" s="287" t="s">
        <v>120</v>
      </c>
      <c r="DS56" s="287" t="s">
        <v>121</v>
      </c>
      <c r="DT56" s="287" t="s">
        <v>122</v>
      </c>
      <c r="DU56" s="288" t="s">
        <v>123</v>
      </c>
      <c r="DW56" s="145"/>
      <c r="DX56" s="155"/>
      <c r="DY56" s="221">
        <f>'Property-Level CF'!DX39*Summary!$C$22</f>
        <v>-474070.26482519531</v>
      </c>
      <c r="DZ56" s="221">
        <f t="shared" ref="DZ56:EH56" si="172">DY56</f>
        <v>-474070.26482519531</v>
      </c>
      <c r="EA56" s="221">
        <f t="shared" si="172"/>
        <v>-474070.26482519531</v>
      </c>
      <c r="EB56" s="221">
        <f t="shared" si="172"/>
        <v>-474070.26482519531</v>
      </c>
      <c r="EC56" s="221">
        <f t="shared" si="172"/>
        <v>-474070.26482519531</v>
      </c>
      <c r="ED56" s="221">
        <f t="shared" si="172"/>
        <v>-474070.26482519531</v>
      </c>
      <c r="EE56" s="221">
        <f t="shared" si="172"/>
        <v>-474070.26482519531</v>
      </c>
      <c r="EF56" s="221">
        <f t="shared" si="172"/>
        <v>-474070.26482519531</v>
      </c>
      <c r="EG56" s="221">
        <f t="shared" si="172"/>
        <v>-474070.26482519531</v>
      </c>
      <c r="EH56" s="247">
        <f t="shared" si="172"/>
        <v>-474070.26482519531</v>
      </c>
      <c r="EJ56" s="3" t="s">
        <v>11</v>
      </c>
      <c r="EK56" s="287" t="s">
        <v>114</v>
      </c>
      <c r="EL56" s="287" t="s">
        <v>115</v>
      </c>
      <c r="EM56" s="287" t="s">
        <v>116</v>
      </c>
      <c r="EN56" s="287" t="s">
        <v>117</v>
      </c>
      <c r="EO56" s="287" t="s">
        <v>118</v>
      </c>
      <c r="EP56" s="287" t="s">
        <v>119</v>
      </c>
      <c r="EQ56" s="287" t="s">
        <v>120</v>
      </c>
      <c r="ER56" s="287" t="s">
        <v>121</v>
      </c>
      <c r="ES56" s="287" t="s">
        <v>122</v>
      </c>
      <c r="ET56" s="288" t="s">
        <v>123</v>
      </c>
    </row>
    <row r="57" spans="2:150" x14ac:dyDescent="0.3">
      <c r="B57" s="145"/>
      <c r="C57" s="155"/>
      <c r="D57" s="221">
        <f>D54+('Property-Level CF'!D33*Summary!$C$22)</f>
        <v>240327.3934459365</v>
      </c>
      <c r="E57" s="221">
        <f>D54</f>
        <v>31276.921801608703</v>
      </c>
      <c r="F57" s="221">
        <f t="shared" ref="F57:M57" si="173">E57</f>
        <v>31276.921801608703</v>
      </c>
      <c r="G57" s="221">
        <f t="shared" si="173"/>
        <v>31276.921801608703</v>
      </c>
      <c r="H57" s="221">
        <f t="shared" si="173"/>
        <v>31276.921801608703</v>
      </c>
      <c r="I57" s="221">
        <f t="shared" si="173"/>
        <v>31276.921801608703</v>
      </c>
      <c r="J57" s="221">
        <f t="shared" si="173"/>
        <v>31276.921801608703</v>
      </c>
      <c r="K57" s="221">
        <f t="shared" si="173"/>
        <v>31276.921801608703</v>
      </c>
      <c r="L57" s="221">
        <f t="shared" si="173"/>
        <v>31276.921801608703</v>
      </c>
      <c r="M57" s="247">
        <f t="shared" si="173"/>
        <v>31276.921801608703</v>
      </c>
      <c r="O57" s="291">
        <f>O33</f>
        <v>5.7000000000000002E-2</v>
      </c>
      <c r="P57" s="342">
        <f>((P33-Summary!$I$24)*Summary!$C$22)+D$54</f>
        <v>250244.90630867155</v>
      </c>
      <c r="Q57" s="342">
        <f>((Q33-Summary!$I$24)*Summary!$C$22)+E$54</f>
        <v>262144.2681507768</v>
      </c>
      <c r="R57" s="342">
        <f>((R33-Summary!$I$24)*Summary!$C$22)+F$54</f>
        <v>269765.16288761888</v>
      </c>
      <c r="S57" s="342">
        <f>((S33-Summary!$I$24)*Summary!$C$22)+G$54</f>
        <v>253930.47341393464</v>
      </c>
      <c r="T57" s="342">
        <f>((T33-Summary!$I$24)*Summary!$C$22)+H$54</f>
        <v>306182.07341393479</v>
      </c>
      <c r="U57" s="342">
        <f>((U33-Summary!$I$24)*Summary!$C$22)+I$54</f>
        <v>262668.89446656627</v>
      </c>
      <c r="V57" s="342">
        <f>((V33-Summary!$I$24)*Summary!$C$22)+J$54</f>
        <v>254104.9352560399</v>
      </c>
      <c r="W57" s="342">
        <f>((W33-Summary!$I$24)*Summary!$C$22)+K$54</f>
        <v>313261.54183498747</v>
      </c>
      <c r="X57" s="342">
        <f>((X33-Summary!$I$24)*Summary!$C$22)+L$54</f>
        <v>289005.32736130309</v>
      </c>
      <c r="Y57" s="343">
        <f>((Y33-Summary!$I$24)*Summary!$C$22)+M$54</f>
        <v>335196.0510455136</v>
      </c>
      <c r="AA57" s="145"/>
      <c r="AB57" s="155"/>
      <c r="AC57" s="221">
        <f>AC54+('Property-Level CF'!AC33*Summary!$C$22)</f>
        <v>185608.6823428589</v>
      </c>
      <c r="AD57" s="221">
        <f>AC54</f>
        <v>14877.993354589209</v>
      </c>
      <c r="AE57" s="221">
        <f t="shared" ref="AE57:AL57" si="174">AD57</f>
        <v>14877.993354589209</v>
      </c>
      <c r="AF57" s="221">
        <f t="shared" si="174"/>
        <v>14877.993354589209</v>
      </c>
      <c r="AG57" s="221">
        <f t="shared" si="174"/>
        <v>14877.993354589209</v>
      </c>
      <c r="AH57" s="221">
        <f t="shared" si="174"/>
        <v>14877.993354589209</v>
      </c>
      <c r="AI57" s="221">
        <f t="shared" si="174"/>
        <v>14877.993354589209</v>
      </c>
      <c r="AJ57" s="221">
        <f t="shared" si="174"/>
        <v>14877.993354589209</v>
      </c>
      <c r="AK57" s="221">
        <f t="shared" si="174"/>
        <v>14877.993354589209</v>
      </c>
      <c r="AL57" s="247">
        <f t="shared" si="174"/>
        <v>14877.993354589209</v>
      </c>
      <c r="AN57" s="291">
        <f>AN33</f>
        <v>5.1999999999999998E-2</v>
      </c>
      <c r="AO57" s="342">
        <f>((AO33-Summary!$I$25)*Summary!$C$22)+AC$54</f>
        <v>48109.75994206834</v>
      </c>
      <c r="AP57" s="342">
        <f>((AP33-Summary!$I$25)*Summary!$C$22)+AD$54</f>
        <v>184238.40224976066</v>
      </c>
      <c r="AQ57" s="342">
        <f>((AQ33-Summary!$I$25)*Summary!$C$22)+AE$54</f>
        <v>345590.52580745309</v>
      </c>
      <c r="AR57" s="342">
        <f>((AR33-Summary!$I$25)*Summary!$C$22)+AF$54</f>
        <v>363375.50176899147</v>
      </c>
      <c r="AS57" s="342">
        <f>((AS33-Summary!$I$25)*Summary!$C$22)+AG$54</f>
        <v>380372.09167283768</v>
      </c>
      <c r="AT57" s="342">
        <f>((AT33-Summary!$I$25)*Summary!$C$22)+AH$54</f>
        <v>388389.46138437605</v>
      </c>
      <c r="AU57" s="342">
        <f>((AU33-Summary!$I$25)*Summary!$C$22)+AI$54</f>
        <v>396376.62099976081</v>
      </c>
      <c r="AV57" s="342">
        <f>((AV33-Summary!$I$25)*Summary!$C$22)+AJ$54</f>
        <v>404408.60849976074</v>
      </c>
      <c r="AW57" s="342">
        <f>((AW33-Summary!$I$25)*Summary!$C$22)+AK$54</f>
        <v>399402.90513437608</v>
      </c>
      <c r="AX57" s="343">
        <f>((AX33-Summary!$I$25)*Summary!$C$22)+AL$54</f>
        <v>397705.32965360698</v>
      </c>
      <c r="AZ57" s="145"/>
      <c r="BA57" s="155"/>
      <c r="BB57" s="221">
        <f>BB54+('Property-Level CF'!BB33*Summary!$C$22)</f>
        <v>243178.7614663</v>
      </c>
      <c r="BC57" s="221">
        <f>BB54</f>
        <v>24058.679891151354</v>
      </c>
      <c r="BD57" s="221">
        <f t="shared" ref="BD57:BK57" si="175">BC57</f>
        <v>24058.679891151354</v>
      </c>
      <c r="BE57" s="221">
        <f t="shared" si="175"/>
        <v>24058.679891151354</v>
      </c>
      <c r="BF57" s="221">
        <f t="shared" si="175"/>
        <v>24058.679891151354</v>
      </c>
      <c r="BG57" s="221">
        <f t="shared" si="175"/>
        <v>24058.679891151354</v>
      </c>
      <c r="BH57" s="221">
        <f t="shared" si="175"/>
        <v>24058.679891151354</v>
      </c>
      <c r="BI57" s="221">
        <f t="shared" si="175"/>
        <v>24058.679891151354</v>
      </c>
      <c r="BJ57" s="221">
        <f t="shared" si="175"/>
        <v>24058.679891151354</v>
      </c>
      <c r="BK57" s="247">
        <f t="shared" si="175"/>
        <v>24058.679891151354</v>
      </c>
      <c r="BM57" s="291">
        <f>BM33</f>
        <v>4.3999999999999997E-2</v>
      </c>
      <c r="BN57" s="342">
        <f>((BN33-Summary!$I$26)*Summary!$C$22)+BB$54</f>
        <v>264239.95636410097</v>
      </c>
      <c r="BO57" s="342">
        <f>((BO33-Summary!$I$26)*Summary!$C$22)+BC$54</f>
        <v>442848.74954591924</v>
      </c>
      <c r="BP57" s="342">
        <f>((BP33-Summary!$I$26)*Summary!$C$22)+BD$54</f>
        <v>537421.73761410103</v>
      </c>
      <c r="BQ57" s="342">
        <f>((BQ33-Summary!$I$26)*Summary!$C$22)+BE$54</f>
        <v>545444.02795501007</v>
      </c>
      <c r="BR57" s="342">
        <f>((BR33-Summary!$I$26)*Summary!$C$22)+BF$54</f>
        <v>553386.33534137369</v>
      </c>
      <c r="BS57" s="342">
        <f>((BS33-Summary!$I$26)*Summary!$C$22)+BG$54</f>
        <v>561755.98022773745</v>
      </c>
      <c r="BT57" s="342">
        <f>((BT33-Summary!$I$26)*Summary!$C$22)+BH$54</f>
        <v>627314.58022773743</v>
      </c>
      <c r="BU57" s="342">
        <f>((BU33-Summary!$I$26)*Summary!$C$22)+BI$54</f>
        <v>647458.85863682826</v>
      </c>
      <c r="BV57" s="342">
        <f>((BV33-Summary!$I$26)*Summary!$C$22)+BJ$54</f>
        <v>655666.25238682819</v>
      </c>
      <c r="BW57" s="343">
        <f>((BW33-Summary!$I$26)*Summary!$C$22)+BK$54</f>
        <v>662779.02227319183</v>
      </c>
      <c r="BY57" s="145"/>
      <c r="BZ57" s="155"/>
      <c r="CA57" s="221">
        <f>CA54+(CA33*Summary!C22)</f>
        <v>471184.25999004778</v>
      </c>
      <c r="CB57" s="221">
        <f>CA54</f>
        <v>53071.588238135082</v>
      </c>
      <c r="CC57" s="221">
        <f t="shared" si="170"/>
        <v>53071.588238135082</v>
      </c>
      <c r="CD57" s="221">
        <f t="shared" si="170"/>
        <v>53071.588238135082</v>
      </c>
      <c r="CE57" s="221">
        <f t="shared" si="170"/>
        <v>53071.588238135082</v>
      </c>
      <c r="CF57" s="221">
        <f t="shared" si="170"/>
        <v>53071.588238135082</v>
      </c>
      <c r="CG57" s="221">
        <f t="shared" si="170"/>
        <v>53071.588238135082</v>
      </c>
      <c r="CH57" s="221">
        <f t="shared" si="170"/>
        <v>53071.588238135082</v>
      </c>
      <c r="CI57" s="221">
        <f t="shared" si="170"/>
        <v>53071.588238135082</v>
      </c>
      <c r="CJ57" s="247">
        <f t="shared" si="170"/>
        <v>53071.588238135082</v>
      </c>
      <c r="CL57" s="291">
        <f>CL33</f>
        <v>0.05</v>
      </c>
      <c r="CM57" s="342">
        <f>((CM33-Summary!$I$27)*Summary!$C$22)+CA$54</f>
        <v>482695.5609965836</v>
      </c>
      <c r="CN57" s="342">
        <f>((CN33-Summary!$I$27)*Summary!$C$22)+CB$54</f>
        <v>506558.86899658362</v>
      </c>
      <c r="CO57" s="342">
        <f>((CO33-Summary!$I$27)*Summary!$C$22)+CC$54</f>
        <v>530754.96049658349</v>
      </c>
      <c r="CP57" s="342">
        <f>((CP33-Summary!$I$27)*Summary!$C$22)+CD$54</f>
        <v>555604.48099658347</v>
      </c>
      <c r="CQ57" s="342">
        <f>((CQ33-Summary!$I$27)*Summary!$C$22)+CE$54</f>
        <v>580773.63549658353</v>
      </c>
      <c r="CR57" s="342">
        <f>((CR33-Summary!$I$27)*Summary!$C$22)+CF$54</f>
        <v>606449.5514965835</v>
      </c>
      <c r="CS57" s="342">
        <f>((CS33-Summary!$I$27)*Summary!$C$22)+CG$54</f>
        <v>632411.72199658351</v>
      </c>
      <c r="CT57" s="342">
        <f>((CT33-Summary!$I$27)*Summary!$C$22)+CH$54</f>
        <v>658790.63049658365</v>
      </c>
      <c r="CU57" s="342">
        <f>((CU33-Summary!$I$27)*Summary!$C$22)+CI$54</f>
        <v>686326.69499658351</v>
      </c>
      <c r="CV57" s="343">
        <f>((CV33-Summary!$I$27)*Summary!$C$22)+CJ$54</f>
        <v>715714.81599658355</v>
      </c>
      <c r="CX57" s="145"/>
      <c r="CY57" s="155"/>
      <c r="CZ57" s="221">
        <f>CZ54+('Property-Level CF'!CZ33*Summary!$C$22)</f>
        <v>199789.79698567942</v>
      </c>
      <c r="DA57" s="221">
        <f>CZ54</f>
        <v>22813.182110012101</v>
      </c>
      <c r="DB57" s="221">
        <f t="shared" ref="DB57:DI57" si="176">DA57</f>
        <v>22813.182110012101</v>
      </c>
      <c r="DC57" s="221">
        <f t="shared" si="176"/>
        <v>22813.182110012101</v>
      </c>
      <c r="DD57" s="221">
        <f t="shared" si="176"/>
        <v>22813.182110012101</v>
      </c>
      <c r="DE57" s="221">
        <f t="shared" si="176"/>
        <v>22813.182110012101</v>
      </c>
      <c r="DF57" s="221">
        <f t="shared" si="176"/>
        <v>22813.182110012101</v>
      </c>
      <c r="DG57" s="221">
        <f t="shared" si="176"/>
        <v>22813.182110012101</v>
      </c>
      <c r="DH57" s="221">
        <f t="shared" si="176"/>
        <v>22813.182110012101</v>
      </c>
      <c r="DI57" s="247">
        <f t="shared" si="176"/>
        <v>22813.182110012101</v>
      </c>
      <c r="DK57" s="291">
        <f>DK33</f>
        <v>5.0999999999999997E-2</v>
      </c>
      <c r="DL57" s="342">
        <f>((DL33-Summary!$I$28)*Summary!$C$22)+CZ$54</f>
        <v>204147.56908222934</v>
      </c>
      <c r="DM57" s="342">
        <f>((DM33-Summary!$I$28)*Summary!$C$22)+DA$54</f>
        <v>215744.66467046461</v>
      </c>
      <c r="DN57" s="342">
        <f>((DN33-Summary!$I$28)*Summary!$C$22)+DB$54</f>
        <v>227573.04702340582</v>
      </c>
      <c r="DO57" s="342">
        <f>((DO33-Summary!$I$28)*Summary!$C$22)+DC$54</f>
        <v>239637.67937634702</v>
      </c>
      <c r="DP57" s="342">
        <f>((DP33-Summary!$I$28)*Summary!$C$22)+DD$54</f>
        <v>251944.51761164109</v>
      </c>
      <c r="DQ57" s="342">
        <f>((DQ33-Summary!$I$28)*Summary!$C$22)+DE$54</f>
        <v>264497.53231752338</v>
      </c>
      <c r="DR57" s="342">
        <f>((DR33-Summary!$I$28)*Summary!$C$22)+DF$54</f>
        <v>277300.69408222934</v>
      </c>
      <c r="DS57" s="342">
        <f>((DS33-Summary!$I$28)*Summary!$C$22)+DG$54</f>
        <v>290360.95143517049</v>
      </c>
      <c r="DT57" s="342">
        <f>((DT33-Summary!$I$28)*Summary!$C$22)+DH$54</f>
        <v>303681.28231752338</v>
      </c>
      <c r="DU57" s="343">
        <f>((DU33-Summary!$I$28)*Summary!$C$22)+DI$54</f>
        <v>317268.63525869988</v>
      </c>
      <c r="DW57" s="145"/>
      <c r="DX57" s="155"/>
      <c r="DY57" s="221">
        <f>DY54+('Property-Level CF'!DY33*Summary!$C$22)</f>
        <v>472748.86646553531</v>
      </c>
      <c r="DZ57" s="221">
        <f>DY54</f>
        <v>50826.330771111403</v>
      </c>
      <c r="EA57" s="221">
        <f t="shared" ref="EA57:EH57" si="177">DZ57</f>
        <v>50826.330771111403</v>
      </c>
      <c r="EB57" s="221">
        <f t="shared" si="177"/>
        <v>50826.330771111403</v>
      </c>
      <c r="EC57" s="221">
        <f t="shared" si="177"/>
        <v>50826.330771111403</v>
      </c>
      <c r="ED57" s="221">
        <f t="shared" si="177"/>
        <v>50826.330771111403</v>
      </c>
      <c r="EE57" s="221">
        <f t="shared" si="177"/>
        <v>50826.330771111403</v>
      </c>
      <c r="EF57" s="221">
        <f t="shared" si="177"/>
        <v>50826.330771111403</v>
      </c>
      <c r="EG57" s="221">
        <f t="shared" si="177"/>
        <v>50826.330771111403</v>
      </c>
      <c r="EH57" s="247">
        <f t="shared" si="177"/>
        <v>50826.330771111403</v>
      </c>
      <c r="EJ57" s="291">
        <f>EJ33</f>
        <v>4.8000000000000001E-2</v>
      </c>
      <c r="EK57" s="342">
        <f>((EK33-Summary!$I$29)*Summary!$C$22)+DY$54</f>
        <v>484006.41685467726</v>
      </c>
      <c r="EL57" s="342">
        <f>((EL33-Summary!$I$29)*Summary!$C$22)+DZ$54</f>
        <v>511697.21216717723</v>
      </c>
      <c r="EM57" s="342">
        <f>((EM33-Summary!$I$29)*Summary!$C$22)+EA$54</f>
        <v>539649.84654217726</v>
      </c>
      <c r="EN57" s="342">
        <f>((EN33-Summary!$I$29)*Summary!$C$22)+EB$54</f>
        <v>568363.81216717721</v>
      </c>
      <c r="EO57" s="342">
        <f>((EO33-Summary!$I$29)*Summary!$C$22)+EC$54</f>
        <v>597655.08560467721</v>
      </c>
      <c r="EP57" s="342">
        <f>((EP33-Summary!$I$29)*Summary!$C$22)+ED$54</f>
        <v>627579.39966717735</v>
      </c>
      <c r="EQ57" s="342">
        <f>((EQ33-Summary!$I$29)*Summary!$C$22)+EE$54</f>
        <v>657893.84341717721</v>
      </c>
      <c r="ER57" s="342">
        <f>((ER33-Summary!$I$29)*Summary!$C$22)+EF$54</f>
        <v>689157.84810467728</v>
      </c>
      <c r="ES57" s="342">
        <f>((ES33-Summary!$I$29)*Summary!$C$22)+EG$54</f>
        <v>720681.58872967726</v>
      </c>
      <c r="ET57" s="343">
        <f>((ET33-Summary!$I$29)*Summary!$C$22)+EH$54</f>
        <v>752967.71216717735</v>
      </c>
    </row>
    <row r="58" spans="2:150" x14ac:dyDescent="0.3">
      <c r="B58" s="145"/>
      <c r="C58" s="155"/>
      <c r="D58" s="155"/>
      <c r="E58" s="221">
        <f>E54+('Property-Level CF'!E33*Summary!$C$22)</f>
        <v>245875.96682856965</v>
      </c>
      <c r="F58" s="221">
        <f>E54</f>
        <v>29793.721801608699</v>
      </c>
      <c r="G58" s="221">
        <f t="shared" ref="G58:M58" si="178">F58</f>
        <v>29793.721801608699</v>
      </c>
      <c r="H58" s="221">
        <f t="shared" si="178"/>
        <v>29793.721801608699</v>
      </c>
      <c r="I58" s="221">
        <f t="shared" si="178"/>
        <v>29793.721801608699</v>
      </c>
      <c r="J58" s="221">
        <f t="shared" si="178"/>
        <v>29793.721801608699</v>
      </c>
      <c r="K58" s="221">
        <f t="shared" si="178"/>
        <v>29793.721801608699</v>
      </c>
      <c r="L58" s="221">
        <f t="shared" si="178"/>
        <v>29793.721801608699</v>
      </c>
      <c r="M58" s="247">
        <f t="shared" si="178"/>
        <v>29793.721801608699</v>
      </c>
      <c r="O58" s="289">
        <f>O34</f>
        <v>5.8000000000000003E-2</v>
      </c>
      <c r="P58" s="117">
        <f>((P34-Summary!$I$24)*Summary!$C$22)+D$54</f>
        <v>238948.54644025053</v>
      </c>
      <c r="Q58" s="117">
        <f>((Q34-Summary!$I$24)*Summary!$C$22)+E$54</f>
        <v>250617.17445749196</v>
      </c>
      <c r="R58" s="117">
        <f>((R34-Summary!$I$24)*Summary!$C$22)+F$54</f>
        <v>258107.42618162985</v>
      </c>
      <c r="S58" s="117">
        <f>((S34-Summary!$I$24)*Summary!$C$22)+G$54</f>
        <v>242325.14514714704</v>
      </c>
      <c r="T58" s="117">
        <f>((T34-Summary!$I$24)*Summary!$C$22)+H$54</f>
        <v>293976.08394025051</v>
      </c>
      <c r="U58" s="117">
        <f>((U34-Summary!$I$24)*Summary!$C$22)+I$54</f>
        <v>251171.146009216</v>
      </c>
      <c r="V58" s="117">
        <f>((V34-Summary!$I$24)*Summary!$C$22)+J$54</f>
        <v>242382.15333680221</v>
      </c>
      <c r="W58" s="117">
        <f>((W34-Summary!$I$24)*Summary!$C$22)+K$54</f>
        <v>300940.3235954229</v>
      </c>
      <c r="X58" s="117">
        <f>((X34-Summary!$I$24)*Summary!$C$22)+L$54</f>
        <v>276774.92230231949</v>
      </c>
      <c r="Y58" s="339">
        <f>((Y34-Summary!$I$24)*Summary!$C$22)+M$54</f>
        <v>322329.00850921596</v>
      </c>
      <c r="AA58" s="145"/>
      <c r="AB58" s="155"/>
      <c r="AC58" s="155"/>
      <c r="AD58" s="221">
        <f>AD54+('Property-Level CF'!AD33*Summary!$C$22)</f>
        <v>174452.81972980424</v>
      </c>
      <c r="AE58" s="221">
        <f>AD54</f>
        <v>21862.393354589207</v>
      </c>
      <c r="AF58" s="221">
        <f t="shared" ref="AF58:AL58" si="179">AE58</f>
        <v>21862.393354589207</v>
      </c>
      <c r="AG58" s="221">
        <f t="shared" si="179"/>
        <v>21862.393354589207</v>
      </c>
      <c r="AH58" s="221">
        <f t="shared" si="179"/>
        <v>21862.393354589207</v>
      </c>
      <c r="AI58" s="221">
        <f t="shared" si="179"/>
        <v>21862.393354589207</v>
      </c>
      <c r="AJ58" s="221">
        <f t="shared" si="179"/>
        <v>21862.393354589207</v>
      </c>
      <c r="AK58" s="221">
        <f t="shared" si="179"/>
        <v>21862.393354589207</v>
      </c>
      <c r="AL58" s="247">
        <f t="shared" si="179"/>
        <v>21862.393354589207</v>
      </c>
      <c r="AN58" s="289">
        <f>AN34</f>
        <v>5.2999999999999999E-2</v>
      </c>
      <c r="AO58" s="117">
        <f>((AO34-Summary!$I$25)*Summary!$C$22)+AC$54</f>
        <v>40760.861239238176</v>
      </c>
      <c r="AP58" s="117">
        <f>((AP34-Summary!$I$25)*Summary!$C$22)+AD$54</f>
        <v>174452.81972980424</v>
      </c>
      <c r="AQ58" s="117">
        <f>((AQ34-Summary!$I$25)*Summary!$C$22)+AE$54</f>
        <v>332916.76265433256</v>
      </c>
      <c r="AR58" s="117">
        <f>((AR34-Summary!$I$25)*Summary!$C$22)+AF$54</f>
        <v>350383.39001282316</v>
      </c>
      <c r="AS58" s="117">
        <f>((AS34-Summary!$I$25)*Summary!$C$22)+AG$54</f>
        <v>367075.74331470992</v>
      </c>
      <c r="AT58" s="117">
        <f>((AT34-Summary!$I$25)*Summary!$C$22)+AH$54</f>
        <v>374949.60322037031</v>
      </c>
      <c r="AU58" s="117">
        <f>((AU34-Summary!$I$25)*Summary!$C$22)+AI$54</f>
        <v>382793.79378640803</v>
      </c>
      <c r="AV58" s="117">
        <f>((AV34-Summary!$I$25)*Summary!$C$22)+AJ$54</f>
        <v>390682.00982414384</v>
      </c>
      <c r="AW58" s="117">
        <f>((AW34-Summary!$I$25)*Summary!$C$22)+AK$54</f>
        <v>385671.64897508727</v>
      </c>
      <c r="AX58" s="339">
        <f>((AX34-Summary!$I$25)*Summary!$C$22)+AL$54</f>
        <v>383906.93246565328</v>
      </c>
      <c r="AZ58" s="145"/>
      <c r="BA58" s="155"/>
      <c r="BB58" s="155"/>
      <c r="BC58" s="221">
        <f>BC54+('Property-Level CF'!BC33*Summary!$C$22)</f>
        <v>295417.34083022445</v>
      </c>
      <c r="BD58" s="221">
        <f>BC54</f>
        <v>31874.479891151354</v>
      </c>
      <c r="BE58" s="221">
        <f t="shared" ref="BE58:BK58" si="180">BD58</f>
        <v>31874.479891151354</v>
      </c>
      <c r="BF58" s="221">
        <f t="shared" si="180"/>
        <v>31874.479891151354</v>
      </c>
      <c r="BG58" s="221">
        <f t="shared" si="180"/>
        <v>31874.479891151354</v>
      </c>
      <c r="BH58" s="221">
        <f t="shared" si="180"/>
        <v>31874.479891151354</v>
      </c>
      <c r="BI58" s="221">
        <f t="shared" si="180"/>
        <v>31874.479891151354</v>
      </c>
      <c r="BJ58" s="221">
        <f t="shared" si="180"/>
        <v>31874.479891151354</v>
      </c>
      <c r="BK58" s="247">
        <f t="shared" si="180"/>
        <v>31874.479891151354</v>
      </c>
      <c r="BM58" s="289">
        <f>BM34</f>
        <v>4.7E-2</v>
      </c>
      <c r="BN58" s="117">
        <f>((BN34-Summary!$I$26)*Summary!$C$22)+BB$54</f>
        <v>219724.15690810484</v>
      </c>
      <c r="BO58" s="117">
        <f>((BO34-Summary!$I$26)*Summary!$C$22)+BC$54</f>
        <v>387431.26967406226</v>
      </c>
      <c r="BP58" s="117">
        <f>((BP34-Summary!$I$26)*Summary!$C$22)+BD$54</f>
        <v>476231.84041874326</v>
      </c>
      <c r="BQ58" s="117">
        <f>((BQ34-Summary!$I$26)*Summary!$C$22)+BE$54</f>
        <v>483764.47712087084</v>
      </c>
      <c r="BR58" s="117">
        <f>((BR34-Summary!$I$26)*Summary!$C$22)+BF$54</f>
        <v>491222.01275916875</v>
      </c>
      <c r="BS58" s="117">
        <f>((BS34-Summary!$I$26)*Summary!$C$22)+BG$54</f>
        <v>499080.80265278567</v>
      </c>
      <c r="BT58" s="117">
        <f>((BT34-Summary!$I$26)*Summary!$C$22)+BH$54</f>
        <v>560637.92605704116</v>
      </c>
      <c r="BU58" s="117">
        <f>((BU34-Summary!$I$26)*Summary!$C$22)+BI$54</f>
        <v>579552.66541874327</v>
      </c>
      <c r="BV58" s="117">
        <f>((BV34-Summary!$I$26)*Summary!$C$22)+BJ$54</f>
        <v>587259.10744001961</v>
      </c>
      <c r="BW58" s="339">
        <f>((BW34-Summary!$I$26)*Summary!$C$22)+BK$54</f>
        <v>593937.73775916873</v>
      </c>
      <c r="BY58" s="145"/>
      <c r="BZ58" s="155"/>
      <c r="CA58" s="155"/>
      <c r="CB58" s="221">
        <f>CB54+(CB33*Summary!C22)</f>
        <v>482586.45440744341</v>
      </c>
      <c r="CC58" s="221">
        <f>CB54</f>
        <v>54251.188238135073</v>
      </c>
      <c r="CD58" s="221">
        <f t="shared" ref="CD58:CJ58" si="181">CC58</f>
        <v>54251.188238135073</v>
      </c>
      <c r="CE58" s="221">
        <f t="shared" si="181"/>
        <v>54251.188238135073</v>
      </c>
      <c r="CF58" s="221">
        <f t="shared" si="181"/>
        <v>54251.188238135073</v>
      </c>
      <c r="CG58" s="221">
        <f t="shared" si="181"/>
        <v>54251.188238135073</v>
      </c>
      <c r="CH58" s="221">
        <f t="shared" si="181"/>
        <v>54251.188238135073</v>
      </c>
      <c r="CI58" s="221">
        <f t="shared" si="181"/>
        <v>54251.188238135073</v>
      </c>
      <c r="CJ58" s="247">
        <f t="shared" si="181"/>
        <v>54251.188238135073</v>
      </c>
      <c r="CL58" s="289">
        <f>CL34</f>
        <v>5.0999999999999997E-2</v>
      </c>
      <c r="CM58" s="117">
        <f>((CM34-Summary!$I$27)*Summary!$C$22)+CA$54</f>
        <v>457164.38017305429</v>
      </c>
      <c r="CN58" s="117">
        <f>((CN34-Summary!$I$27)*Summary!$C$22)+CB$54</f>
        <v>480582.90958481887</v>
      </c>
      <c r="CO58" s="117">
        <f>((CO34-Summary!$I$27)*Summary!$C$22)+CC$54</f>
        <v>504328.01987893664</v>
      </c>
      <c r="CP58" s="117">
        <f>((CP34-Summary!$I$27)*Summary!$C$22)+CD$54</f>
        <v>528714.38017305429</v>
      </c>
      <c r="CQ58" s="117">
        <f>((CQ34-Summary!$I$27)*Summary!$C$22)+CE$54</f>
        <v>553414.41693776008</v>
      </c>
      <c r="CR58" s="117">
        <f>((CR34-Summary!$I$27)*Summary!$C$22)+CF$54</f>
        <v>578611.76987893647</v>
      </c>
      <c r="CS58" s="117">
        <f>((CS34-Summary!$I$27)*Summary!$C$22)+CG$54</f>
        <v>604090.04193775996</v>
      </c>
      <c r="CT58" s="117">
        <f>((CT34-Summary!$I$27)*Summary!$C$22)+CH$54</f>
        <v>629977.28458481899</v>
      </c>
      <c r="CU58" s="117">
        <f>((CU34-Summary!$I$27)*Summary!$C$22)+CI$54</f>
        <v>657000.11546717188</v>
      </c>
      <c r="CV58" s="339">
        <f>((CV34-Summary!$I$27)*Summary!$C$22)+CJ$54</f>
        <v>685840.4831142308</v>
      </c>
      <c r="CX58" s="145"/>
      <c r="CY58" s="155"/>
      <c r="CZ58" s="155"/>
      <c r="DA58" s="221">
        <f>DA54+('Property-Level CF'!DA33*Summary!$C$22)</f>
        <v>206096.98129211637</v>
      </c>
      <c r="DB58" s="221">
        <f>DA54</f>
        <v>23397.332110012103</v>
      </c>
      <c r="DC58" s="221">
        <f t="shared" ref="DC58:DI58" si="182">DB58</f>
        <v>23397.332110012103</v>
      </c>
      <c r="DD58" s="221">
        <f t="shared" si="182"/>
        <v>23397.332110012103</v>
      </c>
      <c r="DE58" s="221">
        <f t="shared" si="182"/>
        <v>23397.332110012103</v>
      </c>
      <c r="DF58" s="221">
        <f t="shared" si="182"/>
        <v>23397.332110012103</v>
      </c>
      <c r="DG58" s="221">
        <f t="shared" si="182"/>
        <v>23397.332110012103</v>
      </c>
      <c r="DH58" s="221">
        <f t="shared" si="182"/>
        <v>23397.332110012103</v>
      </c>
      <c r="DI58" s="247">
        <f t="shared" si="182"/>
        <v>23397.332110012103</v>
      </c>
      <c r="DK58" s="289">
        <f>DK34</f>
        <v>5.1999999999999998E-2</v>
      </c>
      <c r="DL58" s="117">
        <f>((DL34-Summary!$I$28)*Summary!$C$22)+CZ$54</f>
        <v>193558.57900869989</v>
      </c>
      <c r="DM58" s="117">
        <f>((DM34-Summary!$I$28)*Summary!$C$22)+DA$54</f>
        <v>204943.88718177687</v>
      </c>
      <c r="DN58" s="117">
        <f>((DN34-Summary!$I$28)*Summary!$C$22)+DB$54</f>
        <v>216556.25833562299</v>
      </c>
      <c r="DO58" s="117">
        <f>((DO34-Summary!$I$28)*Summary!$C$22)+DC$54</f>
        <v>228400.56506639218</v>
      </c>
      <c r="DP58" s="117">
        <f>((DP34-Summary!$I$28)*Summary!$C$22)+DD$54</f>
        <v>240482.65448946919</v>
      </c>
      <c r="DQ58" s="117">
        <f>((DQ34-Summary!$I$28)*Summary!$C$22)+DE$54</f>
        <v>252806.42468177687</v>
      </c>
      <c r="DR58" s="117">
        <f>((DR34-Summary!$I$28)*Summary!$C$22)+DF$54</f>
        <v>265375.77372023847</v>
      </c>
      <c r="DS58" s="117">
        <f>((DS34-Summary!$I$28)*Summary!$C$22)+DG$54</f>
        <v>278197.52323946916</v>
      </c>
      <c r="DT58" s="117">
        <f>((DT34-Summary!$I$28)*Summary!$C$22)+DH$54</f>
        <v>291274.59679716144</v>
      </c>
      <c r="DU58" s="339">
        <f>((DU34-Summary!$I$28)*Summary!$C$22)+DI$54</f>
        <v>304613.8160279307</v>
      </c>
      <c r="DW58" s="145"/>
      <c r="DX58" s="155"/>
      <c r="DY58" s="155"/>
      <c r="DZ58" s="221">
        <f>DZ54+('Property-Level CF'!DZ33*Summary!$C$22)</f>
        <v>487809.03237227042</v>
      </c>
      <c r="EA58" s="221">
        <f>DZ54</f>
        <v>52142.980771111404</v>
      </c>
      <c r="EB58" s="221">
        <f t="shared" ref="EB58:EH58" si="183">EA58</f>
        <v>52142.980771111404</v>
      </c>
      <c r="EC58" s="221">
        <f t="shared" si="183"/>
        <v>52142.980771111404</v>
      </c>
      <c r="ED58" s="221">
        <f t="shared" si="183"/>
        <v>52142.980771111404</v>
      </c>
      <c r="EE58" s="221">
        <f t="shared" si="183"/>
        <v>52142.980771111404</v>
      </c>
      <c r="EF58" s="221">
        <f t="shared" si="183"/>
        <v>52142.980771111404</v>
      </c>
      <c r="EG58" s="221">
        <f t="shared" si="183"/>
        <v>52142.980771111404</v>
      </c>
      <c r="EH58" s="247">
        <f t="shared" si="183"/>
        <v>52142.980771111404</v>
      </c>
      <c r="EJ58" s="289">
        <f>EJ34</f>
        <v>4.9000000000000002E-2</v>
      </c>
      <c r="EK58" s="117">
        <f>((EK34-Summary!$I$29)*Summary!$C$22)+DY$54</f>
        <v>457198.32925901405</v>
      </c>
      <c r="EL58" s="117">
        <f>((EL34-Summary!$I$29)*Summary!$C$22)+DZ$54</f>
        <v>484350.87670799351</v>
      </c>
      <c r="EM58" s="117">
        <f>((EM34-Summary!$I$29)*Summary!$C$22)+EA$54</f>
        <v>511760.17364676925</v>
      </c>
      <c r="EN58" s="117">
        <f>((EN34-Summary!$I$29)*Summary!$C$22)+EB$54</f>
        <v>539916.0032386058</v>
      </c>
      <c r="EO58" s="117">
        <f>((EO34-Summary!$I$29)*Summary!$C$22)+EC$54</f>
        <v>568637.91905493219</v>
      </c>
      <c r="EP58" s="117">
        <f>((EP34-Summary!$I$29)*Summary!$C$22)+ED$54</f>
        <v>597980.57058554469</v>
      </c>
      <c r="EQ58" s="117">
        <f>((EQ34-Summary!$I$29)*Summary!$C$22)+EE$54</f>
        <v>627705.76854472817</v>
      </c>
      <c r="ER58" s="117">
        <f>((ER34-Summary!$I$29)*Summary!$C$22)+EF$54</f>
        <v>658362.07007534045</v>
      </c>
      <c r="ES58" s="117">
        <f>((ES34-Summary!$I$29)*Summary!$C$22)+EG$54</f>
        <v>689273.05885085068</v>
      </c>
      <c r="ET58" s="339">
        <f>((ET34-Summary!$I$29)*Summary!$C$22)+EH$54</f>
        <v>720931.6114018712</v>
      </c>
    </row>
    <row r="59" spans="2:150" x14ac:dyDescent="0.3">
      <c r="B59" s="145"/>
      <c r="C59" s="155"/>
      <c r="D59" s="155"/>
      <c r="E59" s="221"/>
      <c r="F59" s="221">
        <f>F54+('Property-Level CF'!F33*Summary!$C$22)</f>
        <v>253312.48378963731</v>
      </c>
      <c r="G59" s="221">
        <f>F54</f>
        <v>29837.321801608698</v>
      </c>
      <c r="H59" s="221">
        <f t="shared" ref="H59:M59" si="184">G59</f>
        <v>29837.321801608698</v>
      </c>
      <c r="I59" s="221">
        <f t="shared" si="184"/>
        <v>29837.321801608698</v>
      </c>
      <c r="J59" s="221">
        <f t="shared" si="184"/>
        <v>29837.321801608698</v>
      </c>
      <c r="K59" s="221">
        <f t="shared" si="184"/>
        <v>29837.321801608698</v>
      </c>
      <c r="L59" s="221">
        <f t="shared" si="184"/>
        <v>29837.321801608698</v>
      </c>
      <c r="M59" s="247">
        <f t="shared" si="184"/>
        <v>29837.321801608698</v>
      </c>
      <c r="O59" s="289">
        <f>O35</f>
        <v>5.8999999999999997E-2</v>
      </c>
      <c r="P59" s="117">
        <f>((P35-Summary!$I$24)*Summary!$C$22)+D$54</f>
        <v>228035.11402499638</v>
      </c>
      <c r="Q59" s="117">
        <f>((Q35-Summary!$I$24)*Summary!$C$22)+E$54</f>
        <v>239480.82970296248</v>
      </c>
      <c r="R59" s="117">
        <f>((R35-Summary!$I$24)*Summary!$C$22)+F$54</f>
        <v>246844.86699109795</v>
      </c>
      <c r="S59" s="117">
        <f>((S35-Summary!$I$24)*Summary!$C$22)+G$54</f>
        <v>231113.21783855566</v>
      </c>
      <c r="T59" s="117">
        <f>((T35-Summary!$I$24)*Summary!$C$22)+H$54</f>
        <v>282183.85682160658</v>
      </c>
      <c r="U59" s="117">
        <f>((U35-Summary!$I$24)*Summary!$C$22)+I$54</f>
        <v>240063.15173686075</v>
      </c>
      <c r="V59" s="117">
        <f>((V35-Summary!$I$24)*Summary!$C$22)+J$54</f>
        <v>231056.75385550485</v>
      </c>
      <c r="W59" s="117">
        <f>((W35-Summary!$I$24)*Summary!$C$22)+K$54</f>
        <v>289036.773770759</v>
      </c>
      <c r="X59" s="117">
        <f>((X35-Summary!$I$24)*Summary!$C$22)+L$54</f>
        <v>264959.10724533536</v>
      </c>
      <c r="Y59" s="339">
        <f>((Y35-Summary!$I$24)*Summary!$C$22)+M$54</f>
        <v>309898.13690635224</v>
      </c>
      <c r="AA59" s="145"/>
      <c r="AB59" s="155"/>
      <c r="AC59" s="155"/>
      <c r="AD59" s="221"/>
      <c r="AE59" s="221">
        <f>AE54+('Property-Level CF'!AE33*Summary!$C$22)</f>
        <v>332916.76265433256</v>
      </c>
      <c r="AF59" s="221">
        <f>AE54</f>
        <v>30140.94335458921</v>
      </c>
      <c r="AG59" s="221">
        <f t="shared" ref="AG59:AL59" si="185">AF59</f>
        <v>30140.94335458921</v>
      </c>
      <c r="AH59" s="221">
        <f t="shared" si="185"/>
        <v>30140.94335458921</v>
      </c>
      <c r="AI59" s="221">
        <f t="shared" si="185"/>
        <v>30140.94335458921</v>
      </c>
      <c r="AJ59" s="221">
        <f t="shared" si="185"/>
        <v>30140.94335458921</v>
      </c>
      <c r="AK59" s="221">
        <f t="shared" si="185"/>
        <v>30140.94335458921</v>
      </c>
      <c r="AL59" s="247">
        <f t="shared" si="185"/>
        <v>30140.94335458921</v>
      </c>
      <c r="AN59" s="289">
        <f>AN35</f>
        <v>5.3999999999999999E-2</v>
      </c>
      <c r="AO59" s="117">
        <f>((AO35-Summary!$I$25)*Summary!$C$22)+AC$54</f>
        <v>33684.14396984614</v>
      </c>
      <c r="AP59" s="117">
        <f>((AP35-Summary!$I$25)*Summary!$C$22)+AD$54</f>
        <v>165029.66619206834</v>
      </c>
      <c r="AQ59" s="117">
        <f>((AQ35-Summary!$I$25)*Summary!$C$22)+AE$54</f>
        <v>320712.39813651284</v>
      </c>
      <c r="AR59" s="117">
        <f>((AR35-Summary!$I$25)*Summary!$C$22)+AF$54</f>
        <v>337872.46758095728</v>
      </c>
      <c r="AS59" s="117">
        <f>((AS35-Summary!$I$25)*Summary!$C$22)+AG$54</f>
        <v>354271.85230317956</v>
      </c>
      <c r="AT59" s="117">
        <f>((AT35-Summary!$I$25)*Summary!$C$22)+AH$54</f>
        <v>362007.51758095727</v>
      </c>
      <c r="AU59" s="117">
        <f>((AU35-Summary!$I$25)*Summary!$C$22)+AI$54</f>
        <v>369714.03424762399</v>
      </c>
      <c r="AV59" s="117">
        <f>((AV35-Summary!$I$25)*Summary!$C$22)+AJ$54</f>
        <v>377463.80369206838</v>
      </c>
      <c r="AW59" s="117">
        <f>((AW35-Summary!$I$25)*Summary!$C$22)+AK$54</f>
        <v>372448.95785873506</v>
      </c>
      <c r="AX59" s="339">
        <f>((AX35-Summary!$I$25)*Summary!$C$22)+AL$54</f>
        <v>370619.58702540176</v>
      </c>
      <c r="AZ59" s="145"/>
      <c r="BA59" s="155"/>
      <c r="BB59" s="155"/>
      <c r="BC59" s="221"/>
      <c r="BD59" s="221">
        <f>BD54+('Property-Level CF'!BD33*Summary!$C$22)</f>
        <v>374633.52054720558</v>
      </c>
      <c r="BE59" s="221">
        <f>BD54</f>
        <v>36012.929891151354</v>
      </c>
      <c r="BF59" s="221">
        <f t="shared" ref="BF59:BK59" si="186">BE59</f>
        <v>36012.929891151354</v>
      </c>
      <c r="BG59" s="221">
        <f t="shared" si="186"/>
        <v>36012.929891151354</v>
      </c>
      <c r="BH59" s="221">
        <f t="shared" si="186"/>
        <v>36012.929891151354</v>
      </c>
      <c r="BI59" s="221">
        <f t="shared" si="186"/>
        <v>36012.929891151354</v>
      </c>
      <c r="BJ59" s="221">
        <f t="shared" si="186"/>
        <v>36012.929891151354</v>
      </c>
      <c r="BK59" s="247">
        <f t="shared" si="186"/>
        <v>36012.929891151354</v>
      </c>
      <c r="BM59" s="289">
        <f>BM35</f>
        <v>0.05</v>
      </c>
      <c r="BN59" s="117">
        <f>((BN35-Summary!$I$26)*Summary!$C$22)+BB$54</f>
        <v>180550.25338682818</v>
      </c>
      <c r="BO59" s="117">
        <f>((BO35-Summary!$I$26)*Summary!$C$22)+BC$54</f>
        <v>338663.88738682831</v>
      </c>
      <c r="BP59" s="117">
        <f>((BP35-Summary!$I$26)*Summary!$C$22)+BD$54</f>
        <v>422384.73088682827</v>
      </c>
      <c r="BQ59" s="117">
        <f>((BQ35-Summary!$I$26)*Summary!$C$22)+BE$54</f>
        <v>429486.47238682833</v>
      </c>
      <c r="BR59" s="117">
        <f>((BR35-Summary!$I$26)*Summary!$C$22)+BF$54</f>
        <v>436517.40888682817</v>
      </c>
      <c r="BS59" s="117">
        <f>((BS35-Summary!$I$26)*Summary!$C$22)+BG$54</f>
        <v>443926.64638682816</v>
      </c>
      <c r="BT59" s="117">
        <f>((BT35-Summary!$I$26)*Summary!$C$22)+BH$54</f>
        <v>501962.47038682818</v>
      </c>
      <c r="BU59" s="117">
        <f>((BU35-Summary!$I$26)*Summary!$C$22)+BI$54</f>
        <v>519795.21538682829</v>
      </c>
      <c r="BV59" s="117">
        <f>((BV35-Summary!$I$26)*Summary!$C$22)+BJ$54</f>
        <v>527060.81988682831</v>
      </c>
      <c r="BW59" s="339">
        <f>((BW35-Summary!$I$26)*Summary!$C$22)+BK$54</f>
        <v>533357.40738682833</v>
      </c>
      <c r="BY59" s="145"/>
      <c r="BZ59" s="155"/>
      <c r="CA59" s="155"/>
      <c r="CB59" s="221"/>
      <c r="CC59" s="221">
        <f>CC54+(CC33*Summary!C22)</f>
        <v>506366.34921310982</v>
      </c>
      <c r="CD59" s="221">
        <f>CC54</f>
        <v>55447.238238135076</v>
      </c>
      <c r="CE59" s="221">
        <f t="shared" ref="CE59:CJ59" si="187">CD59</f>
        <v>55447.238238135076</v>
      </c>
      <c r="CF59" s="221">
        <f t="shared" si="187"/>
        <v>55447.238238135076</v>
      </c>
      <c r="CG59" s="221">
        <f t="shared" si="187"/>
        <v>55447.238238135076</v>
      </c>
      <c r="CH59" s="221">
        <f t="shared" si="187"/>
        <v>55447.238238135076</v>
      </c>
      <c r="CI59" s="221">
        <f t="shared" si="187"/>
        <v>55447.238238135076</v>
      </c>
      <c r="CJ59" s="247">
        <f t="shared" si="187"/>
        <v>55447.238238135076</v>
      </c>
      <c r="CL59" s="289">
        <f>CL35</f>
        <v>5.1999999999999998E-2</v>
      </c>
      <c r="CM59" s="117">
        <f>((CM35-Summary!$I$27)*Summary!$C$22)+CA$54</f>
        <v>432615.16784273752</v>
      </c>
      <c r="CN59" s="117">
        <f>((CN35-Summary!$I$27)*Summary!$C$22)+CB$54</f>
        <v>455606.02553504513</v>
      </c>
      <c r="CO59" s="117">
        <f>((CO35-Summary!$I$27)*Summary!$C$22)+CC$54</f>
        <v>478917.50005427591</v>
      </c>
      <c r="CP59" s="117">
        <f>((CP35-Summary!$I$27)*Summary!$C$22)+CD$54</f>
        <v>502858.51399658353</v>
      </c>
      <c r="CQ59" s="117">
        <f>((CQ35-Summary!$I$27)*Summary!$C$22)+CE$54</f>
        <v>527107.47601581435</v>
      </c>
      <c r="CR59" s="117">
        <f>((CR35-Summary!$I$27)*Summary!$C$22)+CF$54</f>
        <v>551844.67216966068</v>
      </c>
      <c r="CS59" s="117">
        <f>((CS35-Summary!$I$27)*Summary!$C$22)+CG$54</f>
        <v>576857.65726581437</v>
      </c>
      <c r="CT59" s="117">
        <f>((CT35-Summary!$I$27)*Summary!$C$22)+CH$54</f>
        <v>602272.14428504521</v>
      </c>
      <c r="CU59" s="117">
        <f>((CU35-Summary!$I$27)*Summary!$C$22)+CI$54</f>
        <v>628801.48130427604</v>
      </c>
      <c r="CV59" s="339">
        <f>((CV35-Summary!$I$27)*Summary!$C$22)+CJ$54</f>
        <v>657115.16303504515</v>
      </c>
      <c r="CX59" s="145"/>
      <c r="CY59" s="155"/>
      <c r="CZ59" s="155"/>
      <c r="DA59" s="221"/>
      <c r="DB59" s="221">
        <f>DB54+('Property-Level CF'!DB33*Summary!$C$22)</f>
        <v>217732.41386368958</v>
      </c>
      <c r="DC59" s="221">
        <f>DB54</f>
        <v>23993.132110012106</v>
      </c>
      <c r="DD59" s="221">
        <f t="shared" ref="DD59:DI59" si="188">DC59</f>
        <v>23993.132110012106</v>
      </c>
      <c r="DE59" s="221">
        <f t="shared" si="188"/>
        <v>23993.132110012106</v>
      </c>
      <c r="DF59" s="221">
        <f t="shared" si="188"/>
        <v>23993.132110012106</v>
      </c>
      <c r="DG59" s="221">
        <f t="shared" si="188"/>
        <v>23993.132110012106</v>
      </c>
      <c r="DH59" s="221">
        <f t="shared" si="188"/>
        <v>23993.132110012106</v>
      </c>
      <c r="DI59" s="247">
        <f t="shared" si="188"/>
        <v>23993.132110012106</v>
      </c>
      <c r="DK59" s="289">
        <f>DK35</f>
        <v>5.2999999999999999E-2</v>
      </c>
      <c r="DL59" s="117">
        <f>((DL35-Summary!$I$28)*Summary!$C$22)+CZ$54</f>
        <v>183369.17346624707</v>
      </c>
      <c r="DM59" s="117">
        <f>((DM35-Summary!$I$28)*Summary!$C$22)+DA$54</f>
        <v>194550.68620209611</v>
      </c>
      <c r="DN59" s="117">
        <f>((DN35-Summary!$I$28)*Summary!$C$22)+DB$54</f>
        <v>205955.19752285082</v>
      </c>
      <c r="DO59" s="117">
        <f>((DO35-Summary!$I$28)*Summary!$C$22)+DC$54</f>
        <v>217587.4928058697</v>
      </c>
      <c r="DP59" s="117">
        <f>((DP35-Summary!$I$28)*Summary!$C$22)+DD$54</f>
        <v>229453.31450398295</v>
      </c>
      <c r="DQ59" s="117">
        <f>((DQ35-Summary!$I$28)*Summary!$C$22)+DE$54</f>
        <v>241556.49091907725</v>
      </c>
      <c r="DR59" s="117">
        <f>((DR35-Summary!$I$28)*Summary!$C$22)+DF$54</f>
        <v>253900.85035303954</v>
      </c>
      <c r="DS59" s="117">
        <f>((DS35-Summary!$I$28)*Summary!$C$22)+DG$54</f>
        <v>266493.09233417164</v>
      </c>
      <c r="DT59" s="117">
        <f>((DT35-Summary!$I$28)*Summary!$C$22)+DH$54</f>
        <v>279336.08808888862</v>
      </c>
      <c r="DU59" s="339">
        <f>((DU35-Summary!$I$28)*Summary!$C$22)+DI$54</f>
        <v>292436.53714549239</v>
      </c>
      <c r="DW59" s="145"/>
      <c r="DX59" s="155"/>
      <c r="DY59" s="155"/>
      <c r="DZ59" s="221"/>
      <c r="EA59" s="221">
        <f>EA54+('Property-Level CF'!EA33*Summary!$C$22)</f>
        <v>515287.03853300004</v>
      </c>
      <c r="EB59" s="221">
        <f>EA54</f>
        <v>53472.080771111403</v>
      </c>
      <c r="EC59" s="221">
        <f t="shared" ref="EC59:EH59" si="189">EB59</f>
        <v>53472.080771111403</v>
      </c>
      <c r="ED59" s="221">
        <f t="shared" si="189"/>
        <v>53472.080771111403</v>
      </c>
      <c r="EE59" s="221">
        <f t="shared" si="189"/>
        <v>53472.080771111403</v>
      </c>
      <c r="EF59" s="221">
        <f t="shared" si="189"/>
        <v>53472.080771111403</v>
      </c>
      <c r="EG59" s="221">
        <f t="shared" si="189"/>
        <v>53472.080771111403</v>
      </c>
      <c r="EH59" s="247">
        <f t="shared" si="189"/>
        <v>53472.080771111403</v>
      </c>
      <c r="EJ59" s="289">
        <f>EJ35</f>
        <v>0.05</v>
      </c>
      <c r="EK59" s="117">
        <f>((EK35-Summary!$I$29)*Summary!$C$22)+DY$54</f>
        <v>431462.56516717741</v>
      </c>
      <c r="EL59" s="117">
        <f>((EL35-Summary!$I$29)*Summary!$C$22)+DZ$54</f>
        <v>458098.39466717734</v>
      </c>
      <c r="EM59" s="117">
        <f>((EM35-Summary!$I$29)*Summary!$C$22)+EA$54</f>
        <v>484986.08766717737</v>
      </c>
      <c r="EN59" s="117">
        <f>((EN35-Summary!$I$29)*Summary!$C$22)+EB$54</f>
        <v>512606.10666717729</v>
      </c>
      <c r="EO59" s="117">
        <f>((EO35-Summary!$I$29)*Summary!$C$22)+EC$54</f>
        <v>540781.4391671773</v>
      </c>
      <c r="EP59" s="117">
        <f>((EP35-Summary!$I$29)*Summary!$C$22)+ED$54</f>
        <v>569565.69466717739</v>
      </c>
      <c r="EQ59" s="117">
        <f>((EQ35-Summary!$I$29)*Summary!$C$22)+EE$54</f>
        <v>598725.21666717716</v>
      </c>
      <c r="ER59" s="117">
        <f>((ER35-Summary!$I$29)*Summary!$C$22)+EF$54</f>
        <v>628798.1231671772</v>
      </c>
      <c r="ES59" s="117">
        <f>((ES35-Summary!$I$29)*Summary!$C$22)+EG$54</f>
        <v>659120.87016717729</v>
      </c>
      <c r="ET59" s="339">
        <f>((ET35-Summary!$I$29)*Summary!$C$22)+EH$54</f>
        <v>690176.9546671774</v>
      </c>
    </row>
    <row r="60" spans="2:150" x14ac:dyDescent="0.3">
      <c r="B60" s="145"/>
      <c r="C60" s="155"/>
      <c r="D60" s="155"/>
      <c r="E60" s="221"/>
      <c r="F60" s="221"/>
      <c r="G60" s="221">
        <f>G54+('Property-Level CF'!G33*Summary!$C$22)</f>
        <v>237551.75886447169</v>
      </c>
      <c r="H60" s="221">
        <f>G54</f>
        <v>17042.321801608698</v>
      </c>
      <c r="I60" s="221">
        <f>H60</f>
        <v>17042.321801608698</v>
      </c>
      <c r="J60" s="221">
        <f>I60</f>
        <v>17042.321801608698</v>
      </c>
      <c r="K60" s="221">
        <f>J60</f>
        <v>17042.321801608698</v>
      </c>
      <c r="L60" s="221">
        <f>K60</f>
        <v>17042.321801608698</v>
      </c>
      <c r="M60" s="247">
        <f>L60</f>
        <v>17042.321801608698</v>
      </c>
      <c r="O60" s="289">
        <f>O36</f>
        <v>0.06</v>
      </c>
      <c r="P60" s="117">
        <f>((P36-Summary!$I$24)*Summary!$C$22)+D$54</f>
        <v>217485.46269025057</v>
      </c>
      <c r="Q60" s="117">
        <f>((Q36-Summary!$I$24)*Summary!$C$22)+E$54</f>
        <v>228715.6964402505</v>
      </c>
      <c r="R60" s="117">
        <f>((R36-Summary!$I$24)*Summary!$C$22)+F$54</f>
        <v>235957.72644025058</v>
      </c>
      <c r="S60" s="117">
        <f>((S36-Summary!$I$24)*Summary!$C$22)+G$54</f>
        <v>220275.0214402506</v>
      </c>
      <c r="T60" s="117">
        <f>((T36-Summary!$I$24)*Summary!$C$22)+H$54</f>
        <v>270784.70394025056</v>
      </c>
      <c r="U60" s="117">
        <f>((U36-Summary!$I$24)*Summary!$C$22)+I$54</f>
        <v>229325.42394025056</v>
      </c>
      <c r="V60" s="117">
        <f>((V36-Summary!$I$24)*Summary!$C$22)+J$54</f>
        <v>220108.86769025057</v>
      </c>
      <c r="W60" s="117">
        <f>((W36-Summary!$I$24)*Summary!$C$22)+K$54</f>
        <v>277530.00894025061</v>
      </c>
      <c r="X60" s="117">
        <f>((X36-Summary!$I$24)*Summary!$C$22)+L$54</f>
        <v>253537.15269025054</v>
      </c>
      <c r="Y60" s="339">
        <f>((Y36-Summary!$I$24)*Summary!$C$22)+M$54</f>
        <v>297881.62769025052</v>
      </c>
      <c r="AA60" s="145"/>
      <c r="AB60" s="155"/>
      <c r="AC60" s="155"/>
      <c r="AD60" s="221"/>
      <c r="AE60" s="221"/>
      <c r="AF60" s="221">
        <f>AF54+('Property-Level CF'!AF33*Summary!$C$22)</f>
        <v>350383.39001282316</v>
      </c>
      <c r="AG60" s="221">
        <f>AF54</f>
        <v>31053.44335458921</v>
      </c>
      <c r="AH60" s="221">
        <f>AG60</f>
        <v>31053.44335458921</v>
      </c>
      <c r="AI60" s="221">
        <f>AH60</f>
        <v>31053.44335458921</v>
      </c>
      <c r="AJ60" s="221">
        <f>AI60</f>
        <v>31053.44335458921</v>
      </c>
      <c r="AK60" s="221">
        <f>AJ60</f>
        <v>31053.44335458921</v>
      </c>
      <c r="AL60" s="247">
        <f>AK60</f>
        <v>31053.44335458921</v>
      </c>
      <c r="AN60" s="289">
        <f>AN36</f>
        <v>5.5E-2</v>
      </c>
      <c r="AO60" s="117">
        <f>((AO36-Summary!$I$25)*Summary!$C$22)+AC$54</f>
        <v>26864.761873886499</v>
      </c>
      <c r="AP60" s="117">
        <f>((AP36-Summary!$I$25)*Summary!$C$22)+AD$54</f>
        <v>155949.17278297749</v>
      </c>
      <c r="AQ60" s="117">
        <f>((AQ36-Summary!$I$25)*Summary!$C$22)+AE$54</f>
        <v>308951.82869206835</v>
      </c>
      <c r="AR60" s="117">
        <f>((AR36-Summary!$I$25)*Summary!$C$22)+AF$54</f>
        <v>325816.48778297746</v>
      </c>
      <c r="AS60" s="117">
        <f>((AS36-Summary!$I$25)*Summary!$C$22)+AG$54</f>
        <v>341933.55732843204</v>
      </c>
      <c r="AT60" s="117">
        <f>((AT36-Summary!$I$25)*Summary!$C$22)+AH$54</f>
        <v>349536.05323752295</v>
      </c>
      <c r="AU60" s="117">
        <f>((AU36-Summary!$I$25)*Summary!$C$22)+AI$54</f>
        <v>357109.90232843213</v>
      </c>
      <c r="AV60" s="117">
        <f>((AV36-Summary!$I$25)*Summary!$C$22)+AJ$54</f>
        <v>364726.25960115931</v>
      </c>
      <c r="AW60" s="117">
        <f>((AW36-Summary!$I$25)*Summary!$C$22)+AK$54</f>
        <v>359707.09187388659</v>
      </c>
      <c r="AX60" s="339">
        <f>((AX36-Summary!$I$25)*Summary!$C$22)+AL$54</f>
        <v>357815.41778297746</v>
      </c>
      <c r="AZ60" s="145"/>
      <c r="BA60" s="155"/>
      <c r="BB60" s="155"/>
      <c r="BC60" s="221"/>
      <c r="BD60" s="221"/>
      <c r="BE60" s="221">
        <f>BE54+('Property-Level CF'!BE33*Summary!$C$22)</f>
        <v>381353.14743399806</v>
      </c>
      <c r="BF60" s="221">
        <f>BE54</f>
        <v>36363.97989115135</v>
      </c>
      <c r="BG60" s="221">
        <f>BF60</f>
        <v>36363.97989115135</v>
      </c>
      <c r="BH60" s="221">
        <f>BG60</f>
        <v>36363.97989115135</v>
      </c>
      <c r="BI60" s="221">
        <f>BH60</f>
        <v>36363.97989115135</v>
      </c>
      <c r="BJ60" s="221">
        <f>BI60</f>
        <v>36363.97989115135</v>
      </c>
      <c r="BK60" s="247">
        <f>BJ60</f>
        <v>36363.97989115135</v>
      </c>
      <c r="BM60" s="289">
        <f>BM36</f>
        <v>5.2999999999999999E-2</v>
      </c>
      <c r="BN60" s="117">
        <f>((BN36-Summary!$I$26)*Summary!$C$22)+BB$54</f>
        <v>145811.13139626215</v>
      </c>
      <c r="BO60" s="117">
        <f>((BO36-Summary!$I$26)*Summary!$C$22)+BC$54</f>
        <v>295417.34083022445</v>
      </c>
      <c r="BP60" s="117">
        <f>((BP36-Summary!$I$26)*Summary!$C$22)+BD$54</f>
        <v>374633.52054720558</v>
      </c>
      <c r="BQ60" s="117">
        <f>((BQ36-Summary!$I$26)*Summary!$C$22)+BE$54</f>
        <v>381353.14743399806</v>
      </c>
      <c r="BR60" s="117">
        <f>((BR36-Summary!$I$26)*Summary!$C$22)+BF$54</f>
        <v>388005.77903777163</v>
      </c>
      <c r="BS60" s="117">
        <f>((BS36-Summary!$I$26)*Summary!$C$22)+BG$54</f>
        <v>395016.35686796036</v>
      </c>
      <c r="BT60" s="117">
        <f>((BT36-Summary!$I$26)*Summary!$C$22)+BH$54</f>
        <v>449929.51913211128</v>
      </c>
      <c r="BU60" s="117">
        <f>((BU36-Summary!$I$26)*Summary!$C$22)+BI$54</f>
        <v>466802.75969814911</v>
      </c>
      <c r="BV60" s="117">
        <f>((BV36-Summary!$I$26)*Summary!$C$22)+BJ$54</f>
        <v>473677.43281135662</v>
      </c>
      <c r="BW60" s="339">
        <f>((BW36-Summary!$I$26)*Summary!$C$22)+BK$54</f>
        <v>479635.22762267728</v>
      </c>
      <c r="BY60" s="145"/>
      <c r="BZ60" s="155"/>
      <c r="CA60" s="155"/>
      <c r="CB60" s="221"/>
      <c r="CC60" s="221"/>
      <c r="CD60" s="221">
        <f>CD54+(CD33*Summary!C22)</f>
        <v>530788.43339398853</v>
      </c>
      <c r="CE60" s="221">
        <f>CD54</f>
        <v>56675.588238135082</v>
      </c>
      <c r="CF60" s="221">
        <f>CE60</f>
        <v>56675.588238135082</v>
      </c>
      <c r="CG60" s="221">
        <f>CF60</f>
        <v>56675.588238135082</v>
      </c>
      <c r="CH60" s="221">
        <f>CG60</f>
        <v>56675.588238135082</v>
      </c>
      <c r="CI60" s="221">
        <f>CH60</f>
        <v>56675.588238135082</v>
      </c>
      <c r="CJ60" s="247">
        <f>CI60</f>
        <v>56675.588238135082</v>
      </c>
      <c r="CL60" s="289">
        <f>CL36</f>
        <v>5.2999999999999999E-2</v>
      </c>
      <c r="CM60" s="117">
        <f>((CM36-Summary!$I$27)*Summary!$C$22)+CA$54</f>
        <v>408992.34088337602</v>
      </c>
      <c r="CN60" s="117">
        <f>((CN36-Summary!$I$27)*Summary!$C$22)+CB$54</f>
        <v>431571.66541167791</v>
      </c>
      <c r="CO60" s="117">
        <f>((CO36-Summary!$I$27)*Summary!$C$22)+CC$54</f>
        <v>454465.86777016846</v>
      </c>
      <c r="CP60" s="117">
        <f>((CP36-Summary!$I$27)*Summary!$C$22)+CD$54</f>
        <v>477978.34088337602</v>
      </c>
      <c r="CQ60" s="117">
        <f>((CQ36-Summary!$I$27)*Summary!$C$22)+CE$54</f>
        <v>501793.24984564009</v>
      </c>
      <c r="CR60" s="117">
        <f>((CR36-Summary!$I$27)*Summary!$C$22)+CF$54</f>
        <v>526087.65361922525</v>
      </c>
      <c r="CS60" s="117">
        <f>((CS36-Summary!$I$27)*Summary!$C$22)+CG$54</f>
        <v>550652.90975130047</v>
      </c>
      <c r="CT60" s="117">
        <f>((CT36-Summary!$I$27)*Summary!$C$22)+CH$54</f>
        <v>575612.48097771569</v>
      </c>
      <c r="CU60" s="117">
        <f>((CU36-Summary!$I$27)*Summary!$C$22)+CI$54</f>
        <v>601666.94654375338</v>
      </c>
      <c r="CV60" s="339">
        <f>((CV36-Summary!$I$27)*Summary!$C$22)+CJ$54</f>
        <v>629473.81729847041</v>
      </c>
      <c r="CX60" s="145"/>
      <c r="CY60" s="155"/>
      <c r="CZ60" s="155"/>
      <c r="DA60" s="221"/>
      <c r="DB60" s="221"/>
      <c r="DC60" s="221">
        <f>DC54+('Property-Level CF'!DC33*Summary!$C$22)</f>
        <v>229600.24262123418</v>
      </c>
      <c r="DD60" s="221">
        <f>DC54</f>
        <v>24600.832110012103</v>
      </c>
      <c r="DE60" s="221">
        <f>DD60</f>
        <v>24600.832110012103</v>
      </c>
      <c r="DF60" s="221">
        <f>DE60</f>
        <v>24600.832110012103</v>
      </c>
      <c r="DG60" s="221">
        <f>DF60</f>
        <v>24600.832110012103</v>
      </c>
      <c r="DH60" s="221">
        <f>DG60</f>
        <v>24600.832110012103</v>
      </c>
      <c r="DI60" s="247">
        <f>DH60</f>
        <v>24600.832110012103</v>
      </c>
      <c r="DK60" s="289">
        <f>DK36</f>
        <v>5.3999999999999999E-2</v>
      </c>
      <c r="DL60" s="117">
        <f>((DL36-Summary!$I$28)*Summary!$C$22)+CZ$54</f>
        <v>173557.15331425547</v>
      </c>
      <c r="DM60" s="117">
        <f>((DM36-Summary!$I$28)*Summary!$C$22)+DA$54</f>
        <v>184542.41859203327</v>
      </c>
      <c r="DN60" s="117">
        <f>((DN36-Summary!$I$28)*Summary!$C$22)+DB$54</f>
        <v>195746.76859203319</v>
      </c>
      <c r="DO60" s="117">
        <f>((DO36-Summary!$I$28)*Summary!$C$22)+DC$54</f>
        <v>207174.90470314436</v>
      </c>
      <c r="DP60" s="117">
        <f>((DP36-Summary!$I$28)*Summary!$C$22)+DD$54</f>
        <v>218832.46859203326</v>
      </c>
      <c r="DQ60" s="117">
        <f>((DQ36-Summary!$I$28)*Summary!$C$22)+DE$54</f>
        <v>230723.22136981107</v>
      </c>
      <c r="DR60" s="117">
        <f>((DR36-Summary!$I$28)*Summary!$C$22)+DF$54</f>
        <v>242850.92414758878</v>
      </c>
      <c r="DS60" s="117">
        <f>((DS36-Summary!$I$28)*Summary!$C$22)+DG$54</f>
        <v>255222.15886981107</v>
      </c>
      <c r="DT60" s="117">
        <f>((DT36-Summary!$I$28)*Summary!$C$22)+DH$54</f>
        <v>267839.74636981107</v>
      </c>
      <c r="DU60" s="339">
        <f>((DU36-Summary!$I$28)*Summary!$C$22)+DI$54</f>
        <v>280710.2685920333</v>
      </c>
      <c r="DW60" s="145"/>
      <c r="DX60" s="155"/>
      <c r="DY60" s="155"/>
      <c r="DZ60" s="221"/>
      <c r="EA60" s="221"/>
      <c r="EB60" s="221">
        <f>EB54+('Property-Level CF'!EB33*Summary!$C$22)</f>
        <v>543513.44874385255</v>
      </c>
      <c r="EC60" s="221">
        <f>EB54</f>
        <v>54837.380771111406</v>
      </c>
      <c r="ED60" s="221">
        <f>EC60</f>
        <v>54837.380771111406</v>
      </c>
      <c r="EE60" s="221">
        <f>ED60</f>
        <v>54837.380771111406</v>
      </c>
      <c r="EF60" s="221">
        <f>EE60</f>
        <v>54837.380771111406</v>
      </c>
      <c r="EG60" s="221">
        <f>EF60</f>
        <v>54837.380771111406</v>
      </c>
      <c r="EH60" s="247">
        <f>EG60</f>
        <v>54837.380771111406</v>
      </c>
      <c r="EJ60" s="289">
        <f>EJ36</f>
        <v>5.0999999999999997E-2</v>
      </c>
      <c r="EK60" s="117">
        <f>((EK36-Summary!$I$29)*Summary!$C$22)+DY$54</f>
        <v>406736.04672600096</v>
      </c>
      <c r="EL60" s="117">
        <f>((EL36-Summary!$I$29)*Summary!$C$22)+DZ$54</f>
        <v>432875.42172600079</v>
      </c>
      <c r="EM60" s="117">
        <f>((EM36-Summary!$I$29)*Summary!$C$22)+EA$54</f>
        <v>459261.96584364801</v>
      </c>
      <c r="EN60" s="117">
        <f>((EN36-Summary!$I$29)*Summary!$C$22)+EB$54</f>
        <v>486367.18643188337</v>
      </c>
      <c r="EO60" s="117">
        <f>((EO36-Summary!$I$29)*Summary!$C$22)+EC$54</f>
        <v>514017.37025541265</v>
      </c>
      <c r="EP60" s="117">
        <f>((EP36-Summary!$I$29)*Summary!$C$22)+ED$54</f>
        <v>542265.12760835374</v>
      </c>
      <c r="EQ60" s="117">
        <f>((EQ36-Summary!$I$29)*Summary!$C$22)+EE$54</f>
        <v>570881.15702011855</v>
      </c>
      <c r="ER60" s="117">
        <f>((ER36-Summary!$I$29)*Summary!$C$22)+EF$54</f>
        <v>600393.54672600073</v>
      </c>
      <c r="ES60" s="117">
        <f>((ES36-Summary!$I$29)*Summary!$C$22)+EG$54</f>
        <v>630151.12025541265</v>
      </c>
      <c r="ET60" s="339">
        <f>((ET36-Summary!$I$29)*Summary!$C$22)+EH$54</f>
        <v>660628.36290247156</v>
      </c>
    </row>
    <row r="61" spans="2:150" ht="13.5" thickBot="1" x14ac:dyDescent="0.35">
      <c r="B61" s="145"/>
      <c r="C61" s="155"/>
      <c r="D61" s="155"/>
      <c r="E61" s="221"/>
      <c r="F61" s="221"/>
      <c r="G61" s="221"/>
      <c r="H61" s="221">
        <f>H54+('Property-Level CF'!H33*Summary!$C$22)</f>
        <v>288955.63976316474</v>
      </c>
      <c r="I61" s="221">
        <f>H54</f>
        <v>34455.571801608705</v>
      </c>
      <c r="J61" s="221">
        <f>I61</f>
        <v>34455.571801608705</v>
      </c>
      <c r="K61" s="221">
        <f>J61</f>
        <v>34455.571801608705</v>
      </c>
      <c r="L61" s="221">
        <f>K61</f>
        <v>34455.571801608705</v>
      </c>
      <c r="M61" s="247">
        <f>L61</f>
        <v>34455.571801608705</v>
      </c>
      <c r="O61" s="290">
        <f>O37</f>
        <v>6.0999999999999999E-2</v>
      </c>
      <c r="P61" s="340">
        <f>((P37-Summary!$I$24)*Summary!$C$22)+D$54</f>
        <v>207281.70156320138</v>
      </c>
      <c r="Q61" s="340">
        <f>((Q37-Summary!$I$24)*Summary!$C$22)+E$54</f>
        <v>218303.51836648007</v>
      </c>
      <c r="R61" s="340">
        <f>((R37-Summary!$I$24)*Summary!$C$22)+F$54</f>
        <v>225427.54131729974</v>
      </c>
      <c r="S61" s="340">
        <f>((S37-Summary!$I$24)*Summary!$C$22)+G$54</f>
        <v>209792.17574352928</v>
      </c>
      <c r="T61" s="340">
        <f>((T37-Summary!$I$24)*Summary!$C$22)+H$54</f>
        <v>259759.2937763161</v>
      </c>
      <c r="U61" s="340">
        <f>((U37-Summary!$I$24)*Summary!$C$22)+I$54</f>
        <v>218939.75279270951</v>
      </c>
      <c r="V61" s="340">
        <f>((V37-Summary!$I$24)*Summary!$C$22)+J$54</f>
        <v>209519.92861238169</v>
      </c>
      <c r="W61" s="340">
        <f>((W37-Summary!$I$24)*Summary!$C$22)+K$54</f>
        <v>266400.51508779154</v>
      </c>
      <c r="X61" s="340">
        <f>((X37-Summary!$I$24)*Summary!$C$22)+L$54</f>
        <v>242489.68844844727</v>
      </c>
      <c r="Y61" s="341">
        <f>((Y37-Summary!$I$24)*Summary!$C$22)+M$54</f>
        <v>286259.10238287348</v>
      </c>
      <c r="AA61" s="145"/>
      <c r="AB61" s="155"/>
      <c r="AC61" s="155"/>
      <c r="AD61" s="221"/>
      <c r="AE61" s="221"/>
      <c r="AF61" s="221"/>
      <c r="AG61" s="221">
        <f>AG54+('Property-Level CF'!AG33*Summary!$C$22)</f>
        <v>367075.74331470992</v>
      </c>
      <c r="AH61" s="221">
        <f>AG54</f>
        <v>31925.493354589209</v>
      </c>
      <c r="AI61" s="221">
        <f>AH61</f>
        <v>31925.493354589209</v>
      </c>
      <c r="AJ61" s="221">
        <f>AI61</f>
        <v>31925.493354589209</v>
      </c>
      <c r="AK61" s="221">
        <f>AJ61</f>
        <v>31925.493354589209</v>
      </c>
      <c r="AL61" s="247">
        <f>AK61</f>
        <v>31925.493354589209</v>
      </c>
      <c r="AN61" s="290">
        <f>AN37</f>
        <v>5.6000000000000001E-2</v>
      </c>
      <c r="AO61" s="340">
        <f>((AO37-Summary!$I$25)*Summary!$C$22)+AC$54</f>
        <v>20288.929138496889</v>
      </c>
      <c r="AP61" s="340">
        <f>((AP37-Summary!$I$25)*Summary!$C$22)+AD$54</f>
        <v>147192.98270992545</v>
      </c>
      <c r="AQ61" s="340">
        <f>((AQ37-Summary!$I$25)*Summary!$C$22)+AE$54</f>
        <v>297611.27958492545</v>
      </c>
      <c r="AR61" s="340">
        <f>((AR37-Summary!$I$25)*Summary!$C$22)+AF$54</f>
        <v>314191.07869206835</v>
      </c>
      <c r="AS61" s="340">
        <f>((AS37-Summary!$I$25)*Summary!$C$22)+AG$54</f>
        <v>330035.91574563982</v>
      </c>
      <c r="AT61" s="340">
        <f>((AT37-Summary!$I$25)*Summary!$C$22)+AH$54</f>
        <v>337509.99833492545</v>
      </c>
      <c r="AU61" s="340">
        <f>((AU37-Summary!$I$25)*Summary!$C$22)+AI$54</f>
        <v>344955.91797778266</v>
      </c>
      <c r="AV61" s="340">
        <f>((AV37-Summary!$I$25)*Summary!$C$22)+AJ$54</f>
        <v>352443.62779921119</v>
      </c>
      <c r="AW61" s="340">
        <f>((AW37-Summary!$I$25)*Summary!$C$22)+AK$54</f>
        <v>347420.29253135412</v>
      </c>
      <c r="AX61" s="341">
        <f>((AX37-Summary!$I$25)*Summary!$C$22)+AL$54</f>
        <v>345468.54029921116</v>
      </c>
      <c r="AZ61" s="145"/>
      <c r="BA61" s="155"/>
      <c r="BB61" s="155"/>
      <c r="BC61" s="221"/>
      <c r="BD61" s="221"/>
      <c r="BE61" s="221"/>
      <c r="BF61" s="221">
        <f>BF54+('Property-Level CF'!BF33*Summary!$C$22)</f>
        <v>388005.77903777163</v>
      </c>
      <c r="BG61" s="221">
        <f>BF54</f>
        <v>36711.529891151353</v>
      </c>
      <c r="BH61" s="221">
        <f>BG61</f>
        <v>36711.529891151353</v>
      </c>
      <c r="BI61" s="221">
        <f>BH61</f>
        <v>36711.529891151353</v>
      </c>
      <c r="BJ61" s="221">
        <f>BI61</f>
        <v>36711.529891151353</v>
      </c>
      <c r="BK61" s="247">
        <f>BJ61</f>
        <v>36711.529891151353</v>
      </c>
      <c r="BM61" s="290">
        <f>BM37</f>
        <v>5.6000000000000001E-2</v>
      </c>
      <c r="BN61" s="340">
        <f>((BN37-Summary!$I$26)*Summary!$C$22)+BB$54</f>
        <v>114794.05819039966</v>
      </c>
      <c r="BO61" s="340">
        <f>((BO37-Summary!$I$26)*Summary!$C$22)+BC$54</f>
        <v>256804.35283325677</v>
      </c>
      <c r="BP61" s="340">
        <f>((BP37-Summary!$I$26)*Summary!$C$22)+BD$54</f>
        <v>331998.51131539972</v>
      </c>
      <c r="BQ61" s="340">
        <f>((BQ37-Summary!$I$26)*Summary!$C$22)+BE$54</f>
        <v>338376.96444039966</v>
      </c>
      <c r="BR61" s="340">
        <f>((BR37-Summary!$I$26)*Summary!$C$22)+BF$54</f>
        <v>344691.82381539966</v>
      </c>
      <c r="BS61" s="340">
        <f>((BS37-Summary!$I$26)*Summary!$C$22)+BG$54</f>
        <v>351346.45551182824</v>
      </c>
      <c r="BT61" s="340">
        <f>((BT37-Summary!$I$26)*Summary!$C$22)+BH$54</f>
        <v>403471.52694039966</v>
      </c>
      <c r="BU61" s="340">
        <f>((BU37-Summary!$I$26)*Summary!$C$22)+BI$54</f>
        <v>419488.06711897114</v>
      </c>
      <c r="BV61" s="340">
        <f>((BV37-Summary!$I$26)*Summary!$C$22)+BJ$54</f>
        <v>426013.69435111387</v>
      </c>
      <c r="BW61" s="341">
        <f>((BW37-Summary!$I$26)*Summary!$C$22)+BK$54</f>
        <v>431668.99569039972</v>
      </c>
      <c r="BY61" s="145"/>
      <c r="BZ61" s="155"/>
      <c r="CA61" s="155"/>
      <c r="CB61" s="221"/>
      <c r="CC61" s="221"/>
      <c r="CD61" s="221"/>
      <c r="CE61" s="221">
        <f>CE54+(CE33*Summary!C22)</f>
        <v>555524.65355407365</v>
      </c>
      <c r="CF61" s="221">
        <f>CE54</f>
        <v>57919.738238135076</v>
      </c>
      <c r="CG61" s="221">
        <f>CF61</f>
        <v>57919.738238135076</v>
      </c>
      <c r="CH61" s="221">
        <f>CG61</f>
        <v>57919.738238135076</v>
      </c>
      <c r="CI61" s="221">
        <f>CH61</f>
        <v>57919.738238135076</v>
      </c>
      <c r="CJ61" s="247">
        <f>CI61</f>
        <v>57919.738238135076</v>
      </c>
      <c r="CL61" s="290">
        <f>CL37</f>
        <v>5.3999999999999999E-2</v>
      </c>
      <c r="CM61" s="340">
        <f>((CM37-Summary!$I$27)*Summary!$C$22)+CA$54</f>
        <v>386244.43344102794</v>
      </c>
      <c r="CN61" s="340">
        <f>((CN37-Summary!$I$27)*Summary!$C$22)+CB$54</f>
        <v>408427.46677436132</v>
      </c>
      <c r="CO61" s="340">
        <f>((CO37-Summary!$I$27)*Summary!$C$22)+CC$54</f>
        <v>430919.85149658349</v>
      </c>
      <c r="CP61" s="340">
        <f>((CP37-Summary!$I$27)*Summary!$C$22)+CD$54</f>
        <v>454019.65566325036</v>
      </c>
      <c r="CQ61" s="340">
        <f>((CQ37-Summary!$I$27)*Summary!$C$22)+CE$54</f>
        <v>477416.58760769473</v>
      </c>
      <c r="CR61" s="340">
        <f>((CR37-Summary!$I$27)*Summary!$C$22)+CF$54</f>
        <v>501284.5987188057</v>
      </c>
      <c r="CS61" s="340">
        <f>((CS37-Summary!$I$27)*Summary!$C$22)+CG$54</f>
        <v>525418.70844102791</v>
      </c>
      <c r="CT61" s="340">
        <f>((CT37-Summary!$I$27)*Summary!$C$22)+CH$54</f>
        <v>549940.21260769479</v>
      </c>
      <c r="CU61" s="340">
        <f>((CU37-Summary!$I$27)*Summary!$C$22)+CI$54</f>
        <v>575537.3945521391</v>
      </c>
      <c r="CV61" s="341">
        <f>((CV37-Summary!$I$27)*Summary!$C$22)+CJ$54</f>
        <v>602856.22510769474</v>
      </c>
      <c r="CX61" s="145"/>
      <c r="CY61" s="155"/>
      <c r="CZ61" s="155"/>
      <c r="DA61" s="221"/>
      <c r="DB61" s="221"/>
      <c r="DC61" s="221"/>
      <c r="DD61" s="221">
        <f>DD54+('Property-Level CF'!DD33*Summary!$C$22)</f>
        <v>241706.32629212737</v>
      </c>
      <c r="DE61" s="221">
        <f>DD54</f>
        <v>25220.732110012104</v>
      </c>
      <c r="DF61" s="221">
        <f>DE61</f>
        <v>25220.732110012104</v>
      </c>
      <c r="DG61" s="221">
        <f>DF61</f>
        <v>25220.732110012104</v>
      </c>
      <c r="DH61" s="221">
        <f>DG61</f>
        <v>25220.732110012104</v>
      </c>
      <c r="DI61" s="247">
        <f>DH61</f>
        <v>25220.732110012104</v>
      </c>
      <c r="DK61" s="290">
        <f>DK37</f>
        <v>5.5E-2</v>
      </c>
      <c r="DL61" s="340">
        <f>((DL37-Summary!$I$28)*Summary!$C$22)+CZ$54</f>
        <v>164101.93389506362</v>
      </c>
      <c r="DM61" s="340">
        <f>((DM37-Summary!$I$28)*Summary!$C$22)+DA$54</f>
        <v>174898.08798597261</v>
      </c>
      <c r="DN61" s="340">
        <f>((DN37-Summary!$I$28)*Summary!$C$22)+DB$54</f>
        <v>185909.55525869993</v>
      </c>
      <c r="DO61" s="340">
        <f>((DO37-Summary!$I$28)*Summary!$C$22)+DC$54</f>
        <v>197140.95616779078</v>
      </c>
      <c r="DP61" s="340">
        <f>((DP37-Summary!$I$28)*Summary!$C$22)+DD$54</f>
        <v>208597.8352586999</v>
      </c>
      <c r="DQ61" s="340">
        <f>((DQ37-Summary!$I$28)*Summary!$C$22)+DE$54</f>
        <v>220283.8888950636</v>
      </c>
      <c r="DR61" s="340">
        <f>((DR37-Summary!$I$28)*Summary!$C$22)+DF$54</f>
        <v>232202.8134405181</v>
      </c>
      <c r="DS61" s="340">
        <f>((DS37-Summary!$I$28)*Summary!$C$22)+DG$54</f>
        <v>244361.07753142717</v>
      </c>
      <c r="DT61" s="340">
        <f>((DT37-Summary!$I$28)*Summary!$C$22)+DH$54</f>
        <v>256761.45344051806</v>
      </c>
      <c r="DU61" s="341">
        <f>((DU37-Summary!$I$28)*Summary!$C$22)+DI$54</f>
        <v>269410.40980415448</v>
      </c>
      <c r="DW61" s="145"/>
      <c r="DX61" s="155"/>
      <c r="DY61" s="155"/>
      <c r="DZ61" s="221"/>
      <c r="EA61" s="221"/>
      <c r="EB61" s="221"/>
      <c r="EC61" s="221">
        <f>EC54+('Property-Level CF'!EC33*Summary!$C$22)</f>
        <v>572307.3642358064</v>
      </c>
      <c r="ED61" s="221">
        <f>EC54</f>
        <v>56230.130771111406</v>
      </c>
      <c r="EE61" s="221">
        <f>ED61</f>
        <v>56230.130771111406</v>
      </c>
      <c r="EF61" s="221">
        <f>EE61</f>
        <v>56230.130771111406</v>
      </c>
      <c r="EG61" s="221">
        <f>EF61</f>
        <v>56230.130771111406</v>
      </c>
      <c r="EH61" s="247">
        <f>EG61</f>
        <v>56230.130771111406</v>
      </c>
      <c r="EJ61" s="290">
        <f>EJ37</f>
        <v>5.1999999999999998E-2</v>
      </c>
      <c r="EK61" s="340">
        <f>((EK37-Summary!$I$29)*Summary!$C$22)+DY$54</f>
        <v>382960.54822486965</v>
      </c>
      <c r="EL61" s="340">
        <f>((EL37-Summary!$I$29)*Summary!$C$22)+DZ$54</f>
        <v>408622.56312871585</v>
      </c>
      <c r="EM61" s="340">
        <f>((EM37-Summary!$I$29)*Summary!$C$22)+EA$54</f>
        <v>434527.23332102346</v>
      </c>
      <c r="EN61" s="340">
        <f>((EN37-Summary!$I$29)*Summary!$C$22)+EB$54</f>
        <v>461137.45543640805</v>
      </c>
      <c r="EO61" s="340">
        <f>((EO37-Summary!$I$29)*Summary!$C$22)+EC$54</f>
        <v>488282.68860948505</v>
      </c>
      <c r="EP61" s="340">
        <f>((EP37-Summary!$I$29)*Summary!$C$22)+ED$54</f>
        <v>516014.5823594851</v>
      </c>
      <c r="EQ61" s="340">
        <f>((EQ37-Summary!$I$29)*Summary!$C$22)+EE$54</f>
        <v>544108.02274410054</v>
      </c>
      <c r="ER61" s="340">
        <f>((ER37-Summary!$I$29)*Summary!$C$22)+EF$54</f>
        <v>573081.45399410045</v>
      </c>
      <c r="ES61" s="340">
        <f>((ES37-Summary!$I$29)*Summary!$C$22)+EG$54</f>
        <v>602295.59149410052</v>
      </c>
      <c r="ET61" s="341">
        <f>((ET37-Summary!$I$29)*Summary!$C$22)+EH$54</f>
        <v>632216.2554364081</v>
      </c>
    </row>
    <row r="62" spans="2:150" ht="13.5" thickBot="1" x14ac:dyDescent="0.35">
      <c r="B62" s="145"/>
      <c r="C62" s="155"/>
      <c r="D62" s="155"/>
      <c r="E62" s="221"/>
      <c r="F62" s="221"/>
      <c r="G62" s="221"/>
      <c r="H62" s="221"/>
      <c r="I62" s="221">
        <f>I54+('Property-Level CF'!I33*Summary!$C$22)</f>
        <v>246442.00836603242</v>
      </c>
      <c r="J62" s="221">
        <f>I54</f>
        <v>32020.3718016087</v>
      </c>
      <c r="K62" s="221">
        <f>J62</f>
        <v>32020.3718016087</v>
      </c>
      <c r="L62" s="221">
        <f>K62</f>
        <v>32020.3718016087</v>
      </c>
      <c r="M62" s="247">
        <f>L62</f>
        <v>32020.3718016087</v>
      </c>
      <c r="AA62" s="145"/>
      <c r="AB62" s="155"/>
      <c r="AC62" s="155"/>
      <c r="AD62" s="221"/>
      <c r="AE62" s="221"/>
      <c r="AF62" s="221"/>
      <c r="AG62" s="221"/>
      <c r="AH62" s="221">
        <f>AH54+('Property-Level CF'!AH33*Summary!$C$22)</f>
        <v>374949.60322037031</v>
      </c>
      <c r="AI62" s="221">
        <f>AH54</f>
        <v>32336.843354589211</v>
      </c>
      <c r="AJ62" s="221">
        <f>AI62</f>
        <v>32336.843354589211</v>
      </c>
      <c r="AK62" s="221">
        <f>AJ62</f>
        <v>32336.843354589211</v>
      </c>
      <c r="AL62" s="247">
        <f>AK62</f>
        <v>32336.843354589211</v>
      </c>
      <c r="AZ62" s="145"/>
      <c r="BA62" s="155"/>
      <c r="BB62" s="155"/>
      <c r="BC62" s="221"/>
      <c r="BD62" s="221"/>
      <c r="BE62" s="221"/>
      <c r="BF62" s="221"/>
      <c r="BG62" s="221">
        <f>BG54+('Property-Level CF'!BG33*Summary!$C$22)</f>
        <v>395016.35686796036</v>
      </c>
      <c r="BH62" s="221">
        <f>BG54</f>
        <v>37077.779891151353</v>
      </c>
      <c r="BI62" s="221">
        <f>BH62</f>
        <v>37077.779891151353</v>
      </c>
      <c r="BJ62" s="221">
        <f>BI62</f>
        <v>37077.779891151353</v>
      </c>
      <c r="BK62" s="247">
        <f>BJ62</f>
        <v>37077.779891151353</v>
      </c>
      <c r="BY62" s="145"/>
      <c r="BZ62" s="155"/>
      <c r="CA62" s="155"/>
      <c r="CB62" s="221"/>
      <c r="CC62" s="221"/>
      <c r="CD62" s="221"/>
      <c r="CE62" s="221"/>
      <c r="CF62" s="221">
        <f>CF54+(CF33*Summary!C22)</f>
        <v>580758.91841536865</v>
      </c>
      <c r="CG62" s="221">
        <f>CF54</f>
        <v>59188.938238135073</v>
      </c>
      <c r="CH62" s="221">
        <f>CG62</f>
        <v>59188.938238135073</v>
      </c>
      <c r="CI62" s="221">
        <f>CH62</f>
        <v>59188.938238135073</v>
      </c>
      <c r="CJ62" s="247">
        <f>CI62</f>
        <v>59188.938238135073</v>
      </c>
      <c r="CX62" s="145"/>
      <c r="CY62" s="155"/>
      <c r="CZ62" s="155"/>
      <c r="DA62" s="221"/>
      <c r="DB62" s="221"/>
      <c r="DC62" s="221"/>
      <c r="DD62" s="221"/>
      <c r="DE62" s="221">
        <f>DE54+('Property-Level CF'!DE33*Summary!$C$22)</f>
        <v>254054.57069462122</v>
      </c>
      <c r="DF62" s="221">
        <f>DE54</f>
        <v>25853.032110012104</v>
      </c>
      <c r="DG62" s="221">
        <f>DF62</f>
        <v>25853.032110012104</v>
      </c>
      <c r="DH62" s="221">
        <f>DG62</f>
        <v>25853.032110012104</v>
      </c>
      <c r="DI62" s="247">
        <f>DH62</f>
        <v>25853.032110012104</v>
      </c>
      <c r="DW62" s="145"/>
      <c r="DX62" s="155"/>
      <c r="DY62" s="155"/>
      <c r="DZ62" s="221"/>
      <c r="EA62" s="221"/>
      <c r="EB62" s="221"/>
      <c r="EC62" s="221"/>
      <c r="ED62" s="221">
        <f>ED54+('Property-Level CF'!ED33*Summary!$C$22)</f>
        <v>601723.57149319421</v>
      </c>
      <c r="EE62" s="221">
        <f>ED54</f>
        <v>57652.980771111412</v>
      </c>
      <c r="EF62" s="221">
        <f>EE62</f>
        <v>57652.980771111412</v>
      </c>
      <c r="EG62" s="221">
        <f>EF62</f>
        <v>57652.980771111412</v>
      </c>
      <c r="EH62" s="247">
        <f>EG62</f>
        <v>57652.980771111412</v>
      </c>
    </row>
    <row r="63" spans="2:150" ht="13.5" thickBot="1" x14ac:dyDescent="0.35">
      <c r="B63" s="145"/>
      <c r="C63" s="155"/>
      <c r="D63" s="155"/>
      <c r="E63" s="221"/>
      <c r="F63" s="221"/>
      <c r="G63" s="221"/>
      <c r="H63" s="221"/>
      <c r="I63" s="221"/>
      <c r="J63" s="221">
        <f>J54+('Property-Level CF'!J33*Summary!$C$22)</f>
        <v>237560.45720536029</v>
      </c>
      <c r="K63" s="221">
        <f>J54</f>
        <v>10404.471801608699</v>
      </c>
      <c r="L63" s="221">
        <f>K63</f>
        <v>10404.471801608699</v>
      </c>
      <c r="M63" s="247">
        <f>L63</f>
        <v>10404.471801608699</v>
      </c>
      <c r="O63" s="512" t="s">
        <v>174</v>
      </c>
      <c r="P63" s="513"/>
      <c r="Q63" s="513"/>
      <c r="R63" s="513"/>
      <c r="S63" s="513"/>
      <c r="T63" s="513"/>
      <c r="U63" s="513"/>
      <c r="V63" s="513"/>
      <c r="W63" s="513"/>
      <c r="X63" s="513"/>
      <c r="Y63" s="514"/>
      <c r="AA63" s="145"/>
      <c r="AB63" s="155"/>
      <c r="AC63" s="155"/>
      <c r="AD63" s="221"/>
      <c r="AE63" s="221"/>
      <c r="AF63" s="221"/>
      <c r="AG63" s="221"/>
      <c r="AH63" s="221"/>
      <c r="AI63" s="221">
        <f>AI54+('Property-Level CF'!AI33*Summary!$C$22)</f>
        <v>382793.79378640803</v>
      </c>
      <c r="AJ63" s="221">
        <f>AI54</f>
        <v>32746.643354589211</v>
      </c>
      <c r="AK63" s="221">
        <f>AJ63</f>
        <v>32746.643354589211</v>
      </c>
      <c r="AL63" s="247">
        <f>AK63</f>
        <v>32746.643354589211</v>
      </c>
      <c r="AN63" s="512" t="s">
        <v>174</v>
      </c>
      <c r="AO63" s="513"/>
      <c r="AP63" s="513"/>
      <c r="AQ63" s="513"/>
      <c r="AR63" s="513"/>
      <c r="AS63" s="513"/>
      <c r="AT63" s="513"/>
      <c r="AU63" s="513"/>
      <c r="AV63" s="513"/>
      <c r="AW63" s="513"/>
      <c r="AX63" s="514"/>
      <c r="AZ63" s="145"/>
      <c r="BA63" s="155"/>
      <c r="BB63" s="155"/>
      <c r="BC63" s="221"/>
      <c r="BD63" s="221"/>
      <c r="BE63" s="221"/>
      <c r="BF63" s="221"/>
      <c r="BG63" s="221"/>
      <c r="BH63" s="221">
        <f>BH54+('Property-Level CF'!BH33*Summary!$C$22)</f>
        <v>449929.51913211128</v>
      </c>
      <c r="BI63" s="221">
        <f>BH54</f>
        <v>39946.579891151356</v>
      </c>
      <c r="BJ63" s="221">
        <f>BI63</f>
        <v>39946.579891151356</v>
      </c>
      <c r="BK63" s="247">
        <f>BJ63</f>
        <v>39946.579891151356</v>
      </c>
      <c r="BM63" s="512" t="s">
        <v>174</v>
      </c>
      <c r="BN63" s="513"/>
      <c r="BO63" s="513"/>
      <c r="BP63" s="513"/>
      <c r="BQ63" s="513"/>
      <c r="BR63" s="513"/>
      <c r="BS63" s="513"/>
      <c r="BT63" s="513"/>
      <c r="BU63" s="513"/>
      <c r="BV63" s="513"/>
      <c r="BW63" s="514"/>
      <c r="BY63" s="145"/>
      <c r="BZ63" s="155"/>
      <c r="CA63" s="155"/>
      <c r="CB63" s="221"/>
      <c r="CC63" s="221"/>
      <c r="CD63" s="221"/>
      <c r="CE63" s="221"/>
      <c r="CF63" s="221"/>
      <c r="CG63" s="221">
        <f>CG54+(CG33*Summary!C22)</f>
        <v>606274.51391626883</v>
      </c>
      <c r="CH63" s="221">
        <f>CG54</f>
        <v>60472.288238135079</v>
      </c>
      <c r="CI63" s="221">
        <f>CG54</f>
        <v>60472.288238135079</v>
      </c>
      <c r="CJ63" s="247">
        <f>CI63</f>
        <v>60472.288238135079</v>
      </c>
      <c r="CL63" s="512" t="s">
        <v>174</v>
      </c>
      <c r="CM63" s="513"/>
      <c r="CN63" s="513"/>
      <c r="CO63" s="513"/>
      <c r="CP63" s="513"/>
      <c r="CQ63" s="513"/>
      <c r="CR63" s="513"/>
      <c r="CS63" s="513"/>
      <c r="CT63" s="513"/>
      <c r="CU63" s="513"/>
      <c r="CV63" s="514"/>
      <c r="CX63" s="145"/>
      <c r="CY63" s="155"/>
      <c r="CZ63" s="155"/>
      <c r="DA63" s="221"/>
      <c r="DB63" s="221"/>
      <c r="DC63" s="221"/>
      <c r="DD63" s="221"/>
      <c r="DE63" s="221"/>
      <c r="DF63" s="221">
        <f>DF54+('Property-Level CF'!DF33*Summary!$C$22)</f>
        <v>266648.88164696685</v>
      </c>
      <c r="DG63" s="221">
        <f>DF54</f>
        <v>26497.932110012101</v>
      </c>
      <c r="DH63" s="221">
        <f>DG63</f>
        <v>26497.932110012101</v>
      </c>
      <c r="DI63" s="247">
        <f>DH63</f>
        <v>26497.932110012101</v>
      </c>
      <c r="DK63" s="512" t="s">
        <v>174</v>
      </c>
      <c r="DL63" s="513"/>
      <c r="DM63" s="513"/>
      <c r="DN63" s="513"/>
      <c r="DO63" s="513"/>
      <c r="DP63" s="513"/>
      <c r="DQ63" s="513"/>
      <c r="DR63" s="513"/>
      <c r="DS63" s="513"/>
      <c r="DT63" s="513"/>
      <c r="DU63" s="514"/>
      <c r="DW63" s="145"/>
      <c r="DX63" s="155"/>
      <c r="DY63" s="155"/>
      <c r="DZ63" s="221"/>
      <c r="EA63" s="221"/>
      <c r="EB63" s="221"/>
      <c r="EC63" s="221"/>
      <c r="ED63" s="221"/>
      <c r="EE63" s="221">
        <f>EE54+('Property-Level CF'!EE33*Summary!$C$22)</f>
        <v>631523.28414090723</v>
      </c>
      <c r="EF63" s="221">
        <f>EE54</f>
        <v>59094.380771111406</v>
      </c>
      <c r="EG63" s="221">
        <f>EF63</f>
        <v>59094.380771111406</v>
      </c>
      <c r="EH63" s="247">
        <f>EG63</f>
        <v>59094.380771111406</v>
      </c>
      <c r="EJ63" s="512" t="s">
        <v>174</v>
      </c>
      <c r="EK63" s="513"/>
      <c r="EL63" s="513"/>
      <c r="EM63" s="513"/>
      <c r="EN63" s="513"/>
      <c r="EO63" s="513"/>
      <c r="EP63" s="513"/>
      <c r="EQ63" s="513"/>
      <c r="ER63" s="513"/>
      <c r="ES63" s="513"/>
      <c r="ET63" s="514"/>
    </row>
    <row r="64" spans="2:150" ht="13.5" thickBot="1" x14ac:dyDescent="0.35">
      <c r="B64" s="145"/>
      <c r="C64" s="155"/>
      <c r="D64" s="155"/>
      <c r="E64" s="221"/>
      <c r="F64" s="221"/>
      <c r="G64" s="221"/>
      <c r="H64" s="221"/>
      <c r="I64" s="221"/>
      <c r="J64" s="221"/>
      <c r="K64" s="221">
        <f>K54+('Property-Level CF'!K33*Summary!$C$22)</f>
        <v>295872.48468741879</v>
      </c>
      <c r="L64" s="221">
        <f>K54</f>
        <v>34851.771801608702</v>
      </c>
      <c r="M64" s="247">
        <f>L64</f>
        <v>34851.771801608702</v>
      </c>
      <c r="O64" s="3" t="s">
        <v>11</v>
      </c>
      <c r="P64" s="287" t="str">
        <f>P56</f>
        <v>Year 1</v>
      </c>
      <c r="Q64" s="287" t="s">
        <v>115</v>
      </c>
      <c r="R64" s="287" t="s">
        <v>116</v>
      </c>
      <c r="S64" s="287" t="s">
        <v>117</v>
      </c>
      <c r="T64" s="287" t="s">
        <v>118</v>
      </c>
      <c r="U64" s="287" t="s">
        <v>119</v>
      </c>
      <c r="V64" s="287" t="s">
        <v>120</v>
      </c>
      <c r="W64" s="287" t="s">
        <v>121</v>
      </c>
      <c r="X64" s="287" t="s">
        <v>122</v>
      </c>
      <c r="Y64" s="288" t="s">
        <v>123</v>
      </c>
      <c r="AA64" s="145"/>
      <c r="AB64" s="155"/>
      <c r="AC64" s="155"/>
      <c r="AD64" s="221"/>
      <c r="AE64" s="221"/>
      <c r="AF64" s="221"/>
      <c r="AG64" s="221"/>
      <c r="AH64" s="221"/>
      <c r="AI64" s="221"/>
      <c r="AJ64" s="221">
        <f>AJ54+('Property-Level CF'!AJ33*Summary!$C$22)</f>
        <v>390682.00982414384</v>
      </c>
      <c r="AK64" s="221">
        <f>AJ54</f>
        <v>33158.743354589213</v>
      </c>
      <c r="AL64" s="247">
        <f>AK64</f>
        <v>33158.743354589213</v>
      </c>
      <c r="AN64" s="3" t="s">
        <v>11</v>
      </c>
      <c r="AO64" s="287" t="s">
        <v>114</v>
      </c>
      <c r="AP64" s="287" t="s">
        <v>115</v>
      </c>
      <c r="AQ64" s="287" t="s">
        <v>116</v>
      </c>
      <c r="AR64" s="287" t="s">
        <v>117</v>
      </c>
      <c r="AS64" s="287" t="s">
        <v>118</v>
      </c>
      <c r="AT64" s="287" t="s">
        <v>119</v>
      </c>
      <c r="AU64" s="287" t="s">
        <v>120</v>
      </c>
      <c r="AV64" s="287" t="s">
        <v>121</v>
      </c>
      <c r="AW64" s="287" t="s">
        <v>122</v>
      </c>
      <c r="AX64" s="288" t="s">
        <v>123</v>
      </c>
      <c r="AZ64" s="145"/>
      <c r="BA64" s="155"/>
      <c r="BB64" s="155"/>
      <c r="BC64" s="221"/>
      <c r="BD64" s="221"/>
      <c r="BE64" s="221"/>
      <c r="BF64" s="221"/>
      <c r="BG64" s="221"/>
      <c r="BH64" s="221"/>
      <c r="BI64" s="221">
        <f>BI54+('Property-Level CF'!BI33*Summary!$C$22)</f>
        <v>466802.75969814911</v>
      </c>
      <c r="BJ64" s="221">
        <f>BI54</f>
        <v>40828.079891151356</v>
      </c>
      <c r="BK64" s="247">
        <f>BJ64</f>
        <v>40828.079891151356</v>
      </c>
      <c r="BM64" s="3" t="s">
        <v>11</v>
      </c>
      <c r="BN64" s="287" t="s">
        <v>114</v>
      </c>
      <c r="BO64" s="287" t="s">
        <v>115</v>
      </c>
      <c r="BP64" s="287" t="s">
        <v>116</v>
      </c>
      <c r="BQ64" s="287" t="s">
        <v>117</v>
      </c>
      <c r="BR64" s="287" t="s">
        <v>118</v>
      </c>
      <c r="BS64" s="287" t="s">
        <v>119</v>
      </c>
      <c r="BT64" s="287" t="s">
        <v>120</v>
      </c>
      <c r="BU64" s="287" t="s">
        <v>121</v>
      </c>
      <c r="BV64" s="287" t="s">
        <v>122</v>
      </c>
      <c r="BW64" s="288" t="s">
        <v>123</v>
      </c>
      <c r="BY64" s="145"/>
      <c r="BZ64" s="155"/>
      <c r="CA64" s="155"/>
      <c r="CB64" s="221"/>
      <c r="CC64" s="221"/>
      <c r="CD64" s="221"/>
      <c r="CE64" s="221"/>
      <c r="CF64" s="221"/>
      <c r="CG64" s="221"/>
      <c r="CH64" s="221">
        <f>CH54+(CH33*Summary!C22)</f>
        <v>632199.67911157734</v>
      </c>
      <c r="CI64" s="221">
        <f>CH54</f>
        <v>61776.238238135076</v>
      </c>
      <c r="CJ64" s="247">
        <f>CI64</f>
        <v>61776.238238135076</v>
      </c>
      <c r="CL64" s="3" t="s">
        <v>11</v>
      </c>
      <c r="CM64" s="287" t="s">
        <v>114</v>
      </c>
      <c r="CN64" s="287" t="s">
        <v>115</v>
      </c>
      <c r="CO64" s="287" t="s">
        <v>116</v>
      </c>
      <c r="CP64" s="287" t="s">
        <v>117</v>
      </c>
      <c r="CQ64" s="287" t="s">
        <v>118</v>
      </c>
      <c r="CR64" s="287" t="s">
        <v>119</v>
      </c>
      <c r="CS64" s="287" t="s">
        <v>120</v>
      </c>
      <c r="CT64" s="287" t="s">
        <v>121</v>
      </c>
      <c r="CU64" s="287" t="s">
        <v>122</v>
      </c>
      <c r="CV64" s="288" t="s">
        <v>123</v>
      </c>
      <c r="CX64" s="145"/>
      <c r="CY64" s="155"/>
      <c r="CZ64" s="155"/>
      <c r="DA64" s="221"/>
      <c r="DB64" s="221"/>
      <c r="DC64" s="221"/>
      <c r="DD64" s="221"/>
      <c r="DE64" s="221"/>
      <c r="DF64" s="221"/>
      <c r="DG64" s="221">
        <f>DG54+('Property-Level CF'!DG33*Summary!$C$22)</f>
        <v>279496.09433110489</v>
      </c>
      <c r="DH64" s="221">
        <f>DG54</f>
        <v>27155.782110012107</v>
      </c>
      <c r="DI64" s="247">
        <f>DH64</f>
        <v>27155.782110012107</v>
      </c>
      <c r="DK64" s="3" t="s">
        <v>11</v>
      </c>
      <c r="DL64" s="287" t="s">
        <v>114</v>
      </c>
      <c r="DM64" s="287" t="s">
        <v>115</v>
      </c>
      <c r="DN64" s="287" t="s">
        <v>116</v>
      </c>
      <c r="DO64" s="287" t="s">
        <v>117</v>
      </c>
      <c r="DP64" s="287" t="s">
        <v>118</v>
      </c>
      <c r="DQ64" s="287" t="s">
        <v>119</v>
      </c>
      <c r="DR64" s="287" t="s">
        <v>120</v>
      </c>
      <c r="DS64" s="287" t="s">
        <v>121</v>
      </c>
      <c r="DT64" s="287" t="s">
        <v>122</v>
      </c>
      <c r="DU64" s="288" t="s">
        <v>123</v>
      </c>
      <c r="DW64" s="145"/>
      <c r="DX64" s="155"/>
      <c r="DY64" s="155"/>
      <c r="DZ64" s="221"/>
      <c r="EA64" s="221"/>
      <c r="EB64" s="221"/>
      <c r="EC64" s="221"/>
      <c r="ED64" s="221"/>
      <c r="EE64" s="221"/>
      <c r="EF64" s="221">
        <f>EF54+('Property-Level CF'!EF33*Summary!$C$22)</f>
        <v>662256.43443677097</v>
      </c>
      <c r="EG64" s="221">
        <f>EF54</f>
        <v>60580.930771111409</v>
      </c>
      <c r="EH64" s="247">
        <f>EG64</f>
        <v>60580.930771111409</v>
      </c>
      <c r="EJ64" s="3" t="s">
        <v>11</v>
      </c>
      <c r="EK64" s="287" t="s">
        <v>114</v>
      </c>
      <c r="EL64" s="287" t="s">
        <v>115</v>
      </c>
      <c r="EM64" s="287" t="s">
        <v>116</v>
      </c>
      <c r="EN64" s="287" t="s">
        <v>117</v>
      </c>
      <c r="EO64" s="287" t="s">
        <v>118</v>
      </c>
      <c r="EP64" s="287" t="s">
        <v>119</v>
      </c>
      <c r="EQ64" s="287" t="s">
        <v>120</v>
      </c>
      <c r="ER64" s="287" t="s">
        <v>121</v>
      </c>
      <c r="ES64" s="287" t="s">
        <v>122</v>
      </c>
      <c r="ET64" s="288" t="s">
        <v>123</v>
      </c>
    </row>
    <row r="65" spans="2:150" x14ac:dyDescent="0.3">
      <c r="B65" s="145"/>
      <c r="C65" s="155"/>
      <c r="D65" s="155"/>
      <c r="E65" s="221"/>
      <c r="F65" s="221"/>
      <c r="G65" s="221"/>
      <c r="H65" s="221"/>
      <c r="I65" s="221"/>
      <c r="J65" s="221"/>
      <c r="K65" s="221"/>
      <c r="L65" s="221">
        <f>L54+('Property-Level CF'!L33*Summary!$C$22)</f>
        <v>271744.4357535512</v>
      </c>
      <c r="M65" s="247">
        <f>L54</f>
        <v>15862.721801608699</v>
      </c>
      <c r="O65" s="291">
        <f>O33</f>
        <v>5.7000000000000002E-2</v>
      </c>
      <c r="P65" s="292">
        <f>IRR(($C54:C54,P57))</f>
        <v>6.5378924347242462E-2</v>
      </c>
      <c r="Q65" s="292">
        <f>IRR(($C54:D54,Q57))</f>
        <v>0.12510148820248324</v>
      </c>
      <c r="R65" s="292">
        <f>IRR(($C54:E54,R57))</f>
        <v>0.13553808923050714</v>
      </c>
      <c r="S65" s="292">
        <f>IRR(($C54:F54,S57))</f>
        <v>0.11915085870975561</v>
      </c>
      <c r="T65" s="292">
        <f>IRR(($C54:G54,T57))</f>
        <v>0.14563364872149553</v>
      </c>
      <c r="U65" s="292">
        <f>IRR(($C54:H54,U57))</f>
        <v>0.12154823968192918</v>
      </c>
      <c r="V65" s="292">
        <f>IRR(($C54:I54,V57))</f>
        <v>0.11959790470895126</v>
      </c>
      <c r="W65" s="292">
        <f>IRR(($C54:J54,W57))</f>
        <v>0.13306933019741418</v>
      </c>
      <c r="X65" s="292">
        <f>IRR(($C54:K54,X57))</f>
        <v>0.1259854777172722</v>
      </c>
      <c r="Y65" s="293">
        <f>IRR(($C54:L54,Y57))</f>
        <v>0.13214922732753687</v>
      </c>
      <c r="AA65" s="145"/>
      <c r="AB65" s="155"/>
      <c r="AC65" s="155"/>
      <c r="AD65" s="221"/>
      <c r="AE65" s="221"/>
      <c r="AF65" s="221"/>
      <c r="AG65" s="221"/>
      <c r="AH65" s="221"/>
      <c r="AI65" s="221"/>
      <c r="AJ65" s="221"/>
      <c r="AK65" s="221">
        <f>AK54+('Property-Level CF'!AK33*Summary!$C$22)</f>
        <v>385671.64897508727</v>
      </c>
      <c r="AL65" s="247">
        <f>AK54</f>
        <v>27906.19335458921</v>
      </c>
      <c r="AN65" s="291">
        <f>AN33</f>
        <v>5.1999999999999998E-2</v>
      </c>
      <c r="AO65" s="292">
        <f>IRR(($AB54:AB54,AO57))</f>
        <v>-0.74920919840379319</v>
      </c>
      <c r="AP65" s="292">
        <f>IRR(($AB54:AC54,AP57))</f>
        <v>1.9552834041987488E-2</v>
      </c>
      <c r="AQ65" s="292">
        <f>IRR(($AB54:AD54,AQ57))</f>
        <v>0.27505233911556282</v>
      </c>
      <c r="AR65" s="292">
        <f>IRR(($AB54:AE54,AR57))</f>
        <v>0.24696013469894806</v>
      </c>
      <c r="AS65" s="292">
        <f>IRR(($AB54:AF54,AS57))</f>
        <v>0.22938153754278545</v>
      </c>
      <c r="AT65" s="292">
        <f>IRR(($AB54:AG54,AT57))</f>
        <v>0.21378482934495557</v>
      </c>
      <c r="AU65" s="292">
        <f>IRR(($AB54:AH54,AU57))</f>
        <v>0.20279847197620038</v>
      </c>
      <c r="AV65" s="292">
        <f>IRR(($AB54:AI54,AV57))</f>
        <v>0.19466306791235932</v>
      </c>
      <c r="AW65" s="292">
        <f>IRR(($AB54:AJ54,AW57))</f>
        <v>0.18567226124475233</v>
      </c>
      <c r="AX65" s="293">
        <f>IRR(($AB54:AK54,AX57))</f>
        <v>0.17828719966105555</v>
      </c>
      <c r="AZ65" s="145"/>
      <c r="BA65" s="155"/>
      <c r="BB65" s="155"/>
      <c r="BC65" s="221"/>
      <c r="BD65" s="221"/>
      <c r="BE65" s="221"/>
      <c r="BF65" s="221"/>
      <c r="BG65" s="221"/>
      <c r="BH65" s="221"/>
      <c r="BI65" s="221"/>
      <c r="BJ65" s="221">
        <f>BJ54+('Property-Level CF'!BJ33*Summary!$C$22)</f>
        <v>473677.43281135662</v>
      </c>
      <c r="BK65" s="247">
        <f>BJ54</f>
        <v>41187.22989115135</v>
      </c>
      <c r="BM65" s="291">
        <f>BM33</f>
        <v>4.3999999999999997E-2</v>
      </c>
      <c r="BN65" s="292">
        <f>IRR(($BA54:BA54,BN57))</f>
        <v>7.3263388154570341E-2</v>
      </c>
      <c r="BO65" s="292">
        <f>IRR(($BA54:BB54,BO57))</f>
        <v>0.39091245530774743</v>
      </c>
      <c r="BP65" s="292">
        <f>IRR(($BA54:BC54,BP57))</f>
        <v>0.36467942708166889</v>
      </c>
      <c r="BQ65" s="292">
        <f>IRR(($BA54:BD54,BQ57))</f>
        <v>0.29781346116527341</v>
      </c>
      <c r="BR65" s="292">
        <f>IRR(($BA54:BE54,BR57))</f>
        <v>0.25957809882880634</v>
      </c>
      <c r="BS65" s="292">
        <f>IRR(($BA54:BF54,BS57))</f>
        <v>0.2350296750186478</v>
      </c>
      <c r="BT65" s="292">
        <f>IRR(($BA54:BG54,BT57))</f>
        <v>0.23063780709785853</v>
      </c>
      <c r="BU65" s="292">
        <f>IRR(($BA54:BH54,BU57))</f>
        <v>0.21821241166962757</v>
      </c>
      <c r="BV65" s="292">
        <f>IRR(($BA54:BI54,BV57))</f>
        <v>0.20692617247890155</v>
      </c>
      <c r="BW65" s="293">
        <f>IRR(($BA54:BJ54,BW57))</f>
        <v>0.19796835659550438</v>
      </c>
      <c r="BY65" s="145"/>
      <c r="BZ65" s="155"/>
      <c r="CA65" s="155"/>
      <c r="CB65" s="221"/>
      <c r="CC65" s="221"/>
      <c r="CD65" s="221"/>
      <c r="CE65" s="221"/>
      <c r="CF65" s="221"/>
      <c r="CG65" s="221"/>
      <c r="CH65" s="221"/>
      <c r="CI65" s="221">
        <f>CI54+(CI33*Summary!C22)</f>
        <v>659262.09607970808</v>
      </c>
      <c r="CJ65" s="247">
        <f>CI54</f>
        <v>63137.388238135085</v>
      </c>
      <c r="CL65" s="291">
        <f>CL33</f>
        <v>0.05</v>
      </c>
      <c r="CM65" s="292">
        <f>IRR(($BZ54:BZ54,CM57))</f>
        <v>2.7471967034431666E-2</v>
      </c>
      <c r="CN65" s="292">
        <f>IRR(($BZ54:CA54,CN57))</f>
        <v>9.6416257534647443E-2</v>
      </c>
      <c r="CO65" s="292">
        <f>IRR(($BZ54:CB54,CO57))</f>
        <v>0.11878767091453035</v>
      </c>
      <c r="CP65" s="292">
        <f>IRR(($BZ54:CC54,CP57))</f>
        <v>0.12919678789434519</v>
      </c>
      <c r="CQ65" s="292">
        <f>IRR(($BZ54:CD54,CQ57))</f>
        <v>0.1347021142749445</v>
      </c>
      <c r="CR65" s="292">
        <f>IRR(($BZ54:CE54,CR57))</f>
        <v>0.13785413278727332</v>
      </c>
      <c r="CS65" s="292">
        <f>IRR(($BZ54:CF54,CS57))</f>
        <v>0.13966341966220597</v>
      </c>
      <c r="CT65" s="292">
        <f>IRR(($BZ54:CG54,CT57))</f>
        <v>0.14069703922428012</v>
      </c>
      <c r="CU65" s="292">
        <f>IRR(($BZ54:CH54,CU57))</f>
        <v>0.14133412297760639</v>
      </c>
      <c r="CV65" s="293">
        <f>IRR(($BZ54:CI54,CV57))</f>
        <v>0.14177063153821656</v>
      </c>
      <c r="CX65" s="145"/>
      <c r="CY65" s="155"/>
      <c r="CZ65" s="155"/>
      <c r="DA65" s="221"/>
      <c r="DB65" s="221"/>
      <c r="DC65" s="221"/>
      <c r="DD65" s="221"/>
      <c r="DE65" s="221"/>
      <c r="DF65" s="221"/>
      <c r="DG65" s="221"/>
      <c r="DH65" s="221">
        <f>DH54+('Property-Level CF'!DH33*Summary!$C$22)</f>
        <v>292599.13811072399</v>
      </c>
      <c r="DI65" s="247">
        <f>DH54</f>
        <v>27826.732110012104</v>
      </c>
      <c r="DK65" s="291">
        <f>DK33</f>
        <v>5.0999999999999997E-2</v>
      </c>
      <c r="DL65" s="292">
        <f>IRR(($CY54:CY54,DL57))</f>
        <v>2.6640364947815742E-2</v>
      </c>
      <c r="DM65" s="292">
        <f>IRR(($CY54:CZ54,DM57))</f>
        <v>0.10055575412501816</v>
      </c>
      <c r="DN65" s="292">
        <f>IRR(($CY54:DA54,DN57))</f>
        <v>0.12446991207878333</v>
      </c>
      <c r="DO65" s="292">
        <f>IRR(($CY54:DB54,DO57))</f>
        <v>0.1353710319020951</v>
      </c>
      <c r="DP65" s="292">
        <f>IRR(($CY54:DC54,DP57))</f>
        <v>0.14108740534177677</v>
      </c>
      <c r="DQ65" s="292">
        <f>IRR(($CY54:DD54,DQ57))</f>
        <v>0.14427550533604538</v>
      </c>
      <c r="DR65" s="292">
        <f>IRR(($CY54:DE54,DR57))</f>
        <v>0.1460781173995922</v>
      </c>
      <c r="DS65" s="292">
        <f>IRR(($CY54:DF54,DS57))</f>
        <v>0.14706436312412619</v>
      </c>
      <c r="DT65" s="292">
        <f>IRR(($CY54:DG54,DT57))</f>
        <v>0.14754480534518732</v>
      </c>
      <c r="DU65" s="293">
        <f>IRR(($CY54:DH54,DU57))</f>
        <v>0.14770292557428677</v>
      </c>
      <c r="DW65" s="145"/>
      <c r="DX65" s="155"/>
      <c r="DY65" s="155"/>
      <c r="DZ65" s="221"/>
      <c r="EA65" s="221"/>
      <c r="EB65" s="221"/>
      <c r="EC65" s="221"/>
      <c r="ED65" s="221"/>
      <c r="EE65" s="221"/>
      <c r="EF65" s="221"/>
      <c r="EG65" s="221">
        <f>EG54+('Property-Level CF'!EG33*Summary!$C$22)</f>
        <v>693244.91042376775</v>
      </c>
      <c r="EH65" s="247">
        <f>EG54</f>
        <v>62079.830771111403</v>
      </c>
      <c r="EJ65" s="291">
        <f>EJ33</f>
        <v>4.8000000000000001E-2</v>
      </c>
      <c r="EK65" s="292">
        <f>IRR(($DX54:DX54,EK57))</f>
        <v>2.0959239097490645E-2</v>
      </c>
      <c r="EL65" s="292">
        <f>IRR(($DX54:DY54,EL57))</f>
        <v>9.3915712198007872E-2</v>
      </c>
      <c r="EM65" s="292">
        <f>IRR(($DX54:DZ54,EM57))</f>
        <v>0.11738037268239276</v>
      </c>
      <c r="EN65" s="292">
        <f>IRR(($DX54:EA54,EN57))</f>
        <v>0.12820081936701655</v>
      </c>
      <c r="EO65" s="292">
        <f>IRR(($DX54:EB54,EO57))</f>
        <v>0.13390141854296456</v>
      </c>
      <c r="EP65" s="292">
        <f>IRR(($DX54:EC54,EP57))</f>
        <v>0.13711164885840654</v>
      </c>
      <c r="EQ65" s="292">
        <f>IRR(($DX54:ED54,EQ57))</f>
        <v>0.138906038102939</v>
      </c>
      <c r="ER65" s="292">
        <f>IRR(($DX54:EE54,ER57))</f>
        <v>0.13994795584425024</v>
      </c>
      <c r="ES65" s="292">
        <f>IRR(($DX54:EF54,ES57))</f>
        <v>0.14043282750637842</v>
      </c>
      <c r="ET65" s="293">
        <f>IRR(($DX54:EG54,ET57))</f>
        <v>0.14061299891556955</v>
      </c>
    </row>
    <row r="66" spans="2:150" x14ac:dyDescent="0.3">
      <c r="B66" s="145"/>
      <c r="C66" s="155"/>
      <c r="D66" s="155"/>
      <c r="E66" s="221"/>
      <c r="F66" s="221"/>
      <c r="G66" s="221"/>
      <c r="H66" s="221"/>
      <c r="I66" s="221"/>
      <c r="J66" s="221"/>
      <c r="K66" s="221"/>
      <c r="L66" s="221"/>
      <c r="M66" s="247">
        <f>M54+('Property-Level CF'!M33*Summary!$C$22)</f>
        <v>317036.66667024075</v>
      </c>
      <c r="O66" s="289">
        <f>O34</f>
        <v>5.8000000000000003E-2</v>
      </c>
      <c r="P66" s="282">
        <f>IRR(($C54:C54,P58))</f>
        <v>1.7286422073438112E-2</v>
      </c>
      <c r="Q66" s="282">
        <f>IRR(($C54:D54,Q58))</f>
        <v>0.10166115803998044</v>
      </c>
      <c r="R66" s="282">
        <f>IRR(($C54:E54,R58))</f>
        <v>0.1209037104209445</v>
      </c>
      <c r="S66" s="282">
        <f>IRR(($C54:F54,S58))</f>
        <v>0.10846104966109715</v>
      </c>
      <c r="T66" s="282">
        <f>IRR(($C54:G54,T58))</f>
        <v>0.13804517798411653</v>
      </c>
      <c r="U66" s="282">
        <f>IRR(($C54:H54,U58))</f>
        <v>0.11540258428818739</v>
      </c>
      <c r="V66" s="282">
        <f>IRR(($C54:I54,V58))</f>
        <v>0.11449432888978839</v>
      </c>
      <c r="W66" s="282">
        <f>IRR(($C54:J54,W58))</f>
        <v>0.12909904221677881</v>
      </c>
      <c r="X66" s="282">
        <f>IRR(($C54:K54,X58))</f>
        <v>0.12256316901053244</v>
      </c>
      <c r="Y66" s="294">
        <f>IRR(($C54:L54,Y58))</f>
        <v>0.12932458286204107</v>
      </c>
      <c r="AA66" s="145"/>
      <c r="AB66" s="155"/>
      <c r="AC66" s="155"/>
      <c r="AD66" s="221"/>
      <c r="AE66" s="221"/>
      <c r="AF66" s="221"/>
      <c r="AG66" s="221"/>
      <c r="AH66" s="221"/>
      <c r="AI66" s="221"/>
      <c r="AJ66" s="221"/>
      <c r="AK66" s="221"/>
      <c r="AL66" s="247">
        <f>AL54+('Property-Level CF'!AL33*Summary!$C$22)</f>
        <v>383906.93246565328</v>
      </c>
      <c r="AN66" s="289">
        <f>AN34</f>
        <v>5.2999999999999999E-2</v>
      </c>
      <c r="AO66" s="282">
        <f>IRR(($AB54:AB54,AO58))</f>
        <v>-0.78751818599282708</v>
      </c>
      <c r="AP66" s="282">
        <f>IRR(($AB54:AC54,AP58))</f>
        <v>-6.8069475228949017E-3</v>
      </c>
      <c r="AQ66" s="282">
        <f>IRR(($AB54:AD54,AQ58))</f>
        <v>0.26040613757759878</v>
      </c>
      <c r="AR66" s="282">
        <f>IRR(($AB54:AE54,AR58))</f>
        <v>0.23709457705878378</v>
      </c>
      <c r="AS66" s="282">
        <f>IRR(($AB54:AF54,AS58))</f>
        <v>0.2222037742386398</v>
      </c>
      <c r="AT66" s="282">
        <f>IRR(($AB54:AG54,AT58))</f>
        <v>0.20828374659159477</v>
      </c>
      <c r="AU66" s="282">
        <f>IRR(($AB54:AH54,AU58))</f>
        <v>0.19844558024253844</v>
      </c>
      <c r="AV66" s="282">
        <f>IRR(($AB54:AI54,AV58))</f>
        <v>0.19113994968325154</v>
      </c>
      <c r="AW66" s="282">
        <f>IRR(($AB54:AJ54,AW58))</f>
        <v>0.18273885637801368</v>
      </c>
      <c r="AX66" s="294">
        <f>IRR(($AB54:AK54,AX58))</f>
        <v>0.175794939429474</v>
      </c>
      <c r="AZ66" s="145"/>
      <c r="BA66" s="155"/>
      <c r="BB66" s="155"/>
      <c r="BC66" s="221"/>
      <c r="BD66" s="221"/>
      <c r="BE66" s="221"/>
      <c r="BF66" s="221"/>
      <c r="BG66" s="221"/>
      <c r="BH66" s="221"/>
      <c r="BI66" s="221"/>
      <c r="BJ66" s="221"/>
      <c r="BK66" s="247">
        <f>BK54+('Property-Level CF'!BK33*Summary!$C$22)</f>
        <v>479635.22762267728</v>
      </c>
      <c r="BM66" s="289">
        <f>BM34</f>
        <v>4.7E-2</v>
      </c>
      <c r="BN66" s="282">
        <f>IRR(($BA54:BA54,BN58))</f>
        <v>-0.10754642731754105</v>
      </c>
      <c r="BO66" s="282">
        <f>IRR(($BA54:BB54,BO58))</f>
        <v>0.30425463858591528</v>
      </c>
      <c r="BP66" s="282">
        <f>IRR(($BA54:BC54,BP58))</f>
        <v>0.31491755638647723</v>
      </c>
      <c r="BQ66" s="282">
        <f>IRR(($BA54:BD54,BQ58))</f>
        <v>0.26418930166099797</v>
      </c>
      <c r="BR66" s="282">
        <f>IRR(($BA54:BE54,BR58))</f>
        <v>0.23488793312705702</v>
      </c>
      <c r="BS66" s="282">
        <f>IRR(($BA54:BF54,BS58))</f>
        <v>0.21597970943509903</v>
      </c>
      <c r="BT66" s="282">
        <f>IRR(($BA54:BG54,BT58))</f>
        <v>0.21571197046836255</v>
      </c>
      <c r="BU66" s="282">
        <f>IRR(($BA54:BH54,BU58))</f>
        <v>0.20608674673385297</v>
      </c>
      <c r="BV66" s="282">
        <f>IRR(($BA54:BI54,BV58))</f>
        <v>0.19687612201074778</v>
      </c>
      <c r="BW66" s="294">
        <f>IRR(($BA54:BJ54,BW58))</f>
        <v>0.18952662983428437</v>
      </c>
      <c r="BY66" s="145"/>
      <c r="BZ66" s="155"/>
      <c r="CA66" s="155"/>
      <c r="CB66" s="221"/>
      <c r="CC66" s="221"/>
      <c r="CD66" s="221"/>
      <c r="CE66" s="221"/>
      <c r="CF66" s="221"/>
      <c r="CG66" s="221"/>
      <c r="CH66" s="221"/>
      <c r="CI66" s="221"/>
      <c r="CJ66" s="247">
        <f>CJ54+(CJ33*Summary!C22)</f>
        <v>688144.7123450744</v>
      </c>
      <c r="CL66" s="289">
        <f>CL34</f>
        <v>5.0999999999999997E-2</v>
      </c>
      <c r="CM66" s="282">
        <f>IRR(($BZ54:BZ54,CM58))</f>
        <v>-2.6874032185662644E-2</v>
      </c>
      <c r="CN66" s="282">
        <f>IRR(($BZ54:CA54,CN58))</f>
        <v>6.9482675398670812E-2</v>
      </c>
      <c r="CO66" s="282">
        <f>IRR(($BZ54:CB54,CO58))</f>
        <v>0.10190679797877356</v>
      </c>
      <c r="CP66" s="282">
        <f>IRR(($BZ54:CC54,CP58))</f>
        <v>0.11743087771517668</v>
      </c>
      <c r="CQ66" s="282">
        <f>IRR(($BZ54:CD54,CQ58))</f>
        <v>0.12598371114705276</v>
      </c>
      <c r="CR66" s="282">
        <f>IRR(($BZ54:CE54,CR58))</f>
        <v>0.13113082267262044</v>
      </c>
      <c r="CS66" s="282">
        <f>IRR(($BZ54:CF54,CS58))</f>
        <v>0.13432971101196411</v>
      </c>
      <c r="CT66" s="282">
        <f>IRR(($BZ54:CG54,CT58))</f>
        <v>0.13637559464669291</v>
      </c>
      <c r="CU66" s="282">
        <f>IRR(($BZ54:CH54,CU58))</f>
        <v>0.1377760939730055</v>
      </c>
      <c r="CV66" s="294">
        <f>IRR(($BZ54:CI54,CV58))</f>
        <v>0.13880388036146463</v>
      </c>
      <c r="CX66" s="145"/>
      <c r="CY66" s="155"/>
      <c r="CZ66" s="155"/>
      <c r="DA66" s="221"/>
      <c r="DB66" s="221"/>
      <c r="DC66" s="221"/>
      <c r="DD66" s="221"/>
      <c r="DE66" s="221"/>
      <c r="DF66" s="221"/>
      <c r="DG66" s="221"/>
      <c r="DH66" s="221"/>
      <c r="DI66" s="247">
        <f>DI54+('Property-Level CF'!DI33*Summary!$C$22)</f>
        <v>305964.84816776455</v>
      </c>
      <c r="DK66" s="289">
        <f>DK34</f>
        <v>5.1999999999999998E-2</v>
      </c>
      <c r="DL66" s="282">
        <f>IRR(($CY54:CY54,DL58))</f>
        <v>-2.6610744935047337E-2</v>
      </c>
      <c r="DM66" s="282">
        <f>IRR(($CY54:CZ54,DM58))</f>
        <v>7.418892652701925E-2</v>
      </c>
      <c r="DN66" s="282">
        <f>IRR(($CY54:DA54,DN58))</f>
        <v>0.10800181680940768</v>
      </c>
      <c r="DO66" s="282">
        <f>IRR(($CY54:DB54,DO58))</f>
        <v>0.1239332839706313</v>
      </c>
      <c r="DP66" s="282">
        <f>IRR(($CY54:DC54,DP58))</f>
        <v>0.13264052379887126</v>
      </c>
      <c r="DQ66" s="282">
        <f>IRR(($CY54:DD54,DQ58))</f>
        <v>0.13778115068656138</v>
      </c>
      <c r="DR66" s="282">
        <f>IRR(($CY54:DE54,DR58))</f>
        <v>0.14094034205339101</v>
      </c>
      <c r="DS66" s="282">
        <f>IRR(($CY54:DF54,DS58))</f>
        <v>0.14291210576632318</v>
      </c>
      <c r="DT66" s="282">
        <f>IRR(($CY54:DG54,DT58))</f>
        <v>0.14413294128008491</v>
      </c>
      <c r="DU66" s="294">
        <f>IRR(($CY54:DH54,DU58))</f>
        <v>0.14486208843184523</v>
      </c>
      <c r="DW66" s="145"/>
      <c r="DX66" s="155"/>
      <c r="DY66" s="155"/>
      <c r="DZ66" s="221"/>
      <c r="EA66" s="221"/>
      <c r="EB66" s="221"/>
      <c r="EC66" s="221"/>
      <c r="ED66" s="221"/>
      <c r="EE66" s="221"/>
      <c r="EF66" s="221"/>
      <c r="EG66" s="221"/>
      <c r="EH66" s="247">
        <f>EH54+('Property-Level CF'!EH33*Summary!$C$22)</f>
        <v>724982.82416813914</v>
      </c>
      <c r="EJ66" s="289">
        <f>EJ34</f>
        <v>4.9000000000000002E-2</v>
      </c>
      <c r="EK66" s="282">
        <f>IRR(($DX54:DX54,EK58))</f>
        <v>-3.5589525051529014E-2</v>
      </c>
      <c r="EL66" s="282">
        <f>IRR(($DX54:DY54,EL58))</f>
        <v>6.5811581433037336E-2</v>
      </c>
      <c r="EM66" s="282">
        <f>IRR(($DX54:DZ54,EM58))</f>
        <v>9.9762160702199232E-2</v>
      </c>
      <c r="EN66" s="282">
        <f>IRR(($DX54:EA54,EN58))</f>
        <v>0.11592023460995415</v>
      </c>
      <c r="EO66" s="282">
        <f>IRR(($DX54:EB54,EO58))</f>
        <v>0.1247996053169067</v>
      </c>
      <c r="EP66" s="282">
        <f>IRR(($DX54:EC54,EP58))</f>
        <v>0.13008879644532056</v>
      </c>
      <c r="EQ66" s="282">
        <f>IRR(($DX54:ED54,EQ58))</f>
        <v>0.13332968837715797</v>
      </c>
      <c r="ER66" s="282">
        <f>IRR(($DX54:EE54,ER58))</f>
        <v>0.13542511959566084</v>
      </c>
      <c r="ES66" s="282">
        <f>IRR(($DX54:EF54,ES58))</f>
        <v>0.13670248899677317</v>
      </c>
      <c r="ET66" s="294">
        <f>IRR(($DX54:EG54,ET58))</f>
        <v>0.1374952784241561</v>
      </c>
    </row>
    <row r="67" spans="2:150" x14ac:dyDescent="0.3">
      <c r="B67" s="145"/>
      <c r="C67" s="155"/>
      <c r="D67" s="155"/>
      <c r="E67" s="221"/>
      <c r="F67" s="221"/>
      <c r="G67" s="221"/>
      <c r="H67" s="221"/>
      <c r="I67" s="221"/>
      <c r="J67" s="221"/>
      <c r="K67" s="221"/>
      <c r="L67" s="221"/>
      <c r="M67" s="247"/>
      <c r="O67" s="289">
        <f>O35</f>
        <v>5.8999999999999997E-2</v>
      </c>
      <c r="P67" s="282">
        <f>IRR(($C54:C54,P59))</f>
        <v>-2.917582588599954E-2</v>
      </c>
      <c r="Q67" s="282">
        <f>IRR(($C54:D54,Q59))</f>
        <v>7.8499867684768576E-2</v>
      </c>
      <c r="R67" s="282">
        <f>IRR(($C54:E54,R59))</f>
        <v>0.10636135042157657</v>
      </c>
      <c r="S67" s="282">
        <f>IRR(($C54:F54,S59))</f>
        <v>9.7798517112233307E-2</v>
      </c>
      <c r="T67" s="282">
        <f>IRR(($C54:G54,T59))</f>
        <v>0.13049451174100168</v>
      </c>
      <c r="U67" s="282">
        <f>IRR(($C54:H54,U59))</f>
        <v>0.10927721111236766</v>
      </c>
      <c r="V67" s="282">
        <f>IRR(($C54:I54,V59))</f>
        <v>0.10940494579453719</v>
      </c>
      <c r="W67" s="282">
        <f>IRR(($C54:J54,W59))</f>
        <v>0.12515272442434555</v>
      </c>
      <c r="X67" s="282">
        <f>IRR(($C54:K54,X59))</f>
        <v>0.11916071902061254</v>
      </c>
      <c r="Y67" s="294">
        <f>IRR(($C54:L54,Y59))</f>
        <v>0.12652222975038363</v>
      </c>
      <c r="AA67" s="145"/>
      <c r="AB67" s="155"/>
      <c r="AC67" s="155"/>
      <c r="AD67" s="221"/>
      <c r="AE67" s="221"/>
      <c r="AF67" s="221"/>
      <c r="AG67" s="221"/>
      <c r="AH67" s="221"/>
      <c r="AI67" s="221"/>
      <c r="AJ67" s="221"/>
      <c r="AK67" s="221"/>
      <c r="AL67" s="247"/>
      <c r="AN67" s="289">
        <f>AN35</f>
        <v>5.3999999999999999E-2</v>
      </c>
      <c r="AO67" s="282">
        <f>IRR(($AB54:AB54,AO59))</f>
        <v>-0.82440832218967486</v>
      </c>
      <c r="AP67" s="282">
        <f>IRR(($AB54:AC54,AP59))</f>
        <v>-3.2897589122275694E-2</v>
      </c>
      <c r="AQ67" s="282">
        <f>IRR(($AB54:AD54,AQ59))</f>
        <v>0.24595720321116898</v>
      </c>
      <c r="AR67" s="282">
        <f>IRR(($AB54:AE54,AR59))</f>
        <v>0.22734997304416216</v>
      </c>
      <c r="AS67" s="282">
        <f>IRR(($AB54:AF54,AS59))</f>
        <v>0.21511389285874705</v>
      </c>
      <c r="AT67" s="282">
        <f>IRR(($AB54:AG54,AT59))</f>
        <v>0.20285175121149801</v>
      </c>
      <c r="AU67" s="282">
        <f>IRR(($AB54:AH54,AU59))</f>
        <v>0.19415008985131466</v>
      </c>
      <c r="AV67" s="282">
        <f>IRR(($AB54:AI54,AV59))</f>
        <v>0.18766613546244426</v>
      </c>
      <c r="AW67" s="282">
        <f>IRR(($AB54:AJ54,AW59))</f>
        <v>0.17984811881501117</v>
      </c>
      <c r="AX67" s="294">
        <f>IRR(($AB54:AK54,AX59))</f>
        <v>0.17334013254052416</v>
      </c>
      <c r="AZ67" s="145"/>
      <c r="BA67" s="155"/>
      <c r="BB67" s="155"/>
      <c r="BC67" s="221"/>
      <c r="BD67" s="221"/>
      <c r="BE67" s="221"/>
      <c r="BF67" s="221"/>
      <c r="BG67" s="221"/>
      <c r="BH67" s="221"/>
      <c r="BI67" s="221"/>
      <c r="BJ67" s="221"/>
      <c r="BK67" s="247"/>
      <c r="BM67" s="289">
        <f>BM35</f>
        <v>0.05</v>
      </c>
      <c r="BN67" s="282">
        <f>IRR(($BA54:BA54,BN59))</f>
        <v>-0.26665906493299885</v>
      </c>
      <c r="BO67" s="282">
        <f>IRR(($BA54:BB54,BO59))</f>
        <v>0.22271574081683632</v>
      </c>
      <c r="BP67" s="282">
        <f>IRR(($BA54:BC54,BP59))</f>
        <v>0.26758498642656492</v>
      </c>
      <c r="BQ67" s="282">
        <f>IRR(($BA54:BD54,BQ59))</f>
        <v>0.23201520293435518</v>
      </c>
      <c r="BR67" s="282">
        <f>IRR(($BA54:BE54,BR59))</f>
        <v>0.2112211779769011</v>
      </c>
      <c r="BS67" s="282">
        <f>IRR(($BA54:BF54,BS59))</f>
        <v>0.19772566566925787</v>
      </c>
      <c r="BT67" s="282">
        <f>IRR(($BA54:BG54,BT59))</f>
        <v>0.20147124584694853</v>
      </c>
      <c r="BU67" s="282">
        <f>IRR(($BA54:BH54,BU59))</f>
        <v>0.19454708973742285</v>
      </c>
      <c r="BV67" s="282">
        <f>IRR(($BA54:BI54,BV59))</f>
        <v>0.18733531566758521</v>
      </c>
      <c r="BW67" s="294">
        <f>IRR(($BA54:BJ54,BW59))</f>
        <v>0.1815341255656806</v>
      </c>
      <c r="BY67" s="145"/>
      <c r="BZ67" s="155"/>
      <c r="CA67" s="155"/>
      <c r="CB67" s="221"/>
      <c r="CC67" s="221"/>
      <c r="CD67" s="221"/>
      <c r="CE67" s="221"/>
      <c r="CF67" s="221"/>
      <c r="CG67" s="221"/>
      <c r="CH67" s="221"/>
      <c r="CI67" s="221"/>
      <c r="CJ67" s="247"/>
      <c r="CL67" s="289">
        <f>CL35</f>
        <v>5.1999999999999998E-2</v>
      </c>
      <c r="CM67" s="282">
        <f>IRR(($BZ54:BZ54,CM59))</f>
        <v>-7.9129800666523309E-2</v>
      </c>
      <c r="CN67" s="282">
        <f>IRR(($BZ54:CA54,CN59))</f>
        <v>4.2891713571642009E-2</v>
      </c>
      <c r="CO67" s="282">
        <f>IRR(($BZ54:CB54,CO59))</f>
        <v>8.5134366649354254E-2</v>
      </c>
      <c r="CP67" s="282">
        <f>IRR(($BZ54:CC54,CP59))</f>
        <v>0.10572211026742928</v>
      </c>
      <c r="CQ67" s="282">
        <f>IRR(($BZ54:CD54,CQ59))</f>
        <v>0.11730904790635233</v>
      </c>
      <c r="CR67" s="282">
        <f>IRR(($BZ54:CE54,CR59))</f>
        <v>0.12444737203196987</v>
      </c>
      <c r="CS67" s="282">
        <f>IRR(($BZ54:CF54,CS59))</f>
        <v>0.12903429465397798</v>
      </c>
      <c r="CT67" s="282">
        <f>IRR(($BZ54:CG54,CT59))</f>
        <v>0.13209123425446756</v>
      </c>
      <c r="CU67" s="282">
        <f>IRR(($BZ54:CH54,CU59))</f>
        <v>0.13425381849456053</v>
      </c>
      <c r="CV67" s="294">
        <f>IRR(($BZ54:CI54,CV59))</f>
        <v>0.13587134205931961</v>
      </c>
      <c r="CX67" s="145"/>
      <c r="CY67" s="155"/>
      <c r="CZ67" s="155"/>
      <c r="DA67" s="221"/>
      <c r="DB67" s="221"/>
      <c r="DC67" s="221"/>
      <c r="DD67" s="221"/>
      <c r="DE67" s="221"/>
      <c r="DF67" s="221"/>
      <c r="DG67" s="221"/>
      <c r="DH67" s="221"/>
      <c r="DI67" s="247"/>
      <c r="DK67" s="289">
        <f>DK35</f>
        <v>5.2999999999999999E-2</v>
      </c>
      <c r="DL67" s="282">
        <f>IRR(($CY54:CY54,DL59))</f>
        <v>-7.7852378973272796E-2</v>
      </c>
      <c r="DM67" s="282">
        <f>IRR(($CY54:CZ54,DM59))</f>
        <v>4.8154841962027684E-2</v>
      </c>
      <c r="DN67" s="282">
        <f>IRR(($CY54:DA54,DN59))</f>
        <v>9.1642859382959463E-2</v>
      </c>
      <c r="DO67" s="282">
        <f>IRR(($CY54:DB54,DO59))</f>
        <v>0.11255540213322046</v>
      </c>
      <c r="DP67" s="282">
        <f>IRR(($CY54:DC54,DP59))</f>
        <v>0.12424013016140467</v>
      </c>
      <c r="DQ67" s="282">
        <f>IRR(($CY54:DD54,DQ59))</f>
        <v>0.1313288607018519</v>
      </c>
      <c r="DR67" s="282">
        <f>IRR(($CY54:DE54,DR59))</f>
        <v>0.13584244727222261</v>
      </c>
      <c r="DS67" s="282">
        <f>IRR(($CY54:DF54,DS59))</f>
        <v>0.13879795035357279</v>
      </c>
      <c r="DT67" s="282">
        <f>IRR(($CY54:DG54,DT59))</f>
        <v>0.14075733525298117</v>
      </c>
      <c r="DU67" s="294">
        <f>IRR(($CY54:DH54,DU59))</f>
        <v>0.1420555306691369</v>
      </c>
      <c r="DW67" s="145"/>
      <c r="DX67" s="155"/>
      <c r="DY67" s="155"/>
      <c r="DZ67" s="221"/>
      <c r="EA67" s="221"/>
      <c r="EB67" s="221"/>
      <c r="EC67" s="221"/>
      <c r="ED67" s="221"/>
      <c r="EE67" s="221"/>
      <c r="EF67" s="221"/>
      <c r="EG67" s="221"/>
      <c r="EH67" s="247"/>
      <c r="EJ67" s="289">
        <f>EJ35</f>
        <v>0.05</v>
      </c>
      <c r="EK67" s="282">
        <f>IRR(($DX54:DX54,EK59))</f>
        <v>-8.9876338634587549E-2</v>
      </c>
      <c r="EL67" s="282">
        <f>IRR(($DX54:DY54,EL59))</f>
        <v>3.8077099987516627E-2</v>
      </c>
      <c r="EM67" s="282">
        <f>IRR(($DX54:DZ54,EM59))</f>
        <v>8.2261107206434092E-2</v>
      </c>
      <c r="EN67" s="282">
        <f>IRR(($DX54:EA54,EN59))</f>
        <v>0.10370186167467743</v>
      </c>
      <c r="EO67" s="282">
        <f>IRR(($DX54:EB54,EO59))</f>
        <v>0.11574571422835578</v>
      </c>
      <c r="EP67" s="282">
        <f>IRR(($DX54:EC54,EP59))</f>
        <v>0.12310966790222611</v>
      </c>
      <c r="EQ67" s="282">
        <f>IRR(($DX54:ED54,EQ59))</f>
        <v>0.1277952858351501</v>
      </c>
      <c r="ER67" s="282">
        <f>IRR(($DX54:EE54,ER59))</f>
        <v>0.1309428576561229</v>
      </c>
      <c r="ES67" s="282">
        <f>IRR(($DX54:EF54,ES59))</f>
        <v>0.13301116572429583</v>
      </c>
      <c r="ET67" s="294">
        <f>IRR(($DX54:EG54,ET59))</f>
        <v>0.1344147932651667</v>
      </c>
    </row>
    <row r="68" spans="2:150" x14ac:dyDescent="0.3">
      <c r="B68" s="125" t="s">
        <v>61</v>
      </c>
      <c r="C68" s="155"/>
      <c r="D68" s="127">
        <f t="shared" ref="D68:M68" si="190">IRR(D56:D66)</f>
        <v>2.3156649609439084E-2</v>
      </c>
      <c r="E68" s="127">
        <f t="shared" si="190"/>
        <v>9.1864389577076766E-2</v>
      </c>
      <c r="F68" s="127">
        <f t="shared" si="190"/>
        <v>0.11476263097404305</v>
      </c>
      <c r="G68" s="127">
        <f t="shared" si="190"/>
        <v>0.10396329391097137</v>
      </c>
      <c r="H68" s="127">
        <f t="shared" si="190"/>
        <v>0.13485776466022759</v>
      </c>
      <c r="I68" s="127">
        <f t="shared" si="190"/>
        <v>0.11281811413658138</v>
      </c>
      <c r="J68" s="127">
        <f t="shared" si="190"/>
        <v>0.1123472960152776</v>
      </c>
      <c r="K68" s="127">
        <f t="shared" si="190"/>
        <v>0.12743262075087802</v>
      </c>
      <c r="L68" s="127">
        <f t="shared" si="190"/>
        <v>0.12112650607988629</v>
      </c>
      <c r="M68" s="138">
        <f t="shared" si="190"/>
        <v>0.12814057597836293</v>
      </c>
      <c r="O68" s="289">
        <f>O36</f>
        <v>0.06</v>
      </c>
      <c r="P68" s="282">
        <f>IRR(($C54:C54,P60))</f>
        <v>-7.4089332246790041E-2</v>
      </c>
      <c r="Q68" s="282">
        <f>IRR(($C54:D54,Q60))</f>
        <v>5.5595170796147286E-2</v>
      </c>
      <c r="R68" s="282">
        <f>IRR(($C54:E54,R60))</f>
        <v>9.1898375500573115E-2</v>
      </c>
      <c r="S68" s="282">
        <f>IRR(($C54:F54,S60))</f>
        <v>8.7153678992057504E-2</v>
      </c>
      <c r="T68" s="282">
        <f>IRR(($C54:G54,T60))</f>
        <v>0.12297623245797062</v>
      </c>
      <c r="U68" s="282">
        <f>IRR(($C54:H54,U60))</f>
        <v>0.10316756487593204</v>
      </c>
      <c r="V68" s="282">
        <f>IRR(($C54:I54,V60))</f>
        <v>0.1043259806382264</v>
      </c>
      <c r="W68" s="282">
        <f>IRR(($C54:J54,W60))</f>
        <v>0.12122794123064895</v>
      </c>
      <c r="X68" s="282">
        <f>IRR(($C54:K54,X60))</f>
        <v>0.11577603360912581</v>
      </c>
      <c r="Y68" s="294">
        <f>IRR(($C54:L54,Y60))</f>
        <v>0.12374057809611028</v>
      </c>
      <c r="AA68" s="125" t="s">
        <v>61</v>
      </c>
      <c r="AB68" s="155"/>
      <c r="AC68" s="127">
        <f t="shared" ref="AC68:AL68" si="191">IRR(AC56:AC66)</f>
        <v>-3.2442683479744772E-2</v>
      </c>
      <c r="AD68" s="127">
        <f t="shared" si="191"/>
        <v>-6.8069475228949017E-3</v>
      </c>
      <c r="AE68" s="127">
        <f t="shared" si="191"/>
        <v>0.26040613757759878</v>
      </c>
      <c r="AF68" s="127">
        <f t="shared" si="191"/>
        <v>0.23709457705878378</v>
      </c>
      <c r="AG68" s="127">
        <f t="shared" si="191"/>
        <v>0.2222037742386398</v>
      </c>
      <c r="AH68" s="127">
        <f t="shared" si="191"/>
        <v>0.20828374659159477</v>
      </c>
      <c r="AI68" s="127">
        <f t="shared" si="191"/>
        <v>0.19844558024253844</v>
      </c>
      <c r="AJ68" s="127">
        <f t="shared" si="191"/>
        <v>0.19113994968325154</v>
      </c>
      <c r="AK68" s="127">
        <f t="shared" si="191"/>
        <v>0.18273885637801368</v>
      </c>
      <c r="AL68" s="138">
        <f t="shared" si="191"/>
        <v>0.175794939429474</v>
      </c>
      <c r="AN68" s="289">
        <f>AN36</f>
        <v>5.5E-2</v>
      </c>
      <c r="AO68" s="282">
        <f>IRR(($AB54:AB54,AO60))</f>
        <v>-0.85995699888845567</v>
      </c>
      <c r="AP68" s="282">
        <f>IRR(($AB54:AC54,AP60))</f>
        <v>-5.8752842337961853E-2</v>
      </c>
      <c r="AQ68" s="282">
        <f>IRR(($AB54:AD54,AQ60))</f>
        <v>0.23169319668038924</v>
      </c>
      <c r="AR68" s="282">
        <f>IRR(($AB54:AE54,AR60))</f>
        <v>0.21771882863442404</v>
      </c>
      <c r="AS68" s="282">
        <f>IRR(($AB54:AF54,AS60))</f>
        <v>0.20810677663226107</v>
      </c>
      <c r="AT68" s="282">
        <f>IRR(($AB54:AG54,AT60))</f>
        <v>0.19748506677918631</v>
      </c>
      <c r="AU68" s="282">
        <f>IRR(($AB54:AH54,AU60))</f>
        <v>0.18990907366279197</v>
      </c>
      <c r="AV68" s="282">
        <f>IRR(($AB54:AI54,AV60))</f>
        <v>0.18423927113244343</v>
      </c>
      <c r="AW68" s="282">
        <f>IRR(($AB54:AJ54,AW60))</f>
        <v>0.17699808741584389</v>
      </c>
      <c r="AX68" s="294">
        <f>IRR(($AB54:AK54,AX60))</f>
        <v>0.17092110562057128</v>
      </c>
      <c r="AZ68" s="125" t="s">
        <v>61</v>
      </c>
      <c r="BA68" s="155"/>
      <c r="BB68" s="127">
        <f t="shared" ref="BB68:BK68" si="192">IRR(BB56:BB66)</f>
        <v>-1.2280863765646299E-2</v>
      </c>
      <c r="BC68" s="127">
        <f t="shared" si="192"/>
        <v>0.14534660543665967</v>
      </c>
      <c r="BD68" s="127">
        <f t="shared" si="192"/>
        <v>0.22223927273756727</v>
      </c>
      <c r="BE68" s="127">
        <f t="shared" si="192"/>
        <v>0.20101935597411202</v>
      </c>
      <c r="BF68" s="127">
        <f t="shared" si="192"/>
        <v>0.18838966693030934</v>
      </c>
      <c r="BG68" s="127">
        <f t="shared" si="192"/>
        <v>0.18012796501119088</v>
      </c>
      <c r="BH68" s="127">
        <f t="shared" si="192"/>
        <v>0.18780901060665234</v>
      </c>
      <c r="BI68" s="127">
        <f t="shared" si="192"/>
        <v>0.18350741716313057</v>
      </c>
      <c r="BJ68" s="127">
        <f t="shared" si="192"/>
        <v>0.17823222086541834</v>
      </c>
      <c r="BK68" s="138">
        <f t="shared" si="192"/>
        <v>0.17393002657978673</v>
      </c>
      <c r="BM68" s="289">
        <f>BM36</f>
        <v>5.2999999999999999E-2</v>
      </c>
      <c r="BN68" s="282">
        <f>IRR(($BA54:BA54,BN60))</f>
        <v>-0.40775895112029159</v>
      </c>
      <c r="BO68" s="282">
        <f>IRR(($BA54:BB54,BO60))</f>
        <v>0.14534660543665967</v>
      </c>
      <c r="BP68" s="282">
        <f>IRR(($BA54:BC54,BP60))</f>
        <v>0.22223927273756727</v>
      </c>
      <c r="BQ68" s="282">
        <f>IRR(($BA54:BD54,BQ60))</f>
        <v>0.20101935597411202</v>
      </c>
      <c r="BR68" s="282">
        <f>IRR(($BA54:BE54,BR60))</f>
        <v>0.18838966693030934</v>
      </c>
      <c r="BS68" s="282">
        <f>IRR(($BA54:BF54,BS60))</f>
        <v>0.18012796501119088</v>
      </c>
      <c r="BT68" s="282">
        <f>IRR(($BA54:BG54,BT60))</f>
        <v>0.18780901060665234</v>
      </c>
      <c r="BU68" s="282">
        <f>IRR(($BA54:BH54,BU60))</f>
        <v>0.18350741716313057</v>
      </c>
      <c r="BV68" s="282">
        <f>IRR(($BA54:BI54,BV60))</f>
        <v>0.17823222086541834</v>
      </c>
      <c r="BW68" s="294">
        <f>IRR(($BA54:BJ54,BW60))</f>
        <v>0.17393002657978673</v>
      </c>
      <c r="BY68" s="125" t="s">
        <v>61</v>
      </c>
      <c r="BZ68" s="155"/>
      <c r="CA68" s="127">
        <f t="shared" ref="CA68:CJ68" si="193">IRR(CA56:CA66)</f>
        <v>2.9688639524572125E-3</v>
      </c>
      <c r="CB68" s="127">
        <f t="shared" si="193"/>
        <v>7.1585516796832227E-2</v>
      </c>
      <c r="CC68" s="127">
        <f t="shared" si="193"/>
        <v>0.10322864967607881</v>
      </c>
      <c r="CD68" s="127">
        <f t="shared" si="193"/>
        <v>0.11835288675162592</v>
      </c>
      <c r="CE68" s="127">
        <f t="shared" si="193"/>
        <v>0.12666686921622716</v>
      </c>
      <c r="CF68" s="127">
        <f t="shared" si="193"/>
        <v>0.13165743411791198</v>
      </c>
      <c r="CG68" s="127">
        <f t="shared" si="193"/>
        <v>0.13474724318425091</v>
      </c>
      <c r="CH68" s="127">
        <f t="shared" si="193"/>
        <v>0.13671366829887255</v>
      </c>
      <c r="CI68" s="127">
        <f t="shared" si="193"/>
        <v>0.13805425685444006</v>
      </c>
      <c r="CJ68" s="138">
        <f t="shared" si="193"/>
        <v>0.13903565913214488</v>
      </c>
      <c r="CL68" s="289">
        <f>CL36</f>
        <v>5.2999999999999999E-2</v>
      </c>
      <c r="CM68" s="282">
        <f>IRR(($BZ54:BZ54,CM60))</f>
        <v>-0.12941365335565314</v>
      </c>
      <c r="CN68" s="282">
        <f>IRR(($BZ54:CA54,CN60))</f>
        <v>1.6609151853790527E-2</v>
      </c>
      <c r="CO68" s="282">
        <f>IRR(($BZ54:CB54,CO60))</f>
        <v>6.845095463327211E-2</v>
      </c>
      <c r="CP68" s="282">
        <f>IRR(($BZ54:CC54,CP60))</f>
        <v>9.4058139423563114E-2</v>
      </c>
      <c r="CQ68" s="282">
        <f>IRR(($BZ54:CD54,CQ60))</f>
        <v>0.10866981945428145</v>
      </c>
      <c r="CR68" s="282">
        <f>IRR(($BZ54:CE54,CR60))</f>
        <v>0.11779793906551284</v>
      </c>
      <c r="CS68" s="282">
        <f>IRR(($BZ54:CF54,CS60))</f>
        <v>0.12377289071117326</v>
      </c>
      <c r="CT68" s="282">
        <f>IRR(($BZ54:CG54,CT60))</f>
        <v>0.12784070186280094</v>
      </c>
      <c r="CU68" s="282">
        <f>IRR(($BZ54:CH54,CU60))</f>
        <v>0.13076473207863248</v>
      </c>
      <c r="CV68" s="294">
        <f>IRR(($BZ54:CI54,CV60))</f>
        <v>0.13297093219377265</v>
      </c>
      <c r="CX68" s="125" t="s">
        <v>61</v>
      </c>
      <c r="CY68" s="155"/>
      <c r="CZ68" s="127">
        <f t="shared" ref="CZ68:DI68" si="194">IRR(CZ56:CZ66)</f>
        <v>4.7255081818289302E-3</v>
      </c>
      <c r="DA68" s="127">
        <f t="shared" si="194"/>
        <v>7.7036366046080218E-2</v>
      </c>
      <c r="DB68" s="127">
        <f t="shared" si="194"/>
        <v>0.10978507823624128</v>
      </c>
      <c r="DC68" s="127">
        <f t="shared" si="194"/>
        <v>0.12517262257255735</v>
      </c>
      <c r="DD68" s="127">
        <f t="shared" si="194"/>
        <v>0.1335556903344246</v>
      </c>
      <c r="DE68" s="127">
        <f t="shared" si="194"/>
        <v>0.13848447586233004</v>
      </c>
      <c r="DF68" s="127">
        <f t="shared" si="194"/>
        <v>0.14149643810700008</v>
      </c>
      <c r="DG68" s="127">
        <f t="shared" si="194"/>
        <v>0.14336125127638222</v>
      </c>
      <c r="DH68" s="127">
        <f t="shared" si="194"/>
        <v>0.14450176100423562</v>
      </c>
      <c r="DI68" s="138">
        <f t="shared" si="194"/>
        <v>0.14516898313754667</v>
      </c>
      <c r="DK68" s="289">
        <f>DK36</f>
        <v>5.3999999999999999E-2</v>
      </c>
      <c r="DL68" s="282">
        <f>IRR(($CY54:CY54,DL60))</f>
        <v>-0.12719617471378697</v>
      </c>
      <c r="DM68" s="282">
        <f>IRR(($CY54:CZ54,DM60))</f>
        <v>2.2421433267411306E-2</v>
      </c>
      <c r="DN68" s="282">
        <f>IRR(($CY54:DA54,DN60))</f>
        <v>7.5375080473789158E-2</v>
      </c>
      <c r="DO68" s="282">
        <f>IRR(($CY54:DB54,DO60))</f>
        <v>0.10122608961246149</v>
      </c>
      <c r="DP68" s="282">
        <f>IRR(($CY54:DC54,DP60))</f>
        <v>0.11587867881168257</v>
      </c>
      <c r="DQ68" s="282">
        <f>IRR(($CY54:DD54,DQ60))</f>
        <v>0.12491334466505699</v>
      </c>
      <c r="DR68" s="282">
        <f>IRR(($CY54:DE54,DR60))</f>
        <v>0.13078055685248668</v>
      </c>
      <c r="DS68" s="282">
        <f>IRR(($CY54:DF54,DS60))</f>
        <v>0.13471893950418234</v>
      </c>
      <c r="DT68" s="282">
        <f>IRR(($CY54:DG54,DT60))</f>
        <v>0.13741564586079691</v>
      </c>
      <c r="DU68" s="294">
        <f>IRR(($CY54:DH54,DU60))</f>
        <v>0.13928133659739061</v>
      </c>
      <c r="DW68" s="125" t="s">
        <v>61</v>
      </c>
      <c r="DX68" s="155"/>
      <c r="DY68" s="127">
        <f t="shared" ref="DY68:EH68" si="195">IRR(DY56:DY66)</f>
        <v>-2.7873470616159857E-3</v>
      </c>
      <c r="DZ68" s="127">
        <f t="shared" si="195"/>
        <v>6.9408513853085108E-2</v>
      </c>
      <c r="EA68" s="127">
        <f t="shared" si="195"/>
        <v>0.10202352423392225</v>
      </c>
      <c r="EB68" s="127">
        <f t="shared" si="195"/>
        <v>0.11749761409291404</v>
      </c>
      <c r="EC68" s="127">
        <f t="shared" si="195"/>
        <v>0.12596860568680746</v>
      </c>
      <c r="ED68" s="127">
        <f t="shared" si="195"/>
        <v>0.13099041789312449</v>
      </c>
      <c r="EE68" s="127">
        <f t="shared" si="195"/>
        <v>0.13404520465630654</v>
      </c>
      <c r="EF68" s="127">
        <f t="shared" si="195"/>
        <v>0.13600509399224192</v>
      </c>
      <c r="EG68" s="127">
        <f t="shared" si="195"/>
        <v>0.13718053068727154</v>
      </c>
      <c r="EH68" s="138">
        <f t="shared" si="195"/>
        <v>0.13789455490252722</v>
      </c>
      <c r="EJ68" s="289">
        <f>EJ36</f>
        <v>5.0999999999999997E-2</v>
      </c>
      <c r="EK68" s="282">
        <f>IRR(($DX54:DX54,EK60))</f>
        <v>-0.14203425756733057</v>
      </c>
      <c r="EL68" s="282">
        <f>IRR(($DX54:DY54,EL60))</f>
        <v>1.0673496449208342E-2</v>
      </c>
      <c r="EM68" s="282">
        <f>IRR(($DX54:DZ54,EM60))</f>
        <v>6.4855239668030862E-2</v>
      </c>
      <c r="EN68" s="282">
        <f>IRR(($DX54:EA54,EN60))</f>
        <v>9.1531772261691513E-2</v>
      </c>
      <c r="EO68" s="282">
        <f>IRR(($DX54:EB54,EO60))</f>
        <v>0.10673039473795076</v>
      </c>
      <c r="EP68" s="282">
        <f>IRR(($DX54:EC54,EP60))</f>
        <v>0.11616768974917946</v>
      </c>
      <c r="EQ68" s="282">
        <f>IRR(($DX54:ED54,EQ60))</f>
        <v>0.12229801115656014</v>
      </c>
      <c r="ER68" s="282">
        <f>IRR(($DX54:EE54,ER60))</f>
        <v>0.12649749919664299</v>
      </c>
      <c r="ES68" s="282">
        <f>IRR(($DX54:EF54,ES60))</f>
        <v>0.12935595972289682</v>
      </c>
      <c r="ET68" s="294">
        <f>IRR(($DX54:EG54,ET60))</f>
        <v>0.13136918163174283</v>
      </c>
    </row>
    <row r="69" spans="2:150" ht="13.5" thickBot="1" x14ac:dyDescent="0.35">
      <c r="B69" s="252" t="s">
        <v>167</v>
      </c>
      <c r="C69" s="231"/>
      <c r="D69" s="200">
        <f>(SUM(D57:D66)-SUM($D$53:D53)+((SUM($D$36:D36)-SUM($D$39:D39))*Summary!$C$22))/-D56</f>
        <v>0.9756566496094391</v>
      </c>
      <c r="E69" s="200">
        <f>(SUM(E57:E66)-SUM($D$53:E53)+((SUM($D$36:E36)-SUM($D$39:E39))*Summary!$C$22))/-E56</f>
        <v>1.0849354908920223</v>
      </c>
      <c r="F69" s="200">
        <f>(SUM(F57:F66)-SUM($D$53:F53)+((SUM($D$36:F36)-SUM($D$39:F39))*Summary!$C$22))/-F56</f>
        <v>1.1959374652628658</v>
      </c>
      <c r="G69" s="200">
        <f>(SUM(G57:G66)-SUM($D$53:G53)+((SUM($D$36:G36)-SUM($D$39:G39))*Summary!$C$22))/-G56</f>
        <v>1.2083663959248803</v>
      </c>
      <c r="H69" s="200">
        <f>(SUM(H57:H66)-SUM($D$53:H53)+((SUM($D$36:H36)-SUM($D$39:H39))*Summary!$C$22))/-H56</f>
        <v>1.4522655012419499</v>
      </c>
      <c r="I69" s="200">
        <f>(SUM(I57:I66)-SUM($D$53:I53)+((SUM($D$36:I36)-SUM($D$39:I39))*Summary!$C$22))/-I56</f>
        <v>1.3704595607501355</v>
      </c>
      <c r="J69" s="200">
        <f>(SUM(J57:J66)-SUM($D$53:J53)+((SUM($D$36:J36)-SUM($D$39:J39))*Summary!$C$22))/-J56</f>
        <v>1.4214695053030031</v>
      </c>
      <c r="K69" s="200">
        <f>(SUM(K57:K66)-SUM($D$53:K53)+((SUM($D$36:K36)-SUM($D$39:K39))*Summary!$C$22))/-K56</f>
        <v>1.666519356453378</v>
      </c>
      <c r="L69" s="200">
        <f>(SUM(L57:L66)-SUM($D$53:L53)+((SUM($D$36:L36)-SUM($D$39:L39))*Summary!$C$22))/-L56</f>
        <v>1.6646739454012933</v>
      </c>
      <c r="M69" s="201">
        <f>(SUM(M57:M66)-SUM($D$53:M53)+((SUM($D$36:M36)-SUM($D$39:M39)+M37)*Summary!$C$22))/-M56</f>
        <v>1.8775316833732385</v>
      </c>
      <c r="O69" s="290">
        <f>O37</f>
        <v>6.0999999999999999E-2</v>
      </c>
      <c r="P69" s="295">
        <f>IRR(($C54:C54,P61))</f>
        <v>-0.11753026462853822</v>
      </c>
      <c r="Q69" s="295">
        <f>IRR(($C54:D54,Q61))</f>
        <v>3.2925098177198242E-2</v>
      </c>
      <c r="R69" s="295">
        <f>IRR(($C54:E54,R61))</f>
        <v>7.7502191980511448E-2</v>
      </c>
      <c r="S69" s="295">
        <f>IRR(($C54:F54,S61))</f>
        <v>7.651681167309099E-2</v>
      </c>
      <c r="T69" s="295">
        <f>IRR(($C54:G54,T61))</f>
        <v>0.1154849655336434</v>
      </c>
      <c r="U69" s="295">
        <f>IRR(($C54:H54,U61))</f>
        <v>9.7069083239208487E-2</v>
      </c>
      <c r="V69" s="295">
        <f>IRR(($C54:I54,V61))</f>
        <v>9.9253643731139318E-2</v>
      </c>
      <c r="W69" s="295">
        <f>IRR(($C54:J54,W61))</f>
        <v>0.11732230302638391</v>
      </c>
      <c r="X69" s="295">
        <f>IRR(($C54:K54,X61))</f>
        <v>0.11240705574567689</v>
      </c>
      <c r="Y69" s="296">
        <f>IRR(($C54:L54,Y61))</f>
        <v>0.1209780856425815</v>
      </c>
      <c r="AA69" s="252" t="s">
        <v>167</v>
      </c>
      <c r="AB69" s="231"/>
      <c r="AC69" s="200">
        <f>(SUM(AC57:AC66)-SUM($AC$53:AC53)+((SUM($AC$36:AC36)-SUM($AC$39:AC39))*Summary!$C$22))/-AC56</f>
        <v>0.92005731652025502</v>
      </c>
      <c r="AD69" s="200">
        <f>(SUM(AD57:AD66)-SUM($AC$53:AD53)+((SUM($AC$36:AD36)-SUM($AC$39:AD39))*Summary!$C$22))/-AD56</f>
        <v>0.89196036807235968</v>
      </c>
      <c r="AE69" s="200">
        <f>(SUM(AE57:AE66)-SUM($AC$53:AE53)+((SUM($AC$36:AE36)-SUM($AC$39:AE39))*Summary!$C$22))/-AE56</f>
        <v>1.7844814049431326</v>
      </c>
      <c r="AF69" s="200">
        <f>(SUM(AF57:AF66)-SUM($AC$53:AF53)+((SUM($AC$36:AF36)-SUM($AC$39:AF39))*Summary!$C$22))/-AF56</f>
        <v>1.9851543502157434</v>
      </c>
      <c r="AG69" s="200">
        <f>(SUM(AG57:AG66)-SUM($AC$53:AG53)+((SUM($AC$36:AG36)-SUM($AC$39:AG39))*Summary!$C$22))/-AG56</f>
        <v>2.1865478518824721</v>
      </c>
      <c r="AH69" s="200">
        <f>(SUM(AH57:AH66)-SUM($AC$53:AH53)+((SUM($AC$36:AH36)-SUM($AC$39:AH39))*Summary!$C$22))/-AH56</f>
        <v>2.3465174322580062</v>
      </c>
      <c r="AI69" s="200">
        <f>(SUM(AI57:AI66)-SUM($AC$53:AI53)+((SUM($AC$36:AI36)-SUM($AC$39:AI39))*Summary!$C$22))/-AI56</f>
        <v>2.508476671257593</v>
      </c>
      <c r="AJ69" s="200">
        <f>(SUM(AJ57:AJ66)-SUM($AC$53:AJ53)+((SUM($AC$36:AJ36)-SUM($AC$39:AJ39))*Summary!$C$22))/-AJ56</f>
        <v>2.6728016517193889</v>
      </c>
      <c r="AK69" s="200">
        <f>(SUM(AK57:AK66)-SUM($AC$53:AK53)+((SUM($AC$36:AK36)-SUM($AC$39:AK39))*Summary!$C$22))/-AK56</f>
        <v>2.7720360237199921</v>
      </c>
      <c r="AL69" s="201">
        <f>(SUM(AL57:AL66)-SUM($AC$53:AL53)+((SUM($AC$36:AL36)-SUM($AC$39:AL39)+AL37)*Summary!$C$22))/-AL56</f>
        <v>2.8608086208146295</v>
      </c>
      <c r="AN69" s="290">
        <f>AN37</f>
        <v>5.6000000000000001E-2</v>
      </c>
      <c r="AO69" s="295">
        <f>IRR(($AB54:AB54,AO61))</f>
        <v>-0.89423607999085108</v>
      </c>
      <c r="AP69" s="295">
        <f>IRR(($AB54:AC54,AP61))</f>
        <v>-8.4406451243283609E-2</v>
      </c>
      <c r="AQ69" s="295">
        <f>IRR(($AB54:AD54,AQ61))</f>
        <v>0.21760231428054921</v>
      </c>
      <c r="AR69" s="295">
        <f>IRR(($AB54:AE54,AR61))</f>
        <v>0.2081939714747949</v>
      </c>
      <c r="AS69" s="295">
        <f>IRR(($AB54:AF54,AS61))</f>
        <v>0.20117753854699028</v>
      </c>
      <c r="AT69" s="295">
        <f>IRR(($AB54:AG54,AT61))</f>
        <v>0.1921800939736884</v>
      </c>
      <c r="AU69" s="295">
        <f>IRR(($AB54:AH54,AU61))</f>
        <v>0.18571974833315563</v>
      </c>
      <c r="AV69" s="295">
        <f>IRR(($AB54:AI54,AV61))</f>
        <v>0.18085712305696311</v>
      </c>
      <c r="AW69" s="295">
        <f>IRR(($AB54:AJ54,AW61))</f>
        <v>0.17418690350083121</v>
      </c>
      <c r="AX69" s="296">
        <f>IRR(($AB54:AK54,AX61))</f>
        <v>0.16853627399483395</v>
      </c>
      <c r="AZ69" s="252" t="s">
        <v>167</v>
      </c>
      <c r="BA69" s="231"/>
      <c r="BB69" s="200">
        <f>(SUM(BB57:BB66)-SUM($BB$53:BB53)+((SUM($BB$36:BB36)-SUM($BB$39:BB39))*Summary!$C$22))/-BB56</f>
        <v>0.94021913623435383</v>
      </c>
      <c r="BC69" s="200">
        <f>(SUM(BC57:BC66)-SUM($BB$53:BC53)+((SUM($BB$36:BC36)-SUM($BB$39:BC39))*Summary!$C$22))/-BC56</f>
        <v>1.2026157018475296</v>
      </c>
      <c r="BD69" s="200">
        <f>(SUM(BD57:BD66)-SUM($BB$53:BD53)+((SUM($BB$36:BD36)-SUM($BB$39:BD39))*Summary!$C$22))/-BD56</f>
        <v>1.6063326160641733</v>
      </c>
      <c r="BE69" s="200">
        <f>(SUM(BE57:BE66)-SUM($BB$53:BE53)+((SUM($BB$36:BE36)-SUM($BB$39:BE39))*Summary!$C$22))/-BE56</f>
        <v>1.7323994350383931</v>
      </c>
      <c r="BF69" s="200">
        <f>(SUM(BF57:BF66)-SUM($BB$53:BF53)+((SUM($BB$36:BF36)-SUM($BB$39:BF39))*Summary!$C$22))/-BF56</f>
        <v>1.8596199990107698</v>
      </c>
      <c r="BG69" s="200">
        <f>(SUM(BG57:BG66)-SUM($BB$53:BG53)+((SUM($BB$36:BG36)-SUM($BB$39:BG39))*Summary!$C$22))/-BG56</f>
        <v>1.9897060768922135</v>
      </c>
      <c r="BH69" s="200">
        <f>(SUM(BH57:BH66)-SUM($BB$53:BH53)+((SUM($BB$36:BH36)-SUM($BB$39:BH39))*Summary!$C$22))/-BH56</f>
        <v>2.3158456718105853</v>
      </c>
      <c r="BI69" s="200">
        <f>(SUM(BI57:BI66)-SUM($BB$53:BI53)+((SUM($BB$36:BI36)-SUM($BB$39:BI39))*Summary!$C$22))/-BI56</f>
        <v>2.4991307273991814</v>
      </c>
      <c r="BJ69" s="200">
        <f>(SUM(BJ57:BJ66)-SUM($BB$53:BJ53)+((SUM($BB$36:BJ36)-SUM($BB$39:BJ39))*Summary!$C$22))/-BJ56</f>
        <v>2.6453849915847711</v>
      </c>
      <c r="BK69" s="201">
        <f>(SUM(BK57:BK66)-SUM($BB$53:BK53)+((SUM($BB$36:BK36)-SUM($BB$39:BK39)+BK37)*Summary!$C$22))/-BK56</f>
        <v>2.7893739308165224</v>
      </c>
      <c r="BM69" s="290">
        <f>BM37</f>
        <v>5.6000000000000001E-2</v>
      </c>
      <c r="BN69" s="295">
        <f>IRR(($BA54:BA54,BN61))</f>
        <v>-0.53374099235894579</v>
      </c>
      <c r="BO69" s="295">
        <f>IRR(($BA54:BB54,BO61))</f>
        <v>7.133179555856195E-2</v>
      </c>
      <c r="BP69" s="295">
        <f>IRR(($BA54:BC54,BP61))</f>
        <v>0.17849909457087931</v>
      </c>
      <c r="BQ69" s="295">
        <f>IRR(($BA54:BD54,BQ61))</f>
        <v>0.17096541281930433</v>
      </c>
      <c r="BR69" s="295">
        <f>IRR(($BA54:BE54,BR61))</f>
        <v>0.16623000792222609</v>
      </c>
      <c r="BS69" s="295">
        <f>IRR(($BA54:BF54,BS61))</f>
        <v>0.16306615480421827</v>
      </c>
      <c r="BT69" s="295">
        <f>IRR(($BA54:BG54,BT61))</f>
        <v>0.17463481285266758</v>
      </c>
      <c r="BU69" s="295">
        <f>IRR(($BA54:BH54,BU61))</f>
        <v>0.17289527065181964</v>
      </c>
      <c r="BV69" s="295">
        <f>IRR(($BA54:BI54,BV61))</f>
        <v>0.16950688254862367</v>
      </c>
      <c r="BW69" s="296">
        <f>IRR(($BA54:BJ54,BW61))</f>
        <v>0.16666355689497392</v>
      </c>
      <c r="BY69" s="252" t="s">
        <v>167</v>
      </c>
      <c r="BZ69" s="231"/>
      <c r="CA69" s="200">
        <f>(SUM(CA57:CA66)-SUM($CA$53:CA53)+((SUM($CA$36:CA36)-SUM($CA$39:CA39))*Summary!$C$22))/-CA56</f>
        <v>0.95546886395245734</v>
      </c>
      <c r="CB69" s="200">
        <f>(SUM(CB57:CB66)-SUM($CA$53:CB53)+((SUM($CA$36:CB36)-SUM($CA$39:CB39))*Summary!$C$22))/-CB56</f>
        <v>1.0452085853007491</v>
      </c>
      <c r="CC69" s="200">
        <f>(SUM(CC57:CC66)-SUM($CA$53:CC53)+((SUM($CA$36:CC36)-SUM($CA$39:CC39))*Summary!$C$22))/-CC56</f>
        <v>1.1638065502774959</v>
      </c>
      <c r="CD69" s="200">
        <f>(SUM(CD57:CD66)-SUM($CA$53:CD53)+((SUM($CA$36:CD36)-SUM($CA$39:CD39))*Summary!$C$22))/-CD56</f>
        <v>1.2863174151840246</v>
      </c>
      <c r="CE69" s="200">
        <f>(SUM(CE57:CE66)-SUM($CA$53:CE53)+((SUM($CA$36:CE36)-SUM($CA$39:CE39))*Summary!$C$22))/-CE56</f>
        <v>1.4121116355452965</v>
      </c>
      <c r="CF69" s="200">
        <f>(SUM(CF57:CF66)-SUM($CA$53:CF53)+((SUM($CA$36:CF36)-SUM($CA$39:CF39))*Summary!$C$22))/-CF56</f>
        <v>1.5416143139104357</v>
      </c>
      <c r="CG69" s="200">
        <f>(SUM(CG57:CG66)-SUM($CA$53:CG53)+((SUM($CA$36:CG36)-SUM($CA$39:CG39))*Summary!$C$22))/-CG56</f>
        <v>1.6744174716977038</v>
      </c>
      <c r="CH69" s="200">
        <f>(SUM(CH57:CH66)-SUM($CA$53:CH53)+((SUM($CA$36:CH36)-SUM($CA$39:CH39))*Summary!$C$22))/-CH56</f>
        <v>1.8108242000768657</v>
      </c>
      <c r="CI69" s="200">
        <f>(SUM(CI57:CI66)-SUM($CA$53:CI53)+((SUM($CA$36:CI36)-SUM($CA$39:CI39))*Summary!$C$22))/-CI56</f>
        <v>1.9524273018850087</v>
      </c>
      <c r="CJ69" s="201">
        <f>(SUM(CJ57:CJ66)-SUM($CA$53:CJ53)+((SUM($CA$36:CJ36)-SUM($CA$39:CJ39)+CJ37)*Summary!$C$22))/-CJ56</f>
        <v>2.1008022646431579</v>
      </c>
      <c r="CL69" s="290">
        <f>CL37</f>
        <v>5.3999999999999999E-2</v>
      </c>
      <c r="CM69" s="295">
        <f>IRR(($BZ54:BZ54,CM61))</f>
        <v>-0.17783514113037091</v>
      </c>
      <c r="CN69" s="295">
        <f>IRR(($BZ54:CA54,CN61))</f>
        <v>-9.3986377517460973E-3</v>
      </c>
      <c r="CO69" s="295">
        <f>IRR(($BZ54:CB54,CO61))</f>
        <v>5.1837090394580398E-2</v>
      </c>
      <c r="CP69" s="295">
        <f>IRR(($BZ54:CC54,CP61))</f>
        <v>8.242658308876849E-2</v>
      </c>
      <c r="CQ69" s="295">
        <f>IRR(($BZ54:CD54,CQ61))</f>
        <v>0.10005775008265227</v>
      </c>
      <c r="CR69" s="295">
        <f>IRR(($BZ54:CE54,CR61))</f>
        <v>0.11117675469313593</v>
      </c>
      <c r="CS69" s="295">
        <f>IRR(($BZ54:CF54,CS61))</f>
        <v>0.11854131269763557</v>
      </c>
      <c r="CT69" s="295">
        <f>IRR(($BZ54:CG54,CT61))</f>
        <v>0.12362084102703097</v>
      </c>
      <c r="CU69" s="295">
        <f>IRR(($BZ54:CH54,CU61))</f>
        <v>0.12730636857715827</v>
      </c>
      <c r="CV69" s="296">
        <f>IRR(($BZ54:CI54,CV61))</f>
        <v>0.13010065938701953</v>
      </c>
      <c r="CX69" s="252" t="s">
        <v>167</v>
      </c>
      <c r="CY69" s="231"/>
      <c r="CZ69" s="200">
        <f>(SUM(CZ57:CZ66)-SUM($CZ$53:CZ53)+((SUM($CZ$36:CZ36)-SUM($CZ$39:CZ39))*Summary!$C$22))/-CZ56</f>
        <v>0.95722550818182894</v>
      </c>
      <c r="DA69" s="200">
        <f>(SUM(DA57:DA66)-SUM($CZ$53:DA53)+((SUM($CZ$36:DA36)-SUM($CZ$39:DA39))*Summary!$C$22))/-DA56</f>
        <v>1.0561692975426289</v>
      </c>
      <c r="DB69" s="200">
        <f>(SUM(DB57:DB66)-SUM($CZ$53:DB53)+((SUM($CZ$36:DB36)-SUM($CZ$39:DB39))*Summary!$C$22))/-DB56</f>
        <v>1.1848460234253986</v>
      </c>
      <c r="DC69" s="200">
        <f>(SUM(DC57:DC66)-SUM($CZ$53:DC53)+((SUM($CZ$36:DC36)-SUM($CZ$39:DC39))*Summary!$C$22))/-DC56</f>
        <v>1.3176876758778868</v>
      </c>
      <c r="DD69" s="200">
        <f>(SUM(DD57:DD66)-SUM($CZ$53:DD53)+((SUM($CZ$36:DD36)-SUM($CZ$39:DD39))*Summary!$C$22))/-DD56</f>
        <v>1.4547835619951404</v>
      </c>
      <c r="DE69" s="200">
        <f>(SUM(DE57:DE66)-SUM($CZ$53:DE53)+((SUM($CZ$36:DE36)-SUM($CZ$39:DE39))*Summary!$C$22))/-DE56</f>
        <v>1.5962146765360112</v>
      </c>
      <c r="DF69" s="200">
        <f>(SUM(DF57:DF66)-SUM($CZ$53:DF53)+((SUM($CZ$36:DF36)-SUM($CZ$39:DF39))*Summary!$C$22))/-DF56</f>
        <v>1.7420630200419478</v>
      </c>
      <c r="DG69" s="200">
        <f>(SUM(DG57:DG66)-SUM($CZ$53:DG53)+((SUM($CZ$36:DG36)-SUM($CZ$39:DG39))*Summary!$C$22))/-DG56</f>
        <v>1.8924263303521516</v>
      </c>
      <c r="DH69" s="200">
        <f>(SUM(DH57:DH66)-SUM($CZ$53:DH53)+((SUM($CZ$36:DH36)-SUM($CZ$39:DH39))*Summary!$C$22))/-DH56</f>
        <v>2.0473844634051765</v>
      </c>
      <c r="DI69" s="201">
        <f>(SUM(DI57:DI66)-SUM($CZ$53:DI53)+((SUM($CZ$36:DI36)-SUM($CZ$39:DI39)+DI37)*Summary!$C$22))/-DI56</f>
        <v>2.2070376714967237</v>
      </c>
      <c r="DK69" s="290">
        <f>DK37</f>
        <v>5.5E-2</v>
      </c>
      <c r="DL69" s="295">
        <f>IRR(($CY54:CY54,DL61))</f>
        <v>-0.17474565060919101</v>
      </c>
      <c r="DM69" s="295">
        <f>IRR(($CY54:CZ54,DM61))</f>
        <v>-3.0427830414165857E-3</v>
      </c>
      <c r="DN69" s="295">
        <f>IRR(($CY54:DA54,DN61))</f>
        <v>5.9180522641839595E-2</v>
      </c>
      <c r="DO69" s="295">
        <f>IRR(($CY54:DB54,DO61))</f>
        <v>8.9934056729842116E-2</v>
      </c>
      <c r="DP69" s="295">
        <f>IRR(($CY54:DC54,DP61))</f>
        <v>0.10754868109070848</v>
      </c>
      <c r="DQ69" s="295">
        <f>IRR(($CY54:DD54,DQ61))</f>
        <v>0.11852939940461837</v>
      </c>
      <c r="DR69" s="295">
        <f>IRR(($CY54:DE54,DR61))</f>
        <v>0.12575089424756247</v>
      </c>
      <c r="DS69" s="295">
        <f>IRR(($CY54:DF54,DS61))</f>
        <v>0.13067221649089489</v>
      </c>
      <c r="DT69" s="295">
        <f>IRR(($CY54:DG54,DT61))</f>
        <v>0.13410562771524881</v>
      </c>
      <c r="DU69" s="296">
        <f>IRR(($CY54:DH54,DU61))</f>
        <v>0.13653767951670992</v>
      </c>
      <c r="DW69" s="252" t="s">
        <v>167</v>
      </c>
      <c r="DX69" s="231"/>
      <c r="DY69" s="200">
        <f>(SUM(DY57:DY66)-SUM($DY$53:DY53)+((SUM($DY$36:DY36)-SUM($DY$39:DY39))*Summary!$C$22))/-DY56</f>
        <v>0.94971265293838403</v>
      </c>
      <c r="DZ69" s="200">
        <f>(SUM(DZ57:DZ66)-SUM($DY$53:DZ53)+((SUM($DY$36:DZ36)-SUM($DY$39:DZ39))*Summary!$C$22))/-DZ56</f>
        <v>1.0411930985947697</v>
      </c>
      <c r="EA69" s="200">
        <f>(SUM(EA57:EA66)-SUM($DY$53:EA53)+((SUM($DY$36:EA36)-SUM($DY$39:EA39))*Summary!$C$22))/-EA56</f>
        <v>1.1616449674199529</v>
      </c>
      <c r="EB69" s="200">
        <f>(SUM(EB57:EB66)-SUM($DY$53:EB53)+((SUM($DY$36:EB36)-SUM($DY$39:EB39))*Summary!$C$22))/-EB56</f>
        <v>1.2864791065629948</v>
      </c>
      <c r="EC69" s="200">
        <f>(SUM(EC57:EC66)-SUM($DY$53:EC53)+((SUM($DY$36:EC36)-SUM($DY$39:EC39))*Summary!$C$22))/-EC56</f>
        <v>1.4153902896054555</v>
      </c>
      <c r="ED69" s="200">
        <f>(SUM(ED57:ED66)-SUM($DY$53:ED53)+((SUM($DY$36:ED36)-SUM($DY$39:ED39))*Summary!$C$22))/-ED56</f>
        <v>1.5485519855253203</v>
      </c>
      <c r="EE69" s="200">
        <f>(SUM(EE57:EE66)-SUM($DY$53:EE53)+((SUM($DY$36:EE36)-SUM($DY$39:EE39))*Summary!$C$22))/-EE56</f>
        <v>1.6855239929630172</v>
      </c>
      <c r="EF69" s="200">
        <f>(SUM(EF57:EF66)-SUM($DY$53:EF53)+((SUM($DY$36:EF36)-SUM($DY$39:EF39))*Summary!$C$22))/-EF56</f>
        <v>1.8275054638164938</v>
      </c>
      <c r="EG69" s="200">
        <f>(SUM(EG57:EG66)-SUM($DY$53:EG53)+((SUM($DY$36:EG36)-SUM($DY$39:EG39))*Summary!$C$22))/-EG56</f>
        <v>1.9731612332294364</v>
      </c>
      <c r="EH69" s="201">
        <f>(SUM(EH57:EH66)-SUM($DY$53:EH53)+((SUM($DY$36:EH36)-SUM($DY$39:EH39)+EH37)*Summary!$C$22))/-EH56</f>
        <v>2.1235596282069751</v>
      </c>
      <c r="EJ69" s="290">
        <f>EJ37</f>
        <v>5.1999999999999998E-2</v>
      </c>
      <c r="EK69" s="295">
        <f>IRR(($DX54:DX54,EK61))</f>
        <v>-0.19218610269496816</v>
      </c>
      <c r="EL69" s="295">
        <f>IRR(($DX54:DY54,EL61))</f>
        <v>-1.6437339511730653E-2</v>
      </c>
      <c r="EM69" s="295">
        <f>IRR(($DX54:DZ54,EM61))</f>
        <v>4.7522516770572398E-2</v>
      </c>
      <c r="EN69" s="295">
        <f>IRR(($DX54:EA54,EN61))</f>
        <v>7.9395995327764535E-2</v>
      </c>
      <c r="EO69" s="295">
        <f>IRR(($DX54:EB54,EO61))</f>
        <v>9.7744333260060268E-2</v>
      </c>
      <c r="EP69" s="295">
        <f>IRR(($DX54:EC54,EP61))</f>
        <v>0.10925637626963192</v>
      </c>
      <c r="EQ69" s="295">
        <f>IRR(($DX54:ED54,EQ61))</f>
        <v>0.11683315628519098</v>
      </c>
      <c r="ER69" s="295">
        <f>IRR(($DX54:EE54,ER61))</f>
        <v>0.1220854915373295</v>
      </c>
      <c r="ES69" s="295">
        <f>IRR(($DX54:EF54,ES61))</f>
        <v>0.12573408892154414</v>
      </c>
      <c r="ET69" s="296">
        <f>IRR(($DX54:EG54,ET61))</f>
        <v>0.1283561910937876</v>
      </c>
    </row>
    <row r="71" spans="2:150" x14ac:dyDescent="0.3">
      <c r="CA71" s="325"/>
      <c r="CB71" s="325"/>
      <c r="CC71" s="325"/>
      <c r="CD71" s="325"/>
      <c r="CE71" s="325"/>
      <c r="CF71" s="325"/>
      <c r="CG71" s="325"/>
      <c r="CH71" s="325"/>
      <c r="CI71" s="325"/>
      <c r="CJ71" s="325"/>
    </row>
    <row r="72" spans="2:150" x14ac:dyDescent="0.3">
      <c r="CA72" s="323"/>
      <c r="CC72" s="326"/>
    </row>
    <row r="73" spans="2:150" x14ac:dyDescent="0.3">
      <c r="DY73" s="324"/>
      <c r="DZ73" s="324"/>
      <c r="EA73" s="324"/>
      <c r="EB73" s="324"/>
      <c r="EC73" s="324"/>
      <c r="ED73" s="324"/>
      <c r="EE73" s="324"/>
      <c r="EF73" s="324"/>
      <c r="EG73" s="324"/>
      <c r="EH73" s="324"/>
    </row>
    <row r="75" spans="2:150" x14ac:dyDescent="0.3">
      <c r="CA75" s="117"/>
    </row>
    <row r="76" spans="2:150" x14ac:dyDescent="0.3">
      <c r="CA76" s="117"/>
    </row>
    <row r="77" spans="2:150" x14ac:dyDescent="0.3">
      <c r="CA77" s="117"/>
    </row>
    <row r="78" spans="2:150" x14ac:dyDescent="0.3">
      <c r="CA78" s="117"/>
    </row>
    <row r="79" spans="2:150" x14ac:dyDescent="0.3">
      <c r="CA79" s="117"/>
    </row>
    <row r="80" spans="2:150" x14ac:dyDescent="0.3">
      <c r="CA80" s="117"/>
    </row>
    <row r="81" spans="79:79" x14ac:dyDescent="0.3">
      <c r="CA81" s="117"/>
    </row>
    <row r="82" spans="79:79" x14ac:dyDescent="0.3">
      <c r="CA82" s="117"/>
    </row>
  </sheetData>
  <sheetProtection formatCells="0" formatColumns="0" formatRows="0" insertColumns="0" insertRows="0" insertHyperlinks="0" deleteColumns="0" deleteRows="0" sort="0" autoFilter="0" pivotTables="0"/>
  <mergeCells count="30">
    <mergeCell ref="EJ31:ET31"/>
    <mergeCell ref="EJ39:ET39"/>
    <mergeCell ref="EJ47:ET47"/>
    <mergeCell ref="EJ55:ET55"/>
    <mergeCell ref="EJ63:ET63"/>
    <mergeCell ref="DK31:DU31"/>
    <mergeCell ref="DK39:DU39"/>
    <mergeCell ref="DK47:DU47"/>
    <mergeCell ref="DK55:DU55"/>
    <mergeCell ref="DK63:DU63"/>
    <mergeCell ref="CL31:CV31"/>
    <mergeCell ref="CL39:CV39"/>
    <mergeCell ref="CL47:CV47"/>
    <mergeCell ref="CL55:CV55"/>
    <mergeCell ref="CL63:CV63"/>
    <mergeCell ref="BM31:BW31"/>
    <mergeCell ref="BM39:BW39"/>
    <mergeCell ref="BM47:BW47"/>
    <mergeCell ref="BM55:BW55"/>
    <mergeCell ref="BM63:BW63"/>
    <mergeCell ref="AN31:AX31"/>
    <mergeCell ref="AN39:AX39"/>
    <mergeCell ref="AN47:AX47"/>
    <mergeCell ref="AN55:AX55"/>
    <mergeCell ref="AN63:AX63"/>
    <mergeCell ref="O31:Y31"/>
    <mergeCell ref="O39:Y39"/>
    <mergeCell ref="O47:Y47"/>
    <mergeCell ref="O55:Y55"/>
    <mergeCell ref="O63:Y63"/>
  </mergeCells>
  <conditionalFormatting sqref="B50">
    <cfRule type="expression" dxfId="104" priority="1396">
      <formula>CL$6=""</formula>
    </cfRule>
    <cfRule type="expression" dxfId="103" priority="1065">
      <formula>$B1048468&lt;&gt;""</formula>
    </cfRule>
  </conditionalFormatting>
  <conditionalFormatting sqref="B5:M6">
    <cfRule type="expression" dxfId="102" priority="1393">
      <formula>BY$6&lt;&gt;""</formula>
    </cfRule>
  </conditionalFormatting>
  <conditionalFormatting sqref="B6:M6 B9:B10 B13:B14 B17:B18 B20:B27 B30:B31 B33:B34 B36 B41:B42 B44:B45">
    <cfRule type="expression" dxfId="101" priority="146">
      <formula>$B6&lt;&gt;""</formula>
    </cfRule>
  </conditionalFormatting>
  <conditionalFormatting sqref="B6:M6">
    <cfRule type="expression" dxfId="100" priority="141">
      <formula>B6&lt;&gt;""</formula>
    </cfRule>
  </conditionalFormatting>
  <conditionalFormatting sqref="B50:M50">
    <cfRule type="expression" dxfId="99" priority="129">
      <formula>B50&lt;&gt;""</formula>
    </cfRule>
  </conditionalFormatting>
  <conditionalFormatting sqref="C7">
    <cfRule type="expression" dxfId="98" priority="123">
      <formula>C$6&lt;&gt;""</formula>
    </cfRule>
    <cfRule type="expression" dxfId="97" priority="122">
      <formula>$B7&lt;&gt;""</formula>
    </cfRule>
    <cfRule type="expression" dxfId="96" priority="121">
      <formula>C$6=""</formula>
    </cfRule>
    <cfRule type="expression" dxfId="95" priority="120">
      <formula>C7&lt;&gt;""</formula>
    </cfRule>
  </conditionalFormatting>
  <conditionalFormatting sqref="C49:C50 D50:M50">
    <cfRule type="expression" dxfId="94" priority="132">
      <formula>C$6&lt;&gt;""</formula>
    </cfRule>
  </conditionalFormatting>
  <conditionalFormatting sqref="C50:M50">
    <cfRule type="expression" dxfId="93" priority="131">
      <formula>$B50&lt;&gt;""</formula>
    </cfRule>
    <cfRule type="expression" dxfId="92" priority="130">
      <formula>C$6=""</formula>
    </cfRule>
  </conditionalFormatting>
  <conditionalFormatting sqref="D49:L49 B49:B50">
    <cfRule type="expression" dxfId="91" priority="1394">
      <formula>CL$6&lt;&gt;""</formula>
    </cfRule>
  </conditionalFormatting>
  <conditionalFormatting sqref="D42:M42 B6:M6 B9:B10 B13:B14 B17:B18 B20:B27 B30:B31 B33:B34 B36 B41:B42 B44:B45">
    <cfRule type="expression" dxfId="90" priority="1382">
      <formula>BY$6=""</formula>
    </cfRule>
  </conditionalFormatting>
  <conditionalFormatting sqref="D42:M42">
    <cfRule type="expression" dxfId="89" priority="149">
      <formula>$B29&lt;&gt;""</formula>
    </cfRule>
    <cfRule type="expression" dxfId="88" priority="144">
      <formula>$B29=""</formula>
    </cfRule>
  </conditionalFormatting>
  <conditionalFormatting sqref="M49">
    <cfRule type="expression" dxfId="87" priority="134">
      <formula>M$6&lt;&gt;""</formula>
    </cfRule>
  </conditionalFormatting>
  <conditionalFormatting sqref="P33:Y37">
    <cfRule type="colorScale" priority="128">
      <colorScale>
        <cfvo type="min"/>
        <cfvo type="percentile" val="50"/>
        <cfvo type="max"/>
        <color rgb="FFF8696B"/>
        <color rgb="FFFFEB84"/>
        <color rgb="FF63BE7B"/>
      </colorScale>
    </cfRule>
  </conditionalFormatting>
  <conditionalFormatting sqref="P41:Y45">
    <cfRule type="colorScale" priority="125">
      <colorScale>
        <cfvo type="min"/>
        <cfvo type="percentile" val="50"/>
        <cfvo type="max"/>
        <color rgb="FFF8696B"/>
        <color rgb="FFFFEB84"/>
        <color rgb="FF63BE7B"/>
      </colorScale>
    </cfRule>
  </conditionalFormatting>
  <conditionalFormatting sqref="P49:Y53">
    <cfRule type="colorScale" priority="124">
      <colorScale>
        <cfvo type="min"/>
        <cfvo type="percentile" val="50"/>
        <cfvo type="max"/>
        <color rgb="FFF8696B"/>
        <color rgb="FFFFEB84"/>
        <color rgb="FF63BE7B"/>
      </colorScale>
    </cfRule>
  </conditionalFormatting>
  <conditionalFormatting sqref="P57:Y61">
    <cfRule type="colorScale" priority="127">
      <colorScale>
        <cfvo type="min"/>
        <cfvo type="percentile" val="50"/>
        <cfvo type="max"/>
        <color rgb="FFF8696B"/>
        <color rgb="FFFFEB84"/>
        <color rgb="FF63BE7B"/>
      </colorScale>
    </cfRule>
  </conditionalFormatting>
  <conditionalFormatting sqref="P65:Y69">
    <cfRule type="colorScale" priority="126">
      <colorScale>
        <cfvo type="min"/>
        <cfvo type="percentile" val="50"/>
        <cfvo type="max"/>
        <color rgb="FFF8696B"/>
        <color rgb="FFFFEB84"/>
        <color rgb="FF63BE7B"/>
      </colorScale>
    </cfRule>
  </conditionalFormatting>
  <conditionalFormatting sqref="AA6">
    <cfRule type="expression" dxfId="86" priority="108">
      <formula>AA6&lt;&gt;""</formula>
    </cfRule>
  </conditionalFormatting>
  <conditionalFormatting sqref="AA50">
    <cfRule type="expression" dxfId="85" priority="1411">
      <formula>CL$6=""</formula>
    </cfRule>
    <cfRule type="expression" dxfId="84" priority="117">
      <formula>$B1048415&lt;&gt;""</formula>
    </cfRule>
  </conditionalFormatting>
  <conditionalFormatting sqref="AA5:AL6">
    <cfRule type="expression" dxfId="83" priority="1408">
      <formula>BY$6&lt;&gt;""</formula>
    </cfRule>
  </conditionalFormatting>
  <conditionalFormatting sqref="AA6:AL6 AA9:AA10 AA13:AA14 AA17:AA18 AA20:AA27 AA30:AA31 AA33:AA34 AA36 AA41:AA42 AA44:AA45">
    <cfRule type="expression" dxfId="82" priority="112">
      <formula>$B6&lt;&gt;""</formula>
    </cfRule>
  </conditionalFormatting>
  <conditionalFormatting sqref="AA50:AL50">
    <cfRule type="expression" dxfId="81" priority="104">
      <formula>AA50&lt;&gt;""</formula>
    </cfRule>
  </conditionalFormatting>
  <conditionalFormatting sqref="AB6:AB7">
    <cfRule type="expression" dxfId="80" priority="95">
      <formula>AB6&lt;&gt;""</formula>
    </cfRule>
  </conditionalFormatting>
  <conditionalFormatting sqref="AB7">
    <cfRule type="expression" dxfId="79" priority="98">
      <formula>AB$6&lt;&gt;""</formula>
    </cfRule>
    <cfRule type="expression" dxfId="78" priority="96">
      <formula>AB$6=""</formula>
    </cfRule>
    <cfRule type="expression" dxfId="77" priority="97">
      <formula>$B7&lt;&gt;""</formula>
    </cfRule>
  </conditionalFormatting>
  <conditionalFormatting sqref="AB49:AB50 AC50:AL50">
    <cfRule type="expression" dxfId="76" priority="105">
      <formula>AB$6&lt;&gt;""</formula>
    </cfRule>
  </conditionalFormatting>
  <conditionalFormatting sqref="AB50:AL50">
    <cfRule type="expression" dxfId="75" priority="118">
      <formula>AB$6=""</formula>
    </cfRule>
    <cfRule type="expression" dxfId="74" priority="119">
      <formula>$B50&lt;&gt;""</formula>
    </cfRule>
  </conditionalFormatting>
  <conditionalFormatting sqref="AC49:AK49 AA49:AA50">
    <cfRule type="expression" dxfId="73" priority="1409">
      <formula>CL$6&lt;&gt;""</formula>
    </cfRule>
  </conditionalFormatting>
  <conditionalFormatting sqref="AC6:AL6">
    <cfRule type="expression" dxfId="72" priority="109">
      <formula>AC6&lt;&gt;""</formula>
    </cfRule>
  </conditionalFormatting>
  <conditionalFormatting sqref="AC42:AL42 AA6:AL6 AA9:AA10 AA13:AA14 AA17:AA18 AA20:AA27 AA30:AA31 AA33:AA34 AA36 AA41:AA42 AA44:AA45">
    <cfRule type="expression" dxfId="71" priority="1397">
      <formula>BY$6=""</formula>
    </cfRule>
  </conditionalFormatting>
  <conditionalFormatting sqref="AC42:AL42">
    <cfRule type="expression" dxfId="70" priority="114">
      <formula>$B29&lt;&gt;""</formula>
    </cfRule>
    <cfRule type="expression" dxfId="69" priority="110">
      <formula>$B29=""</formula>
    </cfRule>
  </conditionalFormatting>
  <conditionalFormatting sqref="AL49">
    <cfRule type="expression" dxfId="68" priority="106">
      <formula>AL$6&lt;&gt;""</formula>
    </cfRule>
  </conditionalFormatting>
  <conditionalFormatting sqref="AO33:AX37">
    <cfRule type="colorScale" priority="103">
      <colorScale>
        <cfvo type="min"/>
        <cfvo type="percentile" val="50"/>
        <cfvo type="max"/>
        <color rgb="FFF8696B"/>
        <color rgb="FFFFEB84"/>
        <color rgb="FF63BE7B"/>
      </colorScale>
    </cfRule>
  </conditionalFormatting>
  <conditionalFormatting sqref="AO41:AX45">
    <cfRule type="colorScale" priority="100">
      <colorScale>
        <cfvo type="min"/>
        <cfvo type="percentile" val="50"/>
        <cfvo type="max"/>
        <color rgb="FFF8696B"/>
        <color rgb="FFFFEB84"/>
        <color rgb="FF63BE7B"/>
      </colorScale>
    </cfRule>
  </conditionalFormatting>
  <conditionalFormatting sqref="AO49:AX53">
    <cfRule type="colorScale" priority="99">
      <colorScale>
        <cfvo type="min"/>
        <cfvo type="percentile" val="50"/>
        <cfvo type="max"/>
        <color rgb="FFF8696B"/>
        <color rgb="FFFFEB84"/>
        <color rgb="FF63BE7B"/>
      </colorScale>
    </cfRule>
  </conditionalFormatting>
  <conditionalFormatting sqref="AO57:AX61">
    <cfRule type="colorScale" priority="102">
      <colorScale>
        <cfvo type="min"/>
        <cfvo type="percentile" val="50"/>
        <cfvo type="max"/>
        <color rgb="FFF8696B"/>
        <color rgb="FFFFEB84"/>
        <color rgb="FF63BE7B"/>
      </colorScale>
    </cfRule>
  </conditionalFormatting>
  <conditionalFormatting sqref="AO65:AX69">
    <cfRule type="colorScale" priority="101">
      <colorScale>
        <cfvo type="min"/>
        <cfvo type="percentile" val="50"/>
        <cfvo type="max"/>
        <color rgb="FFF8696B"/>
        <color rgb="FFFFEB84"/>
        <color rgb="FF63BE7B"/>
      </colorScale>
    </cfRule>
  </conditionalFormatting>
  <conditionalFormatting sqref="AZ6">
    <cfRule type="expression" dxfId="67" priority="85">
      <formula>AZ6&lt;&gt;""</formula>
    </cfRule>
  </conditionalFormatting>
  <conditionalFormatting sqref="AZ50">
    <cfRule type="expression" dxfId="66" priority="94">
      <formula>$B1048362&lt;&gt;""</formula>
    </cfRule>
    <cfRule type="expression" dxfId="65" priority="1426">
      <formula>CL$6=""</formula>
    </cfRule>
  </conditionalFormatting>
  <conditionalFormatting sqref="AZ5:BK6">
    <cfRule type="expression" dxfId="64" priority="1423">
      <formula>BY$6&lt;&gt;""</formula>
    </cfRule>
  </conditionalFormatting>
  <conditionalFormatting sqref="AZ6:BK6 AZ9:AZ10 AZ13:AZ14 AZ17:AZ18 AZ20:AZ27 AZ30:AZ31 AZ33:AZ34 AZ36 AZ41:AZ42 AZ44:AZ45">
    <cfRule type="expression" dxfId="63" priority="89">
      <formula>$B6&lt;&gt;""</formula>
    </cfRule>
  </conditionalFormatting>
  <conditionalFormatting sqref="AZ50:BK50">
    <cfRule type="expression" dxfId="62" priority="79">
      <formula>AZ50&lt;&gt;""</formula>
    </cfRule>
  </conditionalFormatting>
  <conditionalFormatting sqref="BA6:BA7">
    <cfRule type="expression" dxfId="61" priority="70">
      <formula>BA6&lt;&gt;""</formula>
    </cfRule>
  </conditionalFormatting>
  <conditionalFormatting sqref="BA7">
    <cfRule type="expression" dxfId="60" priority="71">
      <formula>BA$6=""</formula>
    </cfRule>
    <cfRule type="expression" dxfId="59" priority="72">
      <formula>$B7&lt;&gt;""</formula>
    </cfRule>
    <cfRule type="expression" dxfId="58" priority="73">
      <formula>BA$6&lt;&gt;""</formula>
    </cfRule>
  </conditionalFormatting>
  <conditionalFormatting sqref="BA49:BA50 BB50:BK50">
    <cfRule type="expression" dxfId="57" priority="82">
      <formula>BA$6&lt;&gt;""</formula>
    </cfRule>
  </conditionalFormatting>
  <conditionalFormatting sqref="BA50:BK50">
    <cfRule type="expression" dxfId="56" priority="81">
      <formula>$B50&lt;&gt;""</formula>
    </cfRule>
    <cfRule type="expression" dxfId="55" priority="80">
      <formula>BA$6=""</formula>
    </cfRule>
  </conditionalFormatting>
  <conditionalFormatting sqref="BB49:BJ49 AZ49:AZ50">
    <cfRule type="expression" dxfId="54" priority="1424">
      <formula>CL$6&lt;&gt;""</formula>
    </cfRule>
  </conditionalFormatting>
  <conditionalFormatting sqref="BB6:BK6">
    <cfRule type="expression" dxfId="53" priority="86">
      <formula>BB6&lt;&gt;""</formula>
    </cfRule>
  </conditionalFormatting>
  <conditionalFormatting sqref="BB42:BK42 AZ6:BK6 AZ9:AZ10 AZ13:AZ14 AZ17:AZ18 AZ20:AZ27 AZ30:AZ31 AZ33:AZ34 AZ36 AZ41:AZ42 AZ44:AZ45">
    <cfRule type="expression" dxfId="52" priority="1412">
      <formula>BY$6=""</formula>
    </cfRule>
  </conditionalFormatting>
  <conditionalFormatting sqref="BB42:BK42">
    <cfRule type="expression" dxfId="51" priority="91">
      <formula>$B29&lt;&gt;""</formula>
    </cfRule>
    <cfRule type="expression" dxfId="50" priority="87">
      <formula>$B29=""</formula>
    </cfRule>
  </conditionalFormatting>
  <conditionalFormatting sqref="BK49">
    <cfRule type="expression" dxfId="49" priority="83">
      <formula>BK$6&lt;&gt;""</formula>
    </cfRule>
  </conditionalFormatting>
  <conditionalFormatting sqref="BN33:BW37">
    <cfRule type="colorScale" priority="78">
      <colorScale>
        <cfvo type="min"/>
        <cfvo type="percentile" val="50"/>
        <cfvo type="max"/>
        <color rgb="FFF8696B"/>
        <color rgb="FFFFEB84"/>
        <color rgb="FF63BE7B"/>
      </colorScale>
    </cfRule>
  </conditionalFormatting>
  <conditionalFormatting sqref="BN41:BW45">
    <cfRule type="colorScale" priority="75">
      <colorScale>
        <cfvo type="min"/>
        <cfvo type="percentile" val="50"/>
        <cfvo type="max"/>
        <color rgb="FFF8696B"/>
        <color rgb="FFFFEB84"/>
        <color rgb="FF63BE7B"/>
      </colorScale>
    </cfRule>
  </conditionalFormatting>
  <conditionalFormatting sqref="BN49:BW53">
    <cfRule type="colorScale" priority="74">
      <colorScale>
        <cfvo type="min"/>
        <cfvo type="percentile" val="50"/>
        <cfvo type="max"/>
        <color rgb="FFF8696B"/>
        <color rgb="FFFFEB84"/>
        <color rgb="FF63BE7B"/>
      </colorScale>
    </cfRule>
  </conditionalFormatting>
  <conditionalFormatting sqref="BN57:BW61">
    <cfRule type="colorScale" priority="77">
      <colorScale>
        <cfvo type="min"/>
        <cfvo type="percentile" val="50"/>
        <cfvo type="max"/>
        <color rgb="FFF8696B"/>
        <color rgb="FFFFEB84"/>
        <color rgb="FF63BE7B"/>
      </colorScale>
    </cfRule>
  </conditionalFormatting>
  <conditionalFormatting sqref="BN65:BW69">
    <cfRule type="colorScale" priority="76">
      <colorScale>
        <cfvo type="min"/>
        <cfvo type="percentile" val="50"/>
        <cfvo type="max"/>
        <color rgb="FFF8696B"/>
        <color rgb="FFFFEB84"/>
        <color rgb="FF63BE7B"/>
      </colorScale>
    </cfRule>
  </conditionalFormatting>
  <conditionalFormatting sqref="BY6 CA6:CJ6">
    <cfRule type="expression" dxfId="48" priority="64">
      <formula>BY6&lt;&gt;""</formula>
    </cfRule>
  </conditionalFormatting>
  <conditionalFormatting sqref="BY9:BY10 BY13:BY14 BY17:BY18 BY20:BY27 BY30:BY31 BY33:BY34 BY36 BY41:BY42 CA42:CJ42 BY44:BY45 BY50:CJ50">
    <cfRule type="expression" dxfId="47" priority="66">
      <formula>$B9&lt;&gt;""</formula>
    </cfRule>
  </conditionalFormatting>
  <conditionalFormatting sqref="BY49:BY50">
    <cfRule type="expression" dxfId="46" priority="57">
      <formula>BY$6&lt;&gt;""</formula>
    </cfRule>
  </conditionalFormatting>
  <conditionalFormatting sqref="BY5:CJ6">
    <cfRule type="expression" dxfId="45" priority="62">
      <formula>BY$6&lt;&gt;""</formula>
    </cfRule>
  </conditionalFormatting>
  <conditionalFormatting sqref="BY6:CJ6">
    <cfRule type="expression" dxfId="44" priority="61">
      <formula>$B6&lt;&gt;""</formula>
    </cfRule>
    <cfRule type="expression" dxfId="43" priority="60">
      <formula>BY$6=""</formula>
    </cfRule>
  </conditionalFormatting>
  <conditionalFormatting sqref="BY50:CJ50 BY9:BY10 BY13:BY14 BY17:BY18 BY20:BY27 BY30:BY31 BY33:BY34 BY36 BY41:BY42 CA42:CJ42 BY44:BY45">
    <cfRule type="expression" dxfId="42" priority="65">
      <formula>BY$6=""</formula>
    </cfRule>
  </conditionalFormatting>
  <conditionalFormatting sqref="BY50:CJ50">
    <cfRule type="expression" dxfId="41" priority="56">
      <formula>BY50&lt;&gt;""</formula>
    </cfRule>
  </conditionalFormatting>
  <conditionalFormatting sqref="BZ6:BZ7">
    <cfRule type="expression" dxfId="40" priority="47">
      <formula>BZ6&lt;&gt;""</formula>
    </cfRule>
  </conditionalFormatting>
  <conditionalFormatting sqref="BZ7">
    <cfRule type="expression" dxfId="39" priority="50">
      <formula>BZ$6&lt;&gt;""</formula>
    </cfRule>
    <cfRule type="expression" dxfId="38" priority="49">
      <formula>$B7&lt;&gt;""</formula>
    </cfRule>
    <cfRule type="expression" dxfId="37" priority="48">
      <formula>BZ$6=""</formula>
    </cfRule>
  </conditionalFormatting>
  <conditionalFormatting sqref="BZ49:BZ50 CA50:CJ50">
    <cfRule type="expression" dxfId="36" priority="69">
      <formula>BZ$6&lt;&gt;""</formula>
    </cfRule>
  </conditionalFormatting>
  <conditionalFormatting sqref="CA42:CJ42">
    <cfRule type="expression" dxfId="35" priority="63">
      <formula>$B42=""</formula>
    </cfRule>
  </conditionalFormatting>
  <conditionalFormatting sqref="CA49:CJ50">
    <cfRule type="expression" dxfId="34" priority="58">
      <formula>CA$6&lt;&gt;""</formula>
    </cfRule>
  </conditionalFormatting>
  <conditionalFormatting sqref="CM33:CV37">
    <cfRule type="colorScale" priority="55">
      <colorScale>
        <cfvo type="min"/>
        <cfvo type="percentile" val="50"/>
        <cfvo type="max"/>
        <color rgb="FFF8696B"/>
        <color rgb="FFFFEB84"/>
        <color rgb="FF63BE7B"/>
      </colorScale>
    </cfRule>
  </conditionalFormatting>
  <conditionalFormatting sqref="CM41:CV45">
    <cfRule type="colorScale" priority="52">
      <colorScale>
        <cfvo type="min"/>
        <cfvo type="percentile" val="50"/>
        <cfvo type="max"/>
        <color rgb="FFF8696B"/>
        <color rgb="FFFFEB84"/>
        <color rgb="FF63BE7B"/>
      </colorScale>
    </cfRule>
  </conditionalFormatting>
  <conditionalFormatting sqref="CM49:CV53">
    <cfRule type="colorScale" priority="51">
      <colorScale>
        <cfvo type="min"/>
        <cfvo type="percentile" val="50"/>
        <cfvo type="max"/>
        <color rgb="FFF8696B"/>
        <color rgb="FFFFEB84"/>
        <color rgb="FF63BE7B"/>
      </colorScale>
    </cfRule>
  </conditionalFormatting>
  <conditionalFormatting sqref="CM57:CV61">
    <cfRule type="colorScale" priority="54">
      <colorScale>
        <cfvo type="min"/>
        <cfvo type="percentile" val="50"/>
        <cfvo type="max"/>
        <color rgb="FFF8696B"/>
        <color rgb="FFFFEB84"/>
        <color rgb="FF63BE7B"/>
      </colorScale>
    </cfRule>
  </conditionalFormatting>
  <conditionalFormatting sqref="CM65:CV69">
    <cfRule type="colorScale" priority="53">
      <colorScale>
        <cfvo type="min"/>
        <cfvo type="percentile" val="50"/>
        <cfvo type="max"/>
        <color rgb="FFF8696B"/>
        <color rgb="FFFFEB84"/>
        <color rgb="FF63BE7B"/>
      </colorScale>
    </cfRule>
  </conditionalFormatting>
  <conditionalFormatting sqref="CY6:CY7">
    <cfRule type="expression" dxfId="33" priority="22">
      <formula>CY6&lt;&gt;""</formula>
    </cfRule>
  </conditionalFormatting>
  <conditionalFormatting sqref="CY7">
    <cfRule type="expression" dxfId="32" priority="23">
      <formula>CY$6=""</formula>
    </cfRule>
    <cfRule type="expression" dxfId="31" priority="24">
      <formula>$B7&lt;&gt;""</formula>
    </cfRule>
    <cfRule type="expression" dxfId="30" priority="25">
      <formula>CY$6&lt;&gt;""</formula>
    </cfRule>
  </conditionalFormatting>
  <conditionalFormatting sqref="CY49:CY50 CZ50:DI50">
    <cfRule type="expression" dxfId="29" priority="34">
      <formula>CY$6&lt;&gt;""</formula>
    </cfRule>
  </conditionalFormatting>
  <conditionalFormatting sqref="CY5:DI6">
    <cfRule type="expression" dxfId="28" priority="44">
      <formula>FV$6&lt;&gt;""</formula>
    </cfRule>
  </conditionalFormatting>
  <conditionalFormatting sqref="CY6:DI6">
    <cfRule type="expression" dxfId="27" priority="40">
      <formula>$B6&lt;&gt;""</formula>
    </cfRule>
  </conditionalFormatting>
  <conditionalFormatting sqref="CY50:DI50">
    <cfRule type="expression" dxfId="26" priority="33">
      <formula>$B50&lt;&gt;""</formula>
    </cfRule>
    <cfRule type="expression" dxfId="25" priority="32">
      <formula>CY$6=""</formula>
    </cfRule>
    <cfRule type="expression" dxfId="24" priority="31">
      <formula>CY50&lt;&gt;""</formula>
    </cfRule>
  </conditionalFormatting>
  <conditionalFormatting sqref="CZ49:DH49">
    <cfRule type="expression" dxfId="23" priority="45">
      <formula>GJ$6&lt;&gt;""</formula>
    </cfRule>
  </conditionalFormatting>
  <conditionalFormatting sqref="CZ6:DI6">
    <cfRule type="expression" dxfId="22" priority="38">
      <formula>CZ6&lt;&gt;""</formula>
    </cfRule>
  </conditionalFormatting>
  <conditionalFormatting sqref="CZ42:DI42 CY6:DI6">
    <cfRule type="expression" dxfId="21" priority="43">
      <formula>FV$6=""</formula>
    </cfRule>
  </conditionalFormatting>
  <conditionalFormatting sqref="CZ42:DI42">
    <cfRule type="expression" dxfId="20" priority="41">
      <formula>$B29&lt;&gt;""</formula>
    </cfRule>
    <cfRule type="expression" dxfId="19" priority="39">
      <formula>$B29=""</formula>
    </cfRule>
  </conditionalFormatting>
  <conditionalFormatting sqref="DI49">
    <cfRule type="expression" dxfId="18" priority="35">
      <formula>DI$6&lt;&gt;""</formula>
    </cfRule>
  </conditionalFormatting>
  <conditionalFormatting sqref="DL33:DU37">
    <cfRule type="colorScale" priority="30">
      <colorScale>
        <cfvo type="min"/>
        <cfvo type="percentile" val="50"/>
        <cfvo type="max"/>
        <color rgb="FFF8696B"/>
        <color rgb="FFFFEB84"/>
        <color rgb="FF63BE7B"/>
      </colorScale>
    </cfRule>
  </conditionalFormatting>
  <conditionalFormatting sqref="DL41:DU45">
    <cfRule type="colorScale" priority="27">
      <colorScale>
        <cfvo type="min"/>
        <cfvo type="percentile" val="50"/>
        <cfvo type="max"/>
        <color rgb="FFF8696B"/>
        <color rgb="FFFFEB84"/>
        <color rgb="FF63BE7B"/>
      </colorScale>
    </cfRule>
  </conditionalFormatting>
  <conditionalFormatting sqref="DL49:DU53">
    <cfRule type="colorScale" priority="26">
      <colorScale>
        <cfvo type="min"/>
        <cfvo type="percentile" val="50"/>
        <cfvo type="max"/>
        <color rgb="FFF8696B"/>
        <color rgb="FFFFEB84"/>
        <color rgb="FF63BE7B"/>
      </colorScale>
    </cfRule>
  </conditionalFormatting>
  <conditionalFormatting sqref="DL57:DU61">
    <cfRule type="colorScale" priority="29">
      <colorScale>
        <cfvo type="min"/>
        <cfvo type="percentile" val="50"/>
        <cfvo type="max"/>
        <color rgb="FFF8696B"/>
        <color rgb="FFFFEB84"/>
        <color rgb="FF63BE7B"/>
      </colorScale>
    </cfRule>
  </conditionalFormatting>
  <conditionalFormatting sqref="DL65:DU69">
    <cfRule type="colorScale" priority="28">
      <colorScale>
        <cfvo type="min"/>
        <cfvo type="percentile" val="50"/>
        <cfvo type="max"/>
        <color rgb="FFF8696B"/>
        <color rgb="FFFFEB84"/>
        <color rgb="FF63BE7B"/>
      </colorScale>
    </cfRule>
  </conditionalFormatting>
  <conditionalFormatting sqref="DX6:DX7">
    <cfRule type="expression" dxfId="17" priority="1">
      <formula>DX6&lt;&gt;""</formula>
    </cfRule>
  </conditionalFormatting>
  <conditionalFormatting sqref="DX7">
    <cfRule type="expression" dxfId="16" priority="4">
      <formula>DX$6&lt;&gt;""</formula>
    </cfRule>
    <cfRule type="expression" dxfId="15" priority="3">
      <formula>$B7&lt;&gt;""</formula>
    </cfRule>
    <cfRule type="expression" dxfId="14" priority="2">
      <formula>DX$6=""</formula>
    </cfRule>
  </conditionalFormatting>
  <conditionalFormatting sqref="DX5:EH6">
    <cfRule type="expression" dxfId="13" priority="21">
      <formula>GU$6&lt;&gt;""</formula>
    </cfRule>
  </conditionalFormatting>
  <conditionalFormatting sqref="DX6:EH6">
    <cfRule type="expression" dxfId="12" priority="16">
      <formula>$B6&lt;&gt;""</formula>
    </cfRule>
  </conditionalFormatting>
  <conditionalFormatting sqref="DX50:EH50">
    <cfRule type="expression" dxfId="11" priority="11">
      <formula>DX$6=""</formula>
    </cfRule>
    <cfRule type="expression" dxfId="10" priority="10">
      <formula>DX50&lt;&gt;""</formula>
    </cfRule>
  </conditionalFormatting>
  <conditionalFormatting sqref="DY6:EH6">
    <cfRule type="expression" dxfId="9" priority="18">
      <formula>DY6&lt;&gt;""</formula>
    </cfRule>
  </conditionalFormatting>
  <conditionalFormatting sqref="DY42:EH42 DX6:EH6">
    <cfRule type="expression" dxfId="8" priority="20">
      <formula>GU$6=""</formula>
    </cfRule>
  </conditionalFormatting>
  <conditionalFormatting sqref="DY42:EH42">
    <cfRule type="expression" dxfId="7" priority="17">
      <formula>$B29&lt;&gt;""</formula>
    </cfRule>
    <cfRule type="expression" dxfId="6" priority="19">
      <formula>$B29=""</formula>
    </cfRule>
  </conditionalFormatting>
  <conditionalFormatting sqref="EK33:ET37">
    <cfRule type="colorScale" priority="9">
      <colorScale>
        <cfvo type="min"/>
        <cfvo type="percentile" val="50"/>
        <cfvo type="max"/>
        <color rgb="FFF8696B"/>
        <color rgb="FFFFEB84"/>
        <color rgb="FF63BE7B"/>
      </colorScale>
    </cfRule>
  </conditionalFormatting>
  <conditionalFormatting sqref="EK41:ET45">
    <cfRule type="colorScale" priority="6">
      <colorScale>
        <cfvo type="min"/>
        <cfvo type="percentile" val="50"/>
        <cfvo type="max"/>
        <color rgb="FFF8696B"/>
        <color rgb="FFFFEB84"/>
        <color rgb="FF63BE7B"/>
      </colorScale>
    </cfRule>
  </conditionalFormatting>
  <conditionalFormatting sqref="EK49:ET53">
    <cfRule type="colorScale" priority="5">
      <colorScale>
        <cfvo type="min"/>
        <cfvo type="percentile" val="50"/>
        <cfvo type="max"/>
        <color rgb="FFF8696B"/>
        <color rgb="FFFFEB84"/>
        <color rgb="FF63BE7B"/>
      </colorScale>
    </cfRule>
  </conditionalFormatting>
  <conditionalFormatting sqref="EK57:ET61">
    <cfRule type="colorScale" priority="8">
      <colorScale>
        <cfvo type="min"/>
        <cfvo type="percentile" val="50"/>
        <cfvo type="max"/>
        <color rgb="FFF8696B"/>
        <color rgb="FFFFEB84"/>
        <color rgb="FF63BE7B"/>
      </colorScale>
    </cfRule>
  </conditionalFormatting>
  <conditionalFormatting sqref="EK65:ET69">
    <cfRule type="colorScale" priority="7">
      <colorScale>
        <cfvo type="min"/>
        <cfvo type="percentile" val="50"/>
        <cfvo type="max"/>
        <color rgb="FFF8696B"/>
        <color rgb="FFFFEB84"/>
        <color rgb="FF63BE7B"/>
      </colorScale>
    </cfRule>
  </conditionalFormatting>
  <pageMargins left="0.7" right="0.7" top="0.75" bottom="0.75" header="0.3" footer="0.3"/>
  <pageSetup paperSize="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E555-797D-4FC4-B8CB-D18AE3DD4732}">
  <sheetPr codeName="Sheet4">
    <tabColor theme="5" tint="0.39997558519241921"/>
    <pageSetUpPr fitToPage="1"/>
  </sheetPr>
  <dimension ref="A1:AC144"/>
  <sheetViews>
    <sheetView showGridLines="0" zoomScale="60" zoomScaleNormal="60" workbookViewId="0">
      <selection activeCell="G33" sqref="G33"/>
    </sheetView>
  </sheetViews>
  <sheetFormatPr defaultColWidth="0" defaultRowHeight="0" customHeight="1" zeroHeight="1" outlineLevelRow="1" x14ac:dyDescent="0.35"/>
  <cols>
    <col min="1" max="1" width="1.26953125" style="4" customWidth="1"/>
    <col min="2" max="2" width="29.7265625" style="4" customWidth="1"/>
    <col min="3" max="3" width="15.453125" style="4" customWidth="1"/>
    <col min="4" max="4" width="16.1796875" style="4" bestFit="1" customWidth="1"/>
    <col min="5" max="5" width="21.81640625" style="4" bestFit="1" customWidth="1"/>
    <col min="6" max="6" width="12.453125" style="5" bestFit="1" customWidth="1"/>
    <col min="7" max="7" width="12.26953125" style="5" bestFit="1" customWidth="1"/>
    <col min="8" max="8" width="12.81640625" style="5" customWidth="1"/>
    <col min="9" max="11" width="11.81640625" style="5" bestFit="1" customWidth="1"/>
    <col min="12" max="12" width="12.81640625" style="5" customWidth="1"/>
    <col min="13" max="15" width="11.54296875" style="5" customWidth="1"/>
    <col min="16" max="16" width="12.54296875" style="5" bestFit="1" customWidth="1"/>
    <col min="17" max="24" width="9.1796875" style="4" customWidth="1"/>
    <col min="25" max="29" width="0" style="4" hidden="1" customWidth="1"/>
    <col min="30" max="16384" width="9.1796875" style="4" hidden="1"/>
  </cols>
  <sheetData>
    <row r="1" spans="2:16" ht="6.75" customHeight="1" x14ac:dyDescent="0.35"/>
    <row r="2" spans="2:16" ht="18.5" x14ac:dyDescent="0.45">
      <c r="B2" s="87" t="s">
        <v>178</v>
      </c>
      <c r="C2" s="88"/>
      <c r="D2" s="88"/>
      <c r="E2" s="88"/>
      <c r="F2" s="89"/>
      <c r="G2" s="89"/>
      <c r="H2" s="89"/>
      <c r="I2" s="89"/>
      <c r="J2" s="89"/>
      <c r="K2" s="89"/>
      <c r="L2" s="89"/>
      <c r="M2" s="89"/>
      <c r="N2" s="89"/>
      <c r="O2" s="89"/>
      <c r="P2" s="89"/>
    </row>
    <row r="3" spans="2:16" ht="5.15" customHeight="1" x14ac:dyDescent="0.35">
      <c r="B3" s="6"/>
      <c r="C3" s="7"/>
      <c r="D3" s="7"/>
      <c r="E3" s="7"/>
      <c r="F3" s="8"/>
      <c r="G3" s="8"/>
      <c r="H3" s="8"/>
      <c r="I3" s="8"/>
      <c r="J3" s="8"/>
      <c r="K3" s="8"/>
      <c r="L3" s="8"/>
      <c r="M3" s="8"/>
      <c r="N3" s="8"/>
      <c r="O3" s="8"/>
      <c r="P3" s="8"/>
    </row>
    <row r="4" spans="2:16" ht="15.5" x14ac:dyDescent="0.35">
      <c r="B4" s="6" t="s">
        <v>179</v>
      </c>
      <c r="C4" s="7"/>
      <c r="D4" s="101" t="s">
        <v>77</v>
      </c>
      <c r="E4" s="7"/>
      <c r="F4" s="9"/>
      <c r="G4" s="9"/>
      <c r="H4" s="9"/>
      <c r="I4" s="9"/>
      <c r="J4" s="8"/>
      <c r="K4" s="8"/>
      <c r="L4" s="8"/>
      <c r="M4" s="8"/>
      <c r="N4" s="8"/>
      <c r="O4" s="8"/>
      <c r="P4" s="8"/>
    </row>
    <row r="5" spans="2:16" ht="15.5" x14ac:dyDescent="0.35">
      <c r="B5" s="6" t="s">
        <v>180</v>
      </c>
      <c r="C5" s="7"/>
      <c r="D5" s="10" t="str">
        <f>IF(H14&lt;Equity_Share_GP,"LP 1st","Pari Passu")</f>
        <v>Pari Passu</v>
      </c>
      <c r="E5" s="11" t="s">
        <v>181</v>
      </c>
      <c r="F5" s="9"/>
      <c r="G5" s="9"/>
      <c r="H5" s="9"/>
      <c r="I5" s="9"/>
      <c r="J5" s="8"/>
      <c r="K5" s="8"/>
      <c r="L5" s="8"/>
      <c r="M5" s="8"/>
      <c r="N5" s="8"/>
      <c r="O5" s="8"/>
      <c r="P5" s="8"/>
    </row>
    <row r="6" spans="2:16" ht="5.15" customHeight="1" x14ac:dyDescent="0.35">
      <c r="B6" s="12"/>
      <c r="C6" s="12"/>
      <c r="D6" s="13"/>
      <c r="E6"/>
      <c r="F6" s="14"/>
      <c r="G6" s="14"/>
      <c r="H6" s="14"/>
      <c r="I6" s="14"/>
      <c r="J6" s="15"/>
      <c r="K6" s="15"/>
      <c r="L6" s="15"/>
      <c r="M6" s="8"/>
      <c r="N6" s="15"/>
      <c r="O6" s="15"/>
      <c r="P6" s="15"/>
    </row>
    <row r="7" spans="2:16" ht="15.5" x14ac:dyDescent="0.35">
      <c r="B7" s="90" t="s">
        <v>182</v>
      </c>
      <c r="C7" s="91" t="s">
        <v>183</v>
      </c>
      <c r="D7" s="91" t="s">
        <v>66</v>
      </c>
      <c r="E7"/>
      <c r="F7" s="16"/>
      <c r="G7" s="14"/>
      <c r="H7" s="14"/>
      <c r="I7" s="14"/>
      <c r="J7" s="15"/>
      <c r="K7" s="15"/>
      <c r="L7" s="15"/>
      <c r="M7" s="8"/>
      <c r="N7" s="15"/>
      <c r="O7" s="15"/>
      <c r="P7" s="15"/>
    </row>
    <row r="8" spans="2:16" ht="14.5" x14ac:dyDescent="0.35">
      <c r="B8" s="12" t="s">
        <v>184</v>
      </c>
      <c r="C8" s="17">
        <v>0.05</v>
      </c>
      <c r="D8" s="18">
        <f>Equity_Share_GP*Total_Equity</f>
        <v>1815632.656775</v>
      </c>
      <c r="E8" s="12"/>
      <c r="F8" s="19"/>
      <c r="G8" s="20"/>
      <c r="H8" s="15"/>
      <c r="I8" s="15"/>
      <c r="J8" s="15"/>
      <c r="K8" s="110"/>
      <c r="L8" s="111"/>
      <c r="M8" s="15"/>
      <c r="N8" s="15"/>
      <c r="O8" s="15"/>
      <c r="P8" s="15"/>
    </row>
    <row r="9" spans="2:16" ht="14.5" x14ac:dyDescent="0.35">
      <c r="B9" s="12" t="s">
        <v>185</v>
      </c>
      <c r="C9" s="21">
        <f>1-C8</f>
        <v>0.95</v>
      </c>
      <c r="D9" s="22">
        <f>Total_Equity*Equity_Share_LP</f>
        <v>34497020.478724994</v>
      </c>
      <c r="E9" s="12"/>
      <c r="F9" s="19"/>
      <c r="G9" s="20"/>
      <c r="H9" s="15"/>
      <c r="I9" s="15"/>
      <c r="J9" s="15"/>
      <c r="K9" s="110"/>
      <c r="L9" s="112"/>
      <c r="M9" s="15"/>
      <c r="N9" s="15"/>
      <c r="O9" s="15"/>
      <c r="P9" s="15"/>
    </row>
    <row r="10" spans="2:16" ht="14.5" x14ac:dyDescent="0.35">
      <c r="B10" s="12" t="s">
        <v>186</v>
      </c>
      <c r="C10" s="23"/>
      <c r="D10" s="18">
        <f>-SUMIF(F49:P49,"&lt;0")</f>
        <v>36312653.135499999</v>
      </c>
      <c r="E10" s="12"/>
      <c r="F10" s="19"/>
      <c r="G10" s="20"/>
      <c r="H10" s="15"/>
      <c r="I10" s="15"/>
      <c r="J10" s="15"/>
      <c r="K10" s="110"/>
      <c r="L10" s="112"/>
      <c r="M10" s="15"/>
      <c r="N10" s="15"/>
      <c r="O10" s="15"/>
      <c r="P10" s="15"/>
    </row>
    <row r="11" spans="2:16" ht="5.15" customHeight="1" x14ac:dyDescent="0.35">
      <c r="B11" s="12"/>
      <c r="C11" s="23"/>
      <c r="D11" s="24"/>
      <c r="E11" s="12"/>
      <c r="F11" s="19"/>
      <c r="G11" s="20"/>
      <c r="H11" s="15"/>
      <c r="I11" s="15"/>
      <c r="J11" s="15"/>
      <c r="K11" s="15"/>
      <c r="L11" s="15"/>
      <c r="M11" s="15"/>
      <c r="N11" s="15"/>
      <c r="O11" s="15"/>
      <c r="P11" s="15"/>
    </row>
    <row r="12" spans="2:16" ht="14.5" x14ac:dyDescent="0.35">
      <c r="B12" s="92" t="s">
        <v>187</v>
      </c>
      <c r="C12" s="93" t="str">
        <f>IF(D4="IRR","IRR",IF(D4="Equity Multiple","Equity Multiple",IF(D4&lt;&gt;"IRR + EMx","",IF(D68&gt;#REF!,"IRR","Equity Multiple"))))</f>
        <v>IRR</v>
      </c>
      <c r="D12" s="94"/>
      <c r="E12" s="95"/>
      <c r="F12" s="519" t="s">
        <v>188</v>
      </c>
      <c r="G12" s="519"/>
      <c r="H12" s="520" t="s">
        <v>189</v>
      </c>
      <c r="I12" s="520"/>
      <c r="J12" s="96"/>
      <c r="K12" s="96"/>
      <c r="L12" s="96"/>
      <c r="M12" s="96"/>
      <c r="N12" s="96"/>
      <c r="O12" s="96"/>
      <c r="P12" s="96"/>
    </row>
    <row r="13" spans="2:16" ht="15.5" x14ac:dyDescent="0.35">
      <c r="B13" s="90" t="str">
        <f>IF(D4="Equity Multiple","Partnership Distribution Assumptions (Equity Multiple Hurdles)",IF(D4="IRR","Partnership Distribution Assumptions (IRR Hurdles)","Partnership Distribution Assumptions (Max of IRR or Emx Hurdles)"))</f>
        <v>Partnership Distribution Assumptions (IRR Hurdles)</v>
      </c>
      <c r="C13" s="95"/>
      <c r="D13" s="94"/>
      <c r="E13" s="95"/>
      <c r="F13" s="519"/>
      <c r="G13" s="519"/>
      <c r="H13" s="91" t="s">
        <v>190</v>
      </c>
      <c r="I13" s="97" t="s">
        <v>191</v>
      </c>
      <c r="J13" s="97"/>
      <c r="K13" s="96"/>
      <c r="L13" s="96"/>
      <c r="M13" s="96"/>
      <c r="N13" s="96"/>
      <c r="O13" s="96"/>
      <c r="P13" s="96"/>
    </row>
    <row r="14" spans="2:16" ht="14.5" x14ac:dyDescent="0.35">
      <c r="B14" s="12" t="s">
        <v>192</v>
      </c>
      <c r="C14" s="25" t="s">
        <v>79</v>
      </c>
      <c r="D14" s="26" t="s">
        <v>77</v>
      </c>
      <c r="E14" s="27">
        <f>IF($D$4="Equity Multiple",C15,D15)</f>
        <v>0</v>
      </c>
      <c r="F14" s="28" t="s">
        <v>193</v>
      </c>
      <c r="G14" s="29"/>
      <c r="H14" s="30">
        <f>Equity_Share_GP</f>
        <v>0.05</v>
      </c>
      <c r="I14" s="23">
        <f>1-H14</f>
        <v>0.95</v>
      </c>
      <c r="J14" s="518"/>
      <c r="K14" s="518"/>
      <c r="L14" s="518"/>
      <c r="M14" s="518"/>
      <c r="N14" s="518"/>
      <c r="O14" s="15"/>
      <c r="P14" s="15"/>
    </row>
    <row r="15" spans="2:16" ht="14.5" x14ac:dyDescent="0.35">
      <c r="B15" s="12" t="s">
        <v>194</v>
      </c>
      <c r="C15" s="31">
        <v>2</v>
      </c>
      <c r="D15" s="32">
        <v>0</v>
      </c>
      <c r="E15" s="33">
        <f>IF($D$4="Equity Multiple",C16,D16)</f>
        <v>0</v>
      </c>
      <c r="F15" s="30">
        <v>0</v>
      </c>
      <c r="G15" s="23"/>
      <c r="H15" s="34">
        <f>H14+F15</f>
        <v>0.05</v>
      </c>
      <c r="I15" s="23">
        <f>1-H15</f>
        <v>0.95</v>
      </c>
      <c r="J15" s="518"/>
      <c r="K15" s="518"/>
      <c r="L15" s="518"/>
      <c r="M15" s="518"/>
      <c r="N15" s="518"/>
      <c r="O15" s="15"/>
      <c r="P15" s="15"/>
    </row>
    <row r="16" spans="2:16" ht="14.5" x14ac:dyDescent="0.35">
      <c r="B16" s="12" t="s">
        <v>195</v>
      </c>
      <c r="C16" s="31">
        <v>2.5</v>
      </c>
      <c r="D16" s="32">
        <v>0</v>
      </c>
      <c r="E16" s="33">
        <f>IF($D$4="Equity Multiple",C17,D17)</f>
        <v>0</v>
      </c>
      <c r="F16" s="30">
        <v>0</v>
      </c>
      <c r="G16" s="23"/>
      <c r="H16" s="34">
        <f>F16+H14</f>
        <v>0.05</v>
      </c>
      <c r="I16" s="23">
        <f>1-H16</f>
        <v>0.95</v>
      </c>
      <c r="J16" s="518"/>
      <c r="K16" s="518"/>
      <c r="L16" s="518"/>
      <c r="M16" s="518"/>
      <c r="N16" s="518"/>
      <c r="O16" s="15"/>
      <c r="P16" s="15"/>
    </row>
    <row r="17" spans="2:16" ht="14.5" x14ac:dyDescent="0.35">
      <c r="B17" s="12" t="s">
        <v>196</v>
      </c>
      <c r="C17" s="31">
        <v>3</v>
      </c>
      <c r="D17" s="32">
        <v>0</v>
      </c>
      <c r="E17" s="33"/>
      <c r="F17" s="30">
        <v>0</v>
      </c>
      <c r="G17" s="23"/>
      <c r="H17" s="34">
        <f>H14+F17</f>
        <v>0.05</v>
      </c>
      <c r="I17" s="23">
        <f>1-H17</f>
        <v>0.95</v>
      </c>
      <c r="J17" s="518"/>
      <c r="K17" s="518"/>
      <c r="L17" s="518"/>
      <c r="M17" s="518"/>
      <c r="N17" s="518"/>
      <c r="O17" s="15"/>
      <c r="P17" s="15"/>
    </row>
    <row r="18" spans="2:16" ht="5.15" customHeight="1" x14ac:dyDescent="0.35">
      <c r="B18" s="12"/>
      <c r="C18" s="12"/>
      <c r="D18" s="35"/>
      <c r="E18" s="33"/>
      <c r="F18" s="20"/>
      <c r="G18" s="36"/>
      <c r="H18" s="37"/>
      <c r="I18" s="37"/>
      <c r="J18" s="15"/>
      <c r="K18" s="15"/>
      <c r="L18" s="15"/>
      <c r="M18" s="15"/>
      <c r="N18" s="15"/>
      <c r="O18" s="15"/>
      <c r="P18" s="15"/>
    </row>
    <row r="19" spans="2:16" ht="15.5" x14ac:dyDescent="0.35">
      <c r="B19" s="90" t="s">
        <v>197</v>
      </c>
      <c r="C19" s="95"/>
      <c r="D19" s="98"/>
      <c r="E19" s="99"/>
      <c r="F19" s="100">
        <v>0</v>
      </c>
      <c r="G19" s="100">
        <f t="shared" ref="G19:P19" si="0">IF(G45="","",F19+1)</f>
        <v>1</v>
      </c>
      <c r="H19" s="100">
        <f t="shared" si="0"/>
        <v>2</v>
      </c>
      <c r="I19" s="100">
        <f t="shared" si="0"/>
        <v>3</v>
      </c>
      <c r="J19" s="100">
        <f t="shared" si="0"/>
        <v>4</v>
      </c>
      <c r="K19" s="100">
        <f t="shared" si="0"/>
        <v>5</v>
      </c>
      <c r="L19" s="100">
        <f t="shared" si="0"/>
        <v>6</v>
      </c>
      <c r="M19" s="100">
        <f t="shared" si="0"/>
        <v>7</v>
      </c>
      <c r="N19" s="100">
        <f t="shared" si="0"/>
        <v>8</v>
      </c>
      <c r="O19" s="100">
        <f t="shared" si="0"/>
        <v>9</v>
      </c>
      <c r="P19" s="100">
        <f t="shared" si="0"/>
        <v>10</v>
      </c>
    </row>
    <row r="20" spans="2:16" ht="14.5" x14ac:dyDescent="0.35">
      <c r="B20" s="38" t="s">
        <v>198</v>
      </c>
      <c r="C20" s="12"/>
      <c r="D20" s="35"/>
      <c r="E20" s="33"/>
      <c r="F20" s="39"/>
      <c r="G20" s="40"/>
      <c r="H20" s="41"/>
      <c r="I20" s="41"/>
      <c r="J20" s="42"/>
      <c r="K20" s="42"/>
      <c r="L20" s="42"/>
      <c r="M20" s="42"/>
      <c r="N20" s="42"/>
      <c r="O20" s="42"/>
      <c r="P20" s="42"/>
    </row>
    <row r="21" spans="2:16" ht="14.5" x14ac:dyDescent="0.35">
      <c r="B21" s="43"/>
      <c r="C21" s="44" t="s">
        <v>199</v>
      </c>
      <c r="D21" s="45"/>
      <c r="E21" s="33"/>
      <c r="F21" s="18"/>
      <c r="G21" s="18"/>
      <c r="H21" s="18"/>
      <c r="I21" s="18"/>
      <c r="J21" s="18"/>
      <c r="K21" s="18"/>
      <c r="L21" s="18"/>
      <c r="M21" s="18"/>
      <c r="N21" s="18"/>
      <c r="O21" s="18"/>
      <c r="P21" s="18"/>
    </row>
    <row r="22" spans="2:16" ht="14.5" x14ac:dyDescent="0.35">
      <c r="B22" s="43" t="s">
        <v>200</v>
      </c>
      <c r="C22" s="46" t="str">
        <f>IF(ROUND(D22,0)=ROUND(SUM(F22:P22),0),"OK","ERROR")</f>
        <v>OK</v>
      </c>
      <c r="D22" s="45">
        <f>(C12="IRR")*(SUM(F94:P94)-D23)</f>
        <v>-7.4505805969238281E-9</v>
      </c>
      <c r="E22" s="33"/>
      <c r="F22" s="18">
        <f>IF(F19="","",MIN($D22-SUM($E22:E22),F25-F23))</f>
        <v>-7.4505805969238281E-9</v>
      </c>
      <c r="G22" s="18">
        <f>IF(G19="","",MIN($D22-SUM($E22:F22),G25-G23))</f>
        <v>0</v>
      </c>
      <c r="H22" s="18">
        <f>IF(H19="","",MIN($D22-SUM($E22:G22),H25-H23))</f>
        <v>0</v>
      </c>
      <c r="I22" s="18">
        <f>IF(I19="","",MIN($D22-SUM($E22:H22),I25-I23))</f>
        <v>0</v>
      </c>
      <c r="J22" s="18">
        <f>IF(J19="","",MIN($D22-SUM($E22:I22),J25-J23))</f>
        <v>0</v>
      </c>
      <c r="K22" s="18">
        <f>IF(K19="","",MIN($D22-SUM($E22:J22),K25-K23))</f>
        <v>0</v>
      </c>
      <c r="L22" s="18">
        <f>IF(L19="","",MIN($D22-SUM($E22:K22),L25-L23))</f>
        <v>0</v>
      </c>
      <c r="M22" s="18">
        <f>IF(M19="","",MIN($D22-SUM($E22:L22),M25-M23))</f>
        <v>0</v>
      </c>
      <c r="N22" s="18">
        <f>IF(N19="","",MIN($D22-SUM($E22:M22),N25-N23))</f>
        <v>0</v>
      </c>
      <c r="O22" s="18">
        <f>IF(O19="","",MIN($D22-SUM($E22:N22),O25-O23))</f>
        <v>0</v>
      </c>
      <c r="P22" s="18">
        <f>IF(P19="","",MIN($D22-SUM($E22:O22),P25-P23))</f>
        <v>0</v>
      </c>
    </row>
    <row r="23" spans="2:16" ht="14.5" x14ac:dyDescent="0.35">
      <c r="B23" s="43" t="s">
        <v>180</v>
      </c>
      <c r="C23" s="46" t="str">
        <f>IF(ROUND(D23,0)=ROUND(SUM(F23:P23),0),"OK","ERROR")</f>
        <v>OK</v>
      </c>
      <c r="D23" s="45">
        <f>MIN(D26,D25)</f>
        <v>34497020.478724994</v>
      </c>
      <c r="E23" s="33"/>
      <c r="F23" s="18">
        <f>IF(F19="","",MIN($D23-SUM($E23:E23),F25))</f>
        <v>0</v>
      </c>
      <c r="G23" s="18">
        <f>IF(G19="","",MIN($D23-SUM($E23:F23),G25))</f>
        <v>2016718.203229299</v>
      </c>
      <c r="H23" s="18">
        <f>IF(H19="","",MIN($D23-SUM($E23:G23),H25))</f>
        <v>2328268.8032292994</v>
      </c>
      <c r="I23" s="18">
        <f>IF(I19="","",MIN($D23-SUM($E23:H23),I25))</f>
        <v>2624318.2532292991</v>
      </c>
      <c r="J23" s="18">
        <f>IF(J19="","",MIN($D23-SUM($E23:I23),J25))</f>
        <v>2466046.3532292992</v>
      </c>
      <c r="K23" s="18">
        <f>IF(K19="","",MIN($D23-SUM($E23:J23),K25))</f>
        <v>2881949.7032292993</v>
      </c>
      <c r="L23" s="18">
        <f>IF(L19="","",MIN($D23-SUM($E23:K23),L25))</f>
        <v>2913617.9532292993</v>
      </c>
      <c r="M23" s="18">
        <f>IF(M19="","",MIN($D23-SUM($E23:L23),M25))</f>
        <v>2629232.6032292992</v>
      </c>
      <c r="N23" s="18">
        <f>IF(N19="","",MIN($D23-SUM($E23:M23),N25))</f>
        <v>3183828.3532292992</v>
      </c>
      <c r="O23" s="18">
        <f>IF(O19="","",MIN($D23-SUM($E23:N23),O25))</f>
        <v>2797150.8032292994</v>
      </c>
      <c r="P23" s="18">
        <f>IF(P19="","",MIN($D23-SUM($E23:O23),P25))</f>
        <v>10655889.449661303</v>
      </c>
    </row>
    <row r="24" spans="2:16" ht="16" x14ac:dyDescent="0.5">
      <c r="B24" s="43" t="s">
        <v>201</v>
      </c>
      <c r="C24" s="46" t="str">
        <f>IF(ROUND(D24,0)=ROUND(SUM(F24:P24),0),"OK","ERROR")</f>
        <v>OK</v>
      </c>
      <c r="D24" s="47">
        <f>D25-D23-D22</f>
        <v>42713012.543753877</v>
      </c>
      <c r="E24" s="33"/>
      <c r="F24" s="48">
        <f t="shared" ref="F24:P24" si="1">IF(F19="","",F25-F23-F22)</f>
        <v>7.4505805969238281E-9</v>
      </c>
      <c r="G24" s="48">
        <f t="shared" si="1"/>
        <v>0</v>
      </c>
      <c r="H24" s="48">
        <f t="shared" si="1"/>
        <v>0</v>
      </c>
      <c r="I24" s="48">
        <f t="shared" si="1"/>
        <v>0</v>
      </c>
      <c r="J24" s="48">
        <f t="shared" si="1"/>
        <v>0</v>
      </c>
      <c r="K24" s="48">
        <f t="shared" si="1"/>
        <v>0</v>
      </c>
      <c r="L24" s="48">
        <f t="shared" si="1"/>
        <v>0</v>
      </c>
      <c r="M24" s="48">
        <f t="shared" si="1"/>
        <v>0</v>
      </c>
      <c r="N24" s="48">
        <f t="shared" si="1"/>
        <v>0</v>
      </c>
      <c r="O24" s="48">
        <f t="shared" si="1"/>
        <v>0</v>
      </c>
      <c r="P24" s="48">
        <f t="shared" si="1"/>
        <v>42713012.543753862</v>
      </c>
    </row>
    <row r="25" spans="2:16" ht="14.5" x14ac:dyDescent="0.35">
      <c r="B25" s="43" t="s">
        <v>202</v>
      </c>
      <c r="C25" s="49"/>
      <c r="D25" s="45">
        <f>SUM(F25:P25)</f>
        <v>77210033.022478864</v>
      </c>
      <c r="E25" s="33"/>
      <c r="F25" s="18">
        <f t="shared" ref="F25:P25" si="2">IF(F$19="","",($C$12="IRR")*F65)</f>
        <v>0</v>
      </c>
      <c r="G25" s="18">
        <f t="shared" si="2"/>
        <v>2016718.203229299</v>
      </c>
      <c r="H25" s="18">
        <f t="shared" si="2"/>
        <v>2328268.8032292994</v>
      </c>
      <c r="I25" s="18">
        <f t="shared" si="2"/>
        <v>2624318.2532292991</v>
      </c>
      <c r="J25" s="18">
        <f t="shared" si="2"/>
        <v>2466046.3532292992</v>
      </c>
      <c r="K25" s="18">
        <f t="shared" si="2"/>
        <v>2881949.7032292993</v>
      </c>
      <c r="L25" s="18">
        <f t="shared" si="2"/>
        <v>2913617.9532292993</v>
      </c>
      <c r="M25" s="18">
        <f t="shared" si="2"/>
        <v>2629232.6032292992</v>
      </c>
      <c r="N25" s="18">
        <f t="shared" si="2"/>
        <v>3183828.3532292992</v>
      </c>
      <c r="O25" s="18">
        <f t="shared" si="2"/>
        <v>2797150.8032292994</v>
      </c>
      <c r="P25" s="18">
        <f t="shared" si="2"/>
        <v>53368901.993415169</v>
      </c>
    </row>
    <row r="26" spans="2:16" ht="14.5" x14ac:dyDescent="0.35">
      <c r="B26" s="43" t="s">
        <v>203</v>
      </c>
      <c r="C26" s="49"/>
      <c r="D26" s="45">
        <f>SUM(F26:P26)</f>
        <v>34497020.478724994</v>
      </c>
      <c r="E26" s="33"/>
      <c r="F26" s="18">
        <f t="shared" ref="F26:P26" si="3">F93</f>
        <v>34497020.478724994</v>
      </c>
      <c r="G26" s="18">
        <f t="shared" si="3"/>
        <v>0</v>
      </c>
      <c r="H26" s="18">
        <f t="shared" si="3"/>
        <v>0</v>
      </c>
      <c r="I26" s="18">
        <f t="shared" si="3"/>
        <v>0</v>
      </c>
      <c r="J26" s="18">
        <f t="shared" si="3"/>
        <v>0</v>
      </c>
      <c r="K26" s="18">
        <f t="shared" si="3"/>
        <v>0</v>
      </c>
      <c r="L26" s="18">
        <f t="shared" si="3"/>
        <v>0</v>
      </c>
      <c r="M26" s="18">
        <f t="shared" si="3"/>
        <v>0</v>
      </c>
      <c r="N26" s="18">
        <f t="shared" si="3"/>
        <v>0</v>
      </c>
      <c r="O26" s="18">
        <f t="shared" si="3"/>
        <v>0</v>
      </c>
      <c r="P26" s="18">
        <f t="shared" si="3"/>
        <v>0</v>
      </c>
    </row>
    <row r="27" spans="2:16" ht="14.5" x14ac:dyDescent="0.35">
      <c r="B27" s="43" t="s">
        <v>204</v>
      </c>
      <c r="C27" s="49"/>
      <c r="D27" s="45">
        <f>D25-D26</f>
        <v>42713012.54375387</v>
      </c>
      <c r="E27" s="33"/>
      <c r="F27" s="50"/>
      <c r="G27" s="18"/>
      <c r="H27" s="51"/>
      <c r="I27" s="51"/>
      <c r="J27" s="51"/>
      <c r="K27" s="51"/>
      <c r="L27" s="51"/>
      <c r="M27" s="51"/>
      <c r="N27" s="51"/>
      <c r="O27" s="51"/>
      <c r="P27" s="51"/>
    </row>
    <row r="28" spans="2:16" ht="14.5" x14ac:dyDescent="0.35">
      <c r="B28" s="43" t="s">
        <v>205</v>
      </c>
      <c r="C28" s="49"/>
      <c r="D28" s="52">
        <f>IRR(F28:P28)</f>
        <v>0.10385786908591887</v>
      </c>
      <c r="E28" s="33"/>
      <c r="F28" s="18">
        <f t="shared" ref="F28:M28" si="4">IF(F19="","",(-F26)+F25)</f>
        <v>-34497020.478724994</v>
      </c>
      <c r="G28" s="18">
        <f t="shared" si="4"/>
        <v>2016718.203229299</v>
      </c>
      <c r="H28" s="18">
        <f t="shared" si="4"/>
        <v>2328268.8032292994</v>
      </c>
      <c r="I28" s="18">
        <f t="shared" si="4"/>
        <v>2624318.2532292991</v>
      </c>
      <c r="J28" s="18">
        <f t="shared" si="4"/>
        <v>2466046.3532292992</v>
      </c>
      <c r="K28" s="18">
        <f t="shared" si="4"/>
        <v>2881949.7032292993</v>
      </c>
      <c r="L28" s="18">
        <f t="shared" si="4"/>
        <v>2913617.9532292993</v>
      </c>
      <c r="M28" s="18">
        <f t="shared" si="4"/>
        <v>2629232.6032292992</v>
      </c>
      <c r="N28" s="18">
        <f>IF(N19="","",(-N26)+N25)</f>
        <v>3183828.3532292992</v>
      </c>
      <c r="O28" s="18">
        <f>IF(O19="","",(-O26)+O25)</f>
        <v>2797150.8032292994</v>
      </c>
      <c r="P28" s="18">
        <f>IF(P19="","",(-P26)+P25)</f>
        <v>53368901.993415169</v>
      </c>
    </row>
    <row r="29" spans="2:16" ht="14.5" x14ac:dyDescent="0.35">
      <c r="B29" s="43" t="s">
        <v>206</v>
      </c>
      <c r="C29" s="49"/>
      <c r="D29" s="53">
        <f>D25/D26</f>
        <v>2.2381652661885929</v>
      </c>
      <c r="E29" s="33"/>
      <c r="F29" s="50"/>
      <c r="G29" s="18"/>
      <c r="H29" s="51"/>
      <c r="I29" s="51"/>
      <c r="J29" s="51"/>
      <c r="K29" s="51"/>
      <c r="L29" s="51"/>
      <c r="M29" s="51"/>
      <c r="N29" s="51"/>
      <c r="O29" s="51"/>
      <c r="P29" s="51"/>
    </row>
    <row r="30" spans="2:16" ht="5.15" customHeight="1" x14ac:dyDescent="0.35">
      <c r="B30" s="43"/>
      <c r="C30" s="49"/>
      <c r="D30" s="35"/>
      <c r="E30" s="33"/>
      <c r="F30" s="50"/>
      <c r="G30" s="18"/>
      <c r="H30" s="51"/>
      <c r="I30" s="51"/>
      <c r="J30" s="51"/>
      <c r="K30" s="51"/>
      <c r="L30" s="51"/>
      <c r="M30" s="51"/>
      <c r="N30" s="51"/>
      <c r="O30" s="51"/>
      <c r="P30" s="51"/>
    </row>
    <row r="31" spans="2:16" ht="14.5" x14ac:dyDescent="0.35">
      <c r="B31" s="38" t="s">
        <v>207</v>
      </c>
      <c r="C31" s="49"/>
      <c r="D31" s="35"/>
      <c r="E31" s="33"/>
      <c r="F31" s="50"/>
      <c r="G31" s="18"/>
      <c r="H31" s="51"/>
      <c r="I31" s="51"/>
      <c r="J31" s="51"/>
      <c r="K31" s="51"/>
      <c r="L31" s="51"/>
      <c r="M31" s="51"/>
      <c r="N31" s="51"/>
      <c r="O31" s="51"/>
      <c r="P31" s="51"/>
    </row>
    <row r="32" spans="2:16" ht="14.5" x14ac:dyDescent="0.35">
      <c r="B32" s="43" t="s">
        <v>200</v>
      </c>
      <c r="C32" s="46" t="str">
        <f>IF(ROUND(D32,0)=ROUND(SUM(F32:P32),0),"OK","ERROR")</f>
        <v>OK</v>
      </c>
      <c r="D32" s="18">
        <f>(C12="IRR")*(SUM(F102:P102)-D33)</f>
        <v>-4.6566128730773926E-10</v>
      </c>
      <c r="E32" s="33"/>
      <c r="F32" s="18">
        <f>IF(F19="","",MIN($D32-SUM($E32:E32),F36-F33))</f>
        <v>-4.6566128730773926E-10</v>
      </c>
      <c r="G32" s="18">
        <f>IF(G19="","",MIN($D32-SUM($E32:F32),G36-G33))</f>
        <v>0</v>
      </c>
      <c r="H32" s="18">
        <f>IF(H19="","",MIN($D32-SUM($E32:G32),H36-H33))</f>
        <v>0</v>
      </c>
      <c r="I32" s="18">
        <f>IF(I19="","",MIN($D32-SUM($E32:H32),I36-I33))</f>
        <v>0</v>
      </c>
      <c r="J32" s="18">
        <f>IF(J19="","",MIN($D32-SUM($E32:I32),J36-J33))</f>
        <v>0</v>
      </c>
      <c r="K32" s="18">
        <f>IF(K19="","",MIN($D32-SUM($E32:J32),K36-K33))</f>
        <v>0</v>
      </c>
      <c r="L32" s="18">
        <f>IF(L19="","",MIN($D32-SUM($E32:K32),L36-L33))</f>
        <v>0</v>
      </c>
      <c r="M32" s="18">
        <f>IF(M19="","",MIN($D32-SUM($E32:L32),M36-M33))</f>
        <v>0</v>
      </c>
      <c r="N32" s="18">
        <f>IF(N19="","",MIN($D32-SUM($E32:M32),N36-N33))</f>
        <v>0</v>
      </c>
      <c r="O32" s="18">
        <f>IF(O19="","",MIN($D32-SUM($E32:N32),O36-O33))</f>
        <v>0</v>
      </c>
      <c r="P32" s="18">
        <f>IF(P19="","",MIN($D32-SUM($E32:O32),P36-P33))</f>
        <v>0</v>
      </c>
    </row>
    <row r="33" spans="2:20" ht="14.5" x14ac:dyDescent="0.35">
      <c r="B33" s="43" t="s">
        <v>180</v>
      </c>
      <c r="C33" s="46" t="str">
        <f>IF(ROUND(D33,0)=ROUND(SUM(F33:P33),0),"OK","ERROR")</f>
        <v>OK</v>
      </c>
      <c r="D33" s="18">
        <f>MIN(D36,D38)</f>
        <v>1815632.656775</v>
      </c>
      <c r="E33" s="33"/>
      <c r="F33" s="18">
        <f>IF(F19="","",MIN($D33-SUM($E33:E33),F36))</f>
        <v>0</v>
      </c>
      <c r="G33" s="18">
        <f>IF(G19="","",MIN($D33-SUM($E33:F33),G36))</f>
        <v>106143.06332785786</v>
      </c>
      <c r="H33" s="18">
        <f>IF(H19="","",MIN($D33-SUM($E33:G33),H36))</f>
        <v>122540.46332785788</v>
      </c>
      <c r="I33" s="18">
        <f>IF(I19="","",MIN($D33-SUM($E33:H33),I36))</f>
        <v>138122.01332785786</v>
      </c>
      <c r="J33" s="18">
        <f>IF(J19="","",MIN($D33-SUM($E33:I33),J36))</f>
        <v>129791.91332785785</v>
      </c>
      <c r="K33" s="18">
        <f>IF(K19="","",MIN($D33-SUM($E33:J33),K36))</f>
        <v>151681.56332785788</v>
      </c>
      <c r="L33" s="18">
        <f>IF(L19="","",MIN($D33-SUM($E33:K33),L36))</f>
        <v>153348.31332785788</v>
      </c>
      <c r="M33" s="18">
        <f>IF(M19="","",MIN($D33-SUM($E33:L33),M36))</f>
        <v>138380.66332785785</v>
      </c>
      <c r="N33" s="18">
        <f>IF(N19="","",MIN($D33-SUM($E33:M33),N36))</f>
        <v>167569.91332785785</v>
      </c>
      <c r="O33" s="18">
        <f>IF(O19="","",MIN($D33-SUM($E33:N33),O36))</f>
        <v>147218.4633278579</v>
      </c>
      <c r="P33" s="18">
        <f>IF(P19="","",MIN($D33-SUM($E33:O33),P36))</f>
        <v>560836.28682427923</v>
      </c>
    </row>
    <row r="34" spans="2:20" ht="14.5" hidden="1" x14ac:dyDescent="0.35">
      <c r="B34" s="43" t="s">
        <v>208</v>
      </c>
      <c r="C34" s="46" t="str">
        <f>IF(ROUND(D34,0)=ROUND(SUM(F34:P34),0),"OK","ERROR")</f>
        <v>OK</v>
      </c>
      <c r="D34" s="18">
        <f>D36-D33-D35-D32</f>
        <v>2.7939677238464355E-9</v>
      </c>
      <c r="E34" s="33"/>
      <c r="F34" s="18">
        <f t="shared" ref="F34:P34" si="5">IF(F19="","",F36-F35-F33-F32)</f>
        <v>7.3525466417011484E-11</v>
      </c>
      <c r="G34" s="18">
        <f t="shared" si="5"/>
        <v>0</v>
      </c>
      <c r="H34" s="18">
        <f t="shared" si="5"/>
        <v>0</v>
      </c>
      <c r="I34" s="18">
        <f t="shared" si="5"/>
        <v>0</v>
      </c>
      <c r="J34" s="18">
        <f t="shared" si="5"/>
        <v>0</v>
      </c>
      <c r="K34" s="18">
        <f t="shared" si="5"/>
        <v>0</v>
      </c>
      <c r="L34" s="18">
        <f t="shared" si="5"/>
        <v>0</v>
      </c>
      <c r="M34" s="18">
        <f t="shared" si="5"/>
        <v>0</v>
      </c>
      <c r="N34" s="18">
        <f t="shared" si="5"/>
        <v>0</v>
      </c>
      <c r="O34" s="18">
        <f t="shared" si="5"/>
        <v>0</v>
      </c>
      <c r="P34" s="18">
        <f t="shared" si="5"/>
        <v>3.4924596548080444E-9</v>
      </c>
    </row>
    <row r="35" spans="2:20" ht="16" x14ac:dyDescent="0.5">
      <c r="B35" s="43" t="s">
        <v>201</v>
      </c>
      <c r="C35" s="46" t="str">
        <f>IF(ROUND(D35,0)=ROUND(SUM(F35:P35),0),"OK","ERROR")</f>
        <v>OK</v>
      </c>
      <c r="D35" s="48">
        <f>D24/Equity_Share_LP*Equity_Share_GP</f>
        <v>2248053.2917765202</v>
      </c>
      <c r="E35" s="33"/>
      <c r="F35" s="48">
        <f t="shared" ref="F35:P35" si="6">IF(F19="","",F24/Equity_Share_LP*Equity_Share_GP)</f>
        <v>3.9213582089072777E-10</v>
      </c>
      <c r="G35" s="48">
        <f t="shared" si="6"/>
        <v>0</v>
      </c>
      <c r="H35" s="48">
        <f t="shared" si="6"/>
        <v>0</v>
      </c>
      <c r="I35" s="48">
        <f t="shared" si="6"/>
        <v>0</v>
      </c>
      <c r="J35" s="48">
        <f t="shared" si="6"/>
        <v>0</v>
      </c>
      <c r="K35" s="48">
        <f t="shared" si="6"/>
        <v>0</v>
      </c>
      <c r="L35" s="48">
        <f t="shared" si="6"/>
        <v>0</v>
      </c>
      <c r="M35" s="48">
        <f t="shared" si="6"/>
        <v>0</v>
      </c>
      <c r="N35" s="48">
        <f t="shared" si="6"/>
        <v>0</v>
      </c>
      <c r="O35" s="48">
        <f t="shared" si="6"/>
        <v>0</v>
      </c>
      <c r="P35" s="48">
        <f t="shared" si="6"/>
        <v>2248053.2917765193</v>
      </c>
    </row>
    <row r="36" spans="2:20" ht="14.5" x14ac:dyDescent="0.35">
      <c r="B36" s="43" t="s">
        <v>70</v>
      </c>
      <c r="C36" s="49"/>
      <c r="D36" s="18">
        <f>SUM(F36:P36)</f>
        <v>4063685.9485515226</v>
      </c>
      <c r="E36" s="33"/>
      <c r="F36" s="18">
        <f t="shared" ref="F36:P36" si="7">IF(F$19="","",($C$12="IRR")*F72)</f>
        <v>0</v>
      </c>
      <c r="G36" s="18">
        <f t="shared" si="7"/>
        <v>106143.06332785786</v>
      </c>
      <c r="H36" s="18">
        <f t="shared" si="7"/>
        <v>122540.46332785788</v>
      </c>
      <c r="I36" s="18">
        <f t="shared" si="7"/>
        <v>138122.01332785786</v>
      </c>
      <c r="J36" s="18">
        <f t="shared" si="7"/>
        <v>129791.91332785785</v>
      </c>
      <c r="K36" s="18">
        <f t="shared" si="7"/>
        <v>151681.56332785788</v>
      </c>
      <c r="L36" s="18">
        <f t="shared" si="7"/>
        <v>153348.31332785788</v>
      </c>
      <c r="M36" s="18">
        <f t="shared" si="7"/>
        <v>138380.66332785785</v>
      </c>
      <c r="N36" s="18">
        <f t="shared" si="7"/>
        <v>167569.91332785785</v>
      </c>
      <c r="O36" s="18">
        <f t="shared" si="7"/>
        <v>147218.4633278579</v>
      </c>
      <c r="P36" s="18">
        <f t="shared" si="7"/>
        <v>2808889.578600802</v>
      </c>
    </row>
    <row r="37" spans="2:20" ht="14.5" x14ac:dyDescent="0.35">
      <c r="B37" s="43" t="s">
        <v>209</v>
      </c>
      <c r="C37" s="49"/>
      <c r="D37" s="18">
        <f>SUM(F37:P37)</f>
        <v>907816.32838750014</v>
      </c>
      <c r="E37" s="33"/>
      <c r="F37" s="18">
        <f t="shared" ref="F37:P37" si="8">IF(F19="","",SUM(F46:F47))</f>
        <v>0</v>
      </c>
      <c r="G37" s="18">
        <f t="shared" si="8"/>
        <v>90781.632838749996</v>
      </c>
      <c r="H37" s="18">
        <f t="shared" si="8"/>
        <v>90781.632838749996</v>
      </c>
      <c r="I37" s="18">
        <f t="shared" si="8"/>
        <v>90781.632838749996</v>
      </c>
      <c r="J37" s="18">
        <f t="shared" si="8"/>
        <v>90781.632838749996</v>
      </c>
      <c r="K37" s="18">
        <f t="shared" si="8"/>
        <v>90781.632838749996</v>
      </c>
      <c r="L37" s="18">
        <f t="shared" si="8"/>
        <v>90781.632838749996</v>
      </c>
      <c r="M37" s="18">
        <f t="shared" si="8"/>
        <v>90781.632838749996</v>
      </c>
      <c r="N37" s="18">
        <f t="shared" si="8"/>
        <v>90781.632838749996</v>
      </c>
      <c r="O37" s="18">
        <f t="shared" si="8"/>
        <v>90781.632838749996</v>
      </c>
      <c r="P37" s="18">
        <f t="shared" si="8"/>
        <v>90781.632838749996</v>
      </c>
    </row>
    <row r="38" spans="2:20" ht="14.5" x14ac:dyDescent="0.35">
      <c r="B38" s="43" t="s">
        <v>210</v>
      </c>
      <c r="C38" s="49"/>
      <c r="D38" s="18">
        <f>SUM(F38:P38)</f>
        <v>1815632.656775</v>
      </c>
      <c r="E38" s="33"/>
      <c r="F38" s="18">
        <f t="shared" ref="F38:P38" si="9">F101</f>
        <v>1815632.656775</v>
      </c>
      <c r="G38" s="18">
        <f t="shared" si="9"/>
        <v>0</v>
      </c>
      <c r="H38" s="18">
        <f t="shared" si="9"/>
        <v>0</v>
      </c>
      <c r="I38" s="18">
        <f t="shared" si="9"/>
        <v>0</v>
      </c>
      <c r="J38" s="18">
        <f t="shared" si="9"/>
        <v>0</v>
      </c>
      <c r="K38" s="18">
        <f t="shared" si="9"/>
        <v>0</v>
      </c>
      <c r="L38" s="18">
        <f t="shared" si="9"/>
        <v>0</v>
      </c>
      <c r="M38" s="18">
        <f t="shared" si="9"/>
        <v>0</v>
      </c>
      <c r="N38" s="18">
        <f t="shared" si="9"/>
        <v>0</v>
      </c>
      <c r="O38" s="18">
        <f t="shared" si="9"/>
        <v>0</v>
      </c>
      <c r="P38" s="18">
        <f t="shared" si="9"/>
        <v>0</v>
      </c>
    </row>
    <row r="39" spans="2:20" ht="15" thickBot="1" x14ac:dyDescent="0.4">
      <c r="B39" s="43" t="s">
        <v>211</v>
      </c>
      <c r="C39" s="49"/>
      <c r="D39" s="18">
        <f>+D36+D37-D38</f>
        <v>3155869.6201640223</v>
      </c>
      <c r="E39" s="33"/>
      <c r="F39" s="50"/>
      <c r="G39" s="18"/>
      <c r="H39" s="51"/>
      <c r="I39" s="51"/>
      <c r="J39" s="51"/>
      <c r="K39" s="51"/>
      <c r="L39" s="51"/>
      <c r="M39" s="51"/>
      <c r="N39" s="51"/>
      <c r="O39" s="51"/>
      <c r="P39" s="51"/>
    </row>
    <row r="40" spans="2:20" ht="15" thickBot="1" x14ac:dyDescent="0.4">
      <c r="B40" s="43" t="s">
        <v>212</v>
      </c>
      <c r="C40" s="49"/>
      <c r="D40" s="54">
        <f>IFERROR(IRR(F40:P40),"NA")</f>
        <v>0.14754039092428228</v>
      </c>
      <c r="E40" s="33"/>
      <c r="F40" s="102">
        <f t="shared" ref="F40:P40" si="10">IF(F19="","",(-F38)+F36+F37)</f>
        <v>-1815632.656775</v>
      </c>
      <c r="G40" s="103">
        <f t="shared" si="10"/>
        <v>196924.69616660784</v>
      </c>
      <c r="H40" s="103">
        <f t="shared" si="10"/>
        <v>213322.09616660787</v>
      </c>
      <c r="I40" s="103">
        <f t="shared" si="10"/>
        <v>228903.64616660785</v>
      </c>
      <c r="J40" s="103">
        <f t="shared" si="10"/>
        <v>220573.54616660785</v>
      </c>
      <c r="K40" s="103">
        <f t="shared" si="10"/>
        <v>242463.19616660787</v>
      </c>
      <c r="L40" s="103">
        <f t="shared" si="10"/>
        <v>244129.94616660787</v>
      </c>
      <c r="M40" s="103">
        <f t="shared" si="10"/>
        <v>229162.29616660785</v>
      </c>
      <c r="N40" s="103">
        <f t="shared" si="10"/>
        <v>258351.54616660785</v>
      </c>
      <c r="O40" s="103">
        <f t="shared" si="10"/>
        <v>238000.09616660789</v>
      </c>
      <c r="P40" s="104">
        <f t="shared" si="10"/>
        <v>2899671.2114395518</v>
      </c>
    </row>
    <row r="41" spans="2:20" ht="14.5" x14ac:dyDescent="0.35">
      <c r="B41" s="43" t="s">
        <v>213</v>
      </c>
      <c r="C41" s="49"/>
      <c r="D41" s="55">
        <f>IFERROR(D36/D38,"NA")</f>
        <v>2.2381652661885942</v>
      </c>
      <c r="E41" s="33"/>
      <c r="F41" s="39"/>
      <c r="G41" s="40"/>
      <c r="H41" s="41"/>
      <c r="I41" s="41"/>
      <c r="J41" s="42"/>
      <c r="K41" s="42"/>
      <c r="L41" s="42"/>
      <c r="M41" s="42"/>
      <c r="N41" s="42"/>
      <c r="O41" s="42"/>
      <c r="P41" s="42"/>
    </row>
    <row r="42" spans="2:20" ht="5.15" customHeight="1" x14ac:dyDescent="0.35">
      <c r="B42" s="56"/>
      <c r="C42" s="57"/>
      <c r="D42" s="58"/>
      <c r="E42" s="12"/>
      <c r="F42" s="42"/>
      <c r="G42" s="42"/>
      <c r="H42" s="42"/>
      <c r="I42" s="42"/>
      <c r="J42" s="42"/>
      <c r="K42" s="42"/>
      <c r="L42" s="42"/>
      <c r="M42" s="42"/>
      <c r="N42" s="42"/>
      <c r="O42" s="42"/>
      <c r="P42" s="42"/>
    </row>
    <row r="43" spans="2:20" ht="15.5" x14ac:dyDescent="0.35">
      <c r="B43" s="90" t="s">
        <v>214</v>
      </c>
      <c r="C43" s="95"/>
      <c r="D43" s="95"/>
      <c r="E43" s="96"/>
      <c r="F43" s="94" t="s">
        <v>113</v>
      </c>
      <c r="G43" s="100">
        <f t="shared" ref="G43:P43" si="11">G$19</f>
        <v>1</v>
      </c>
      <c r="H43" s="100">
        <f t="shared" si="11"/>
        <v>2</v>
      </c>
      <c r="I43" s="100">
        <f t="shared" si="11"/>
        <v>3</v>
      </c>
      <c r="J43" s="100">
        <f t="shared" si="11"/>
        <v>4</v>
      </c>
      <c r="K43" s="100">
        <f t="shared" si="11"/>
        <v>5</v>
      </c>
      <c r="L43" s="100">
        <f t="shared" si="11"/>
        <v>6</v>
      </c>
      <c r="M43" s="100">
        <f t="shared" si="11"/>
        <v>7</v>
      </c>
      <c r="N43" s="100">
        <f t="shared" si="11"/>
        <v>8</v>
      </c>
      <c r="O43" s="100">
        <f t="shared" si="11"/>
        <v>9</v>
      </c>
      <c r="P43" s="100">
        <f t="shared" si="11"/>
        <v>10</v>
      </c>
      <c r="Q43" s="59"/>
      <c r="R43" s="59"/>
      <c r="S43" s="59"/>
      <c r="T43" s="59"/>
    </row>
    <row r="44" spans="2:20" ht="14.5" x14ac:dyDescent="0.35">
      <c r="B44" s="12"/>
      <c r="C44" s="12"/>
      <c r="D44" s="12"/>
      <c r="E44" s="42" t="s">
        <v>125</v>
      </c>
      <c r="F44" s="60">
        <v>44742</v>
      </c>
      <c r="G44" s="61">
        <f t="shared" ref="G44:P44" si="12">IF(G43="","",EOMONTH(F44,12))</f>
        <v>45107</v>
      </c>
      <c r="H44" s="61">
        <f t="shared" si="12"/>
        <v>45473</v>
      </c>
      <c r="I44" s="61">
        <f t="shared" si="12"/>
        <v>45838</v>
      </c>
      <c r="J44" s="61">
        <f t="shared" si="12"/>
        <v>46203</v>
      </c>
      <c r="K44" s="61">
        <f t="shared" si="12"/>
        <v>46568</v>
      </c>
      <c r="L44" s="61">
        <f t="shared" si="12"/>
        <v>46934</v>
      </c>
      <c r="M44" s="61">
        <f t="shared" si="12"/>
        <v>47299</v>
      </c>
      <c r="N44" s="61">
        <f t="shared" si="12"/>
        <v>47664</v>
      </c>
      <c r="O44" s="61">
        <f t="shared" si="12"/>
        <v>48029</v>
      </c>
      <c r="P44" s="61">
        <f t="shared" si="12"/>
        <v>48395</v>
      </c>
      <c r="Q44" s="59"/>
      <c r="R44" s="59"/>
      <c r="S44" s="59"/>
      <c r="T44" s="59"/>
    </row>
    <row r="45" spans="2:20" ht="14.5" x14ac:dyDescent="0.35">
      <c r="B45" s="62" t="s">
        <v>215</v>
      </c>
      <c r="C45" s="12"/>
      <c r="D45" s="12"/>
      <c r="E45" s="63"/>
      <c r="F45" s="64">
        <f>'Portfolio-Level CF'!C39</f>
        <v>-36312653.135499999</v>
      </c>
      <c r="G45" s="64">
        <f>'Portfolio-Level CF'!D36</f>
        <v>2213642.8993959068</v>
      </c>
      <c r="H45" s="64">
        <f>'Portfolio-Level CF'!E36</f>
        <v>2541590.8993959068</v>
      </c>
      <c r="I45" s="64">
        <f>'Portfolio-Level CF'!F36</f>
        <v>2853221.8993959068</v>
      </c>
      <c r="J45" s="64">
        <f>'Portfolio-Level CF'!G36</f>
        <v>2686619.8993959068</v>
      </c>
      <c r="K45" s="64">
        <f>'Portfolio-Level CF'!H36</f>
        <v>3124412.8993959068</v>
      </c>
      <c r="L45" s="64">
        <f>'Portfolio-Level CF'!I36</f>
        <v>3157747.8993959068</v>
      </c>
      <c r="M45" s="64">
        <f>'Portfolio-Level CF'!J36</f>
        <v>2858394.8993959068</v>
      </c>
      <c r="N45" s="64">
        <f>'Portfolio-Level CF'!K36</f>
        <v>3442179.8993959068</v>
      </c>
      <c r="O45" s="64">
        <f>'Portfolio-Level CF'!L36</f>
        <v>3035150.8993959068</v>
      </c>
      <c r="P45" s="64">
        <f>'Portfolio-Level CF'!M36+'Portfolio-Level CF'!M37</f>
        <v>56268573.204854719</v>
      </c>
    </row>
    <row r="46" spans="2:20" ht="14.5" x14ac:dyDescent="0.35">
      <c r="B46" s="65" t="s">
        <v>162</v>
      </c>
      <c r="C46" s="12"/>
      <c r="D46" s="12"/>
      <c r="E46" s="63"/>
      <c r="F46" s="64">
        <v>0</v>
      </c>
      <c r="G46" s="64">
        <f>-F45*'[1]Portfolio-Level Returns'!L6</f>
        <v>90781.632838749996</v>
      </c>
      <c r="H46" s="64">
        <f>G46</f>
        <v>90781.632838749996</v>
      </c>
      <c r="I46" s="64">
        <f>H46</f>
        <v>90781.632838749996</v>
      </c>
      <c r="J46" s="64">
        <f>I46</f>
        <v>90781.632838749996</v>
      </c>
      <c r="K46" s="64">
        <f>J46</f>
        <v>90781.632838749996</v>
      </c>
      <c r="L46" s="64">
        <f t="shared" ref="L46:P46" si="13">K46</f>
        <v>90781.632838749996</v>
      </c>
      <c r="M46" s="64">
        <f t="shared" si="13"/>
        <v>90781.632838749996</v>
      </c>
      <c r="N46" s="64">
        <f t="shared" si="13"/>
        <v>90781.632838749996</v>
      </c>
      <c r="O46" s="64">
        <f t="shared" si="13"/>
        <v>90781.632838749996</v>
      </c>
      <c r="P46" s="64">
        <f t="shared" si="13"/>
        <v>90781.632838749996</v>
      </c>
    </row>
    <row r="47" spans="2:20" ht="14.5" x14ac:dyDescent="0.35">
      <c r="B47" s="65" t="s">
        <v>216</v>
      </c>
      <c r="C47" s="12"/>
      <c r="D47" s="12"/>
      <c r="E47" s="63"/>
      <c r="F47" s="64">
        <v>0</v>
      </c>
      <c r="G47" s="64">
        <v>0</v>
      </c>
      <c r="H47" s="64">
        <v>0</v>
      </c>
      <c r="I47" s="64">
        <v>0</v>
      </c>
      <c r="J47" s="64">
        <v>0</v>
      </c>
      <c r="K47" s="64">
        <v>0</v>
      </c>
      <c r="L47" s="64">
        <v>0</v>
      </c>
      <c r="M47" s="64">
        <v>0</v>
      </c>
      <c r="N47" s="64">
        <v>0</v>
      </c>
      <c r="O47" s="64">
        <v>0</v>
      </c>
      <c r="P47" s="64">
        <v>0</v>
      </c>
    </row>
    <row r="48" spans="2:20" ht="14.5" x14ac:dyDescent="0.35">
      <c r="B48" s="65"/>
      <c r="C48" s="12"/>
      <c r="D48" s="12"/>
      <c r="E48" s="63"/>
      <c r="F48" s="64"/>
      <c r="G48" s="64"/>
      <c r="H48" s="64"/>
      <c r="I48" s="64"/>
      <c r="J48" s="64"/>
      <c r="K48" s="64"/>
      <c r="L48" s="64"/>
      <c r="M48" s="64"/>
      <c r="N48" s="64"/>
      <c r="O48" s="64"/>
      <c r="P48" s="64"/>
    </row>
    <row r="49" spans="2:16" ht="14.5" x14ac:dyDescent="0.35">
      <c r="B49" s="62" t="s">
        <v>217</v>
      </c>
      <c r="C49" s="12"/>
      <c r="D49" s="12"/>
      <c r="E49" s="63"/>
      <c r="F49" s="66">
        <f t="shared" ref="F49:P49" si="14">IF(F43="","",F45-F46-F47)</f>
        <v>-36312653.135499999</v>
      </c>
      <c r="G49" s="66">
        <f t="shared" si="14"/>
        <v>2122861.266557157</v>
      </c>
      <c r="H49" s="66">
        <f t="shared" si="14"/>
        <v>2450809.266557157</v>
      </c>
      <c r="I49" s="66">
        <f t="shared" si="14"/>
        <v>2762440.266557157</v>
      </c>
      <c r="J49" s="66">
        <f t="shared" si="14"/>
        <v>2595838.266557157</v>
      </c>
      <c r="K49" s="66">
        <f t="shared" si="14"/>
        <v>3033631.266557157</v>
      </c>
      <c r="L49" s="66">
        <f t="shared" si="14"/>
        <v>3066966.266557157</v>
      </c>
      <c r="M49" s="66">
        <f t="shared" si="14"/>
        <v>2767613.266557157</v>
      </c>
      <c r="N49" s="66">
        <f t="shared" si="14"/>
        <v>3351398.266557157</v>
      </c>
      <c r="O49" s="66">
        <f t="shared" si="14"/>
        <v>2944369.266557157</v>
      </c>
      <c r="P49" s="66">
        <f t="shared" si="14"/>
        <v>56177791.572015971</v>
      </c>
    </row>
    <row r="50" spans="2:16" ht="14.5" x14ac:dyDescent="0.35">
      <c r="B50" s="12" t="s">
        <v>61</v>
      </c>
      <c r="C50" s="12"/>
      <c r="D50" s="12"/>
      <c r="E50" s="12"/>
      <c r="F50" s="41">
        <f>IRR(F49:P49)</f>
        <v>0.10385786908591887</v>
      </c>
      <c r="G50" s="42"/>
      <c r="H50" s="42"/>
      <c r="I50" s="42"/>
      <c r="J50" s="42"/>
      <c r="K50" s="42"/>
      <c r="L50" s="42"/>
      <c r="M50" s="42"/>
      <c r="N50" s="42"/>
      <c r="O50" s="42"/>
      <c r="P50" s="42"/>
    </row>
    <row r="51" spans="2:16" ht="14.5" x14ac:dyDescent="0.35">
      <c r="B51" s="12" t="s">
        <v>79</v>
      </c>
      <c r="C51" s="12"/>
      <c r="D51" s="12"/>
      <c r="E51" s="12"/>
      <c r="F51" s="67">
        <f>SUMIF(F49:P49,"&gt;0")/-SUMIF(F49:P49,"&lt;0")</f>
        <v>2.2381652661885925</v>
      </c>
      <c r="G51" s="42"/>
      <c r="H51" s="41"/>
      <c r="I51" s="42"/>
      <c r="J51" s="42"/>
      <c r="K51" s="42"/>
      <c r="L51" s="42"/>
      <c r="M51" s="42"/>
      <c r="N51" s="42"/>
      <c r="O51" s="42"/>
      <c r="P51" s="42"/>
    </row>
    <row r="52" spans="2:16" ht="5.15" customHeight="1" x14ac:dyDescent="0.35">
      <c r="B52" s="12"/>
      <c r="C52" s="12"/>
      <c r="D52" s="12"/>
      <c r="E52" s="42"/>
      <c r="F52" s="68"/>
      <c r="G52" s="42"/>
      <c r="H52" s="42"/>
      <c r="I52" s="42"/>
      <c r="J52" s="42"/>
      <c r="K52" s="42"/>
      <c r="L52" s="42"/>
      <c r="M52" s="42"/>
      <c r="N52" s="42"/>
      <c r="O52" s="42"/>
      <c r="P52" s="68"/>
    </row>
    <row r="53" spans="2:16" ht="14.5" x14ac:dyDescent="0.35"/>
    <row r="54" spans="2:16" ht="18.5" outlineLevel="1" x14ac:dyDescent="0.45">
      <c r="B54" s="87" t="s">
        <v>218</v>
      </c>
      <c r="C54" s="88"/>
      <c r="D54" s="88"/>
      <c r="E54" s="88"/>
      <c r="F54" s="89"/>
      <c r="G54" s="89"/>
      <c r="H54" s="89"/>
      <c r="I54" s="89"/>
      <c r="J54" s="89"/>
      <c r="K54" s="89"/>
      <c r="L54" s="89"/>
      <c r="M54" s="89"/>
      <c r="N54" s="89"/>
      <c r="O54" s="89"/>
      <c r="P54" s="89"/>
    </row>
    <row r="55" spans="2:16" ht="5.15" customHeight="1" outlineLevel="1" x14ac:dyDescent="0.35">
      <c r="B55" s="15"/>
      <c r="C55" s="15"/>
      <c r="D55" s="15" t="s">
        <v>77</v>
      </c>
      <c r="E55" s="15"/>
      <c r="F55" s="15"/>
      <c r="G55" s="15"/>
      <c r="H55" s="15"/>
      <c r="I55" s="15"/>
      <c r="J55" s="15"/>
      <c r="K55" s="15"/>
      <c r="L55" s="15"/>
      <c r="M55" s="15"/>
      <c r="N55" s="15"/>
      <c r="O55" s="15"/>
      <c r="P55" s="15"/>
    </row>
    <row r="56" spans="2:16" ht="14.5" outlineLevel="1" x14ac:dyDescent="0.35">
      <c r="B56" s="95"/>
      <c r="C56" s="95"/>
      <c r="D56" s="94"/>
      <c r="E56" s="95"/>
      <c r="F56" s="519" t="s">
        <v>188</v>
      </c>
      <c r="G56" s="519"/>
      <c r="H56" s="520" t="s">
        <v>189</v>
      </c>
      <c r="I56" s="520"/>
      <c r="J56" s="96"/>
      <c r="K56" s="96"/>
      <c r="L56" s="96"/>
      <c r="M56" s="96"/>
      <c r="N56" s="96"/>
      <c r="O56" s="96"/>
      <c r="P56" s="96"/>
    </row>
    <row r="57" spans="2:16" ht="15.5" outlineLevel="1" x14ac:dyDescent="0.35">
      <c r="B57" s="90" t="str">
        <f>IF(D55="Equity Multiple","Partnership Distribution Assumptions (Equity Multiple Hurdles)","Partnership Distribution Assumptions (IRR Hurdles)")</f>
        <v>Partnership Distribution Assumptions (IRR Hurdles)</v>
      </c>
      <c r="C57" s="95"/>
      <c r="D57" s="94"/>
      <c r="E57" s="95"/>
      <c r="F57" s="519"/>
      <c r="G57" s="519"/>
      <c r="H57" s="91" t="s">
        <v>190</v>
      </c>
      <c r="I57" s="97" t="s">
        <v>191</v>
      </c>
      <c r="J57" s="97" t="s">
        <v>219</v>
      </c>
      <c r="K57" s="96"/>
      <c r="L57" s="96"/>
      <c r="M57" s="96"/>
      <c r="N57" s="96"/>
      <c r="O57" s="96"/>
      <c r="P57" s="96"/>
    </row>
    <row r="58" spans="2:16" ht="14.5" outlineLevel="1" x14ac:dyDescent="0.35">
      <c r="B58" s="12" t="s">
        <v>192</v>
      </c>
      <c r="C58" s="25"/>
      <c r="D58" s="26"/>
      <c r="E58" s="27">
        <f>D59</f>
        <v>0</v>
      </c>
      <c r="F58" s="28" t="s">
        <v>193</v>
      </c>
      <c r="G58" s="29"/>
      <c r="H58" s="72">
        <f>Equity_Share_GP</f>
        <v>0.05</v>
      </c>
      <c r="I58" s="23">
        <f>1-H58</f>
        <v>0.95</v>
      </c>
      <c r="J58" s="518"/>
      <c r="K58" s="518"/>
      <c r="L58" s="518"/>
      <c r="M58" s="518"/>
      <c r="N58" s="518"/>
      <c r="O58" s="15"/>
      <c r="P58" s="110"/>
    </row>
    <row r="59" spans="2:16" ht="14.5" outlineLevel="1" x14ac:dyDescent="0.35">
      <c r="B59" s="12" t="s">
        <v>194</v>
      </c>
      <c r="C59" s="31"/>
      <c r="D59" s="73">
        <f>D15</f>
        <v>0</v>
      </c>
      <c r="E59" s="33">
        <f>D60</f>
        <v>0</v>
      </c>
      <c r="F59" s="72">
        <f>F15</f>
        <v>0</v>
      </c>
      <c r="G59" s="23"/>
      <c r="H59" s="34">
        <f>H58</f>
        <v>0.05</v>
      </c>
      <c r="I59" s="23">
        <f>1-H59</f>
        <v>0.95</v>
      </c>
      <c r="J59" s="518"/>
      <c r="K59" s="518"/>
      <c r="L59" s="518"/>
      <c r="M59" s="518"/>
      <c r="N59" s="518"/>
      <c r="O59" s="15"/>
      <c r="P59" s="15"/>
    </row>
    <row r="60" spans="2:16" ht="14.5" outlineLevel="1" x14ac:dyDescent="0.35">
      <c r="B60" s="12" t="s">
        <v>195</v>
      </c>
      <c r="C60" s="31"/>
      <c r="D60" s="73">
        <f>D16</f>
        <v>0</v>
      </c>
      <c r="E60" s="33">
        <f>D61</f>
        <v>0</v>
      </c>
      <c r="F60" s="72">
        <f>F16</f>
        <v>0</v>
      </c>
      <c r="G60" s="23"/>
      <c r="H60" s="34">
        <f>H59</f>
        <v>0.05</v>
      </c>
      <c r="I60" s="23">
        <f>1-H60</f>
        <v>0.95</v>
      </c>
      <c r="J60" s="518"/>
      <c r="K60" s="518"/>
      <c r="L60" s="518"/>
      <c r="M60" s="518"/>
      <c r="N60" s="518"/>
      <c r="O60" s="15"/>
      <c r="P60" s="15"/>
    </row>
    <row r="61" spans="2:16" ht="14.5" outlineLevel="1" x14ac:dyDescent="0.35">
      <c r="B61" s="12" t="s">
        <v>196</v>
      </c>
      <c r="C61" s="31"/>
      <c r="D61" s="73">
        <f>D17</f>
        <v>0</v>
      </c>
      <c r="E61" s="33"/>
      <c r="F61" s="72">
        <f>F17</f>
        <v>0</v>
      </c>
      <c r="G61" s="23"/>
      <c r="H61" s="34">
        <f>H59</f>
        <v>0.05</v>
      </c>
      <c r="I61" s="23">
        <f>1-H61</f>
        <v>0.95</v>
      </c>
      <c r="J61" s="518"/>
      <c r="K61" s="518"/>
      <c r="L61" s="518"/>
      <c r="M61" s="518"/>
      <c r="N61" s="518"/>
      <c r="O61" s="15"/>
      <c r="P61" s="15"/>
    </row>
    <row r="62" spans="2:16" ht="14.5" outlineLevel="1" x14ac:dyDescent="0.35">
      <c r="B62" s="12"/>
      <c r="C62" s="12"/>
      <c r="D62" s="35"/>
      <c r="E62" s="33"/>
      <c r="F62" s="20"/>
      <c r="G62" s="36"/>
      <c r="H62" s="37"/>
      <c r="I62" s="37"/>
      <c r="J62" s="15"/>
      <c r="K62" s="15"/>
      <c r="L62" s="15"/>
      <c r="M62" s="15"/>
      <c r="N62" s="15"/>
      <c r="O62" s="15"/>
      <c r="P62" s="15"/>
    </row>
    <row r="63" spans="2:16" ht="15.5" outlineLevel="1" x14ac:dyDescent="0.35">
      <c r="B63" s="90" t="s">
        <v>197</v>
      </c>
      <c r="C63" s="95"/>
      <c r="D63" s="98"/>
      <c r="E63" s="99"/>
      <c r="F63" s="100">
        <v>0</v>
      </c>
      <c r="G63" s="100">
        <f t="shared" ref="G63:P63" si="15">IF(G81="","",F63+1)</f>
        <v>1</v>
      </c>
      <c r="H63" s="100">
        <f t="shared" si="15"/>
        <v>2</v>
      </c>
      <c r="I63" s="100">
        <f t="shared" si="15"/>
        <v>3</v>
      </c>
      <c r="J63" s="100">
        <f t="shared" si="15"/>
        <v>4</v>
      </c>
      <c r="K63" s="100">
        <f t="shared" si="15"/>
        <v>5</v>
      </c>
      <c r="L63" s="100">
        <f t="shared" si="15"/>
        <v>6</v>
      </c>
      <c r="M63" s="100">
        <f t="shared" si="15"/>
        <v>7</v>
      </c>
      <c r="N63" s="100">
        <f t="shared" si="15"/>
        <v>8</v>
      </c>
      <c r="O63" s="100">
        <f t="shared" si="15"/>
        <v>9</v>
      </c>
      <c r="P63" s="100">
        <f t="shared" si="15"/>
        <v>10</v>
      </c>
    </row>
    <row r="64" spans="2:16" ht="14.5" outlineLevel="1" x14ac:dyDescent="0.35">
      <c r="B64" s="38" t="s">
        <v>198</v>
      </c>
      <c r="C64" s="12"/>
      <c r="D64" s="35"/>
      <c r="E64" s="33"/>
      <c r="F64" s="39"/>
      <c r="G64" s="40"/>
      <c r="H64" s="41"/>
      <c r="I64" s="41"/>
      <c r="J64" s="42"/>
      <c r="K64" s="42"/>
      <c r="L64" s="42"/>
      <c r="M64" s="42"/>
      <c r="N64" s="42"/>
      <c r="O64" s="42"/>
      <c r="P64" s="42"/>
    </row>
    <row r="65" spans="2:16" ht="14.5" outlineLevel="1" x14ac:dyDescent="0.35">
      <c r="B65" s="43" t="s">
        <v>202</v>
      </c>
      <c r="C65" s="12"/>
      <c r="D65" s="45">
        <f>SUM(F65:P65)</f>
        <v>77210033.022478864</v>
      </c>
      <c r="E65" s="33"/>
      <c r="F65" s="18">
        <f>IF(F63="","",F97+F119+F134+F141)</f>
        <v>0</v>
      </c>
      <c r="G65" s="18">
        <f>IF(G63="","",G97+G119+G134+G141)</f>
        <v>2016718.203229299</v>
      </c>
      <c r="H65" s="18">
        <f>IF(H63="","",H97+H119+H134+H141)</f>
        <v>2328268.8032292994</v>
      </c>
      <c r="I65" s="18">
        <f>IF(I63="","",I97+I119+I134+C91)</f>
        <v>2624318.2532292991</v>
      </c>
      <c r="J65" s="18">
        <f t="shared" ref="J65:P65" si="16">IF(J63="","",J97+J119+J134+J141)</f>
        <v>2466046.3532292992</v>
      </c>
      <c r="K65" s="18">
        <f t="shared" si="16"/>
        <v>2881949.7032292993</v>
      </c>
      <c r="L65" s="18">
        <f t="shared" si="16"/>
        <v>2913617.9532292993</v>
      </c>
      <c r="M65" s="18">
        <f t="shared" si="16"/>
        <v>2629232.6032292992</v>
      </c>
      <c r="N65" s="18">
        <f t="shared" si="16"/>
        <v>3183828.3532292992</v>
      </c>
      <c r="O65" s="18">
        <f t="shared" si="16"/>
        <v>2797150.8032292994</v>
      </c>
      <c r="P65" s="18">
        <f t="shared" si="16"/>
        <v>53368901.993415169</v>
      </c>
    </row>
    <row r="66" spans="2:16" ht="14.5" outlineLevel="1" x14ac:dyDescent="0.35">
      <c r="B66" s="43" t="s">
        <v>203</v>
      </c>
      <c r="C66" s="12"/>
      <c r="D66" s="45">
        <f>SUM(F66:P66)</f>
        <v>34497020.478724994</v>
      </c>
      <c r="E66" s="33"/>
      <c r="F66" s="18">
        <f t="shared" ref="F66:P66" si="17">F93</f>
        <v>34497020.478724994</v>
      </c>
      <c r="G66" s="18">
        <f t="shared" si="17"/>
        <v>0</v>
      </c>
      <c r="H66" s="18">
        <f t="shared" si="17"/>
        <v>0</v>
      </c>
      <c r="I66" s="18">
        <f t="shared" si="17"/>
        <v>0</v>
      </c>
      <c r="J66" s="18">
        <f t="shared" si="17"/>
        <v>0</v>
      </c>
      <c r="K66" s="18">
        <f t="shared" si="17"/>
        <v>0</v>
      </c>
      <c r="L66" s="18">
        <f t="shared" si="17"/>
        <v>0</v>
      </c>
      <c r="M66" s="18">
        <f t="shared" si="17"/>
        <v>0</v>
      </c>
      <c r="N66" s="18">
        <f t="shared" si="17"/>
        <v>0</v>
      </c>
      <c r="O66" s="18">
        <f t="shared" si="17"/>
        <v>0</v>
      </c>
      <c r="P66" s="18">
        <f t="shared" si="17"/>
        <v>0</v>
      </c>
    </row>
    <row r="67" spans="2:16" ht="14.5" outlineLevel="1" x14ac:dyDescent="0.35">
      <c r="B67" s="43" t="s">
        <v>204</v>
      </c>
      <c r="C67" s="12"/>
      <c r="D67" s="45">
        <f>D65-D66</f>
        <v>42713012.54375387</v>
      </c>
      <c r="E67" s="33"/>
      <c r="F67" s="50"/>
      <c r="G67" s="18"/>
      <c r="H67" s="51"/>
      <c r="I67" s="51"/>
      <c r="J67" s="51"/>
      <c r="K67" s="51"/>
      <c r="L67" s="51"/>
      <c r="M67" s="51"/>
      <c r="N67" s="51"/>
      <c r="O67" s="51"/>
      <c r="P67" s="51"/>
    </row>
    <row r="68" spans="2:16" ht="14.5" outlineLevel="1" x14ac:dyDescent="0.35">
      <c r="B68" s="43" t="s">
        <v>205</v>
      </c>
      <c r="C68" s="12"/>
      <c r="D68" s="52">
        <f>IRR(F68:P68)</f>
        <v>0.10385786908591887</v>
      </c>
      <c r="E68" s="33"/>
      <c r="F68" s="18">
        <f t="shared" ref="F68:P68" si="18">IF(F63="","",(-F66)+F65)</f>
        <v>-34497020.478724994</v>
      </c>
      <c r="G68" s="18">
        <f t="shared" si="18"/>
        <v>2016718.203229299</v>
      </c>
      <c r="H68" s="18">
        <f t="shared" si="18"/>
        <v>2328268.8032292994</v>
      </c>
      <c r="I68" s="18">
        <f t="shared" si="18"/>
        <v>2624318.2532292991</v>
      </c>
      <c r="J68" s="18">
        <f t="shared" si="18"/>
        <v>2466046.3532292992</v>
      </c>
      <c r="K68" s="18">
        <f t="shared" si="18"/>
        <v>2881949.7032292993</v>
      </c>
      <c r="L68" s="18">
        <f t="shared" si="18"/>
        <v>2913617.9532292993</v>
      </c>
      <c r="M68" s="18">
        <f t="shared" si="18"/>
        <v>2629232.6032292992</v>
      </c>
      <c r="N68" s="18">
        <f t="shared" si="18"/>
        <v>3183828.3532292992</v>
      </c>
      <c r="O68" s="18">
        <f t="shared" si="18"/>
        <v>2797150.8032292994</v>
      </c>
      <c r="P68" s="18">
        <f t="shared" si="18"/>
        <v>53368901.993415169</v>
      </c>
    </row>
    <row r="69" spans="2:16" ht="14.5" outlineLevel="1" x14ac:dyDescent="0.35">
      <c r="B69" s="43" t="s">
        <v>206</v>
      </c>
      <c r="C69" s="12"/>
      <c r="D69" s="53">
        <f>D65/D66</f>
        <v>2.2381652661885929</v>
      </c>
      <c r="E69" s="33"/>
      <c r="F69" s="50"/>
      <c r="G69" s="18"/>
      <c r="H69" s="51"/>
      <c r="I69" s="51"/>
      <c r="J69" s="51"/>
      <c r="K69" s="51"/>
      <c r="L69" s="51"/>
      <c r="M69" s="51"/>
      <c r="N69" s="51"/>
      <c r="O69" s="51"/>
      <c r="P69" s="51"/>
    </row>
    <row r="70" spans="2:16" ht="14.5" outlineLevel="1" x14ac:dyDescent="0.35">
      <c r="B70" s="43"/>
      <c r="C70" s="12"/>
      <c r="D70" s="35"/>
      <c r="E70" s="33"/>
      <c r="F70" s="50"/>
      <c r="G70" s="18"/>
      <c r="H70" s="51"/>
      <c r="I70" s="51"/>
      <c r="J70" s="51"/>
      <c r="K70" s="51"/>
      <c r="L70" s="51"/>
      <c r="M70" s="51"/>
      <c r="N70" s="51"/>
      <c r="O70" s="51"/>
      <c r="P70" s="51"/>
    </row>
    <row r="71" spans="2:16" ht="14.5" outlineLevel="1" x14ac:dyDescent="0.35">
      <c r="B71" s="38" t="s">
        <v>207</v>
      </c>
      <c r="C71" s="12"/>
      <c r="D71" s="35"/>
      <c r="E71" s="33"/>
      <c r="F71" s="50"/>
      <c r="G71" s="18"/>
      <c r="H71" s="51"/>
      <c r="I71" s="51"/>
      <c r="J71" s="51"/>
      <c r="K71" s="51"/>
      <c r="L71" s="51"/>
      <c r="M71" s="51"/>
      <c r="N71" s="51"/>
      <c r="O71" s="51"/>
      <c r="P71" s="51"/>
    </row>
    <row r="72" spans="2:16" ht="14.5" outlineLevel="1" x14ac:dyDescent="0.35">
      <c r="B72" s="43" t="s">
        <v>70</v>
      </c>
      <c r="C72" s="12"/>
      <c r="D72" s="18">
        <f>SUM(F72:P72)</f>
        <v>4063685.9485515226</v>
      </c>
      <c r="E72" s="33"/>
      <c r="F72" s="18">
        <f>IF(F63="","",F102+F120+F135+F142)</f>
        <v>0</v>
      </c>
      <c r="G72" s="18">
        <f>IF(G63="","",G102+G120+G135+G142)</f>
        <v>106143.06332785786</v>
      </c>
      <c r="H72" s="18">
        <f>IF(H63="","",H102+H120+H135+H142)</f>
        <v>122540.46332785788</v>
      </c>
      <c r="I72" s="18">
        <f>IF(I63="","",I102+I120+I135+C92)</f>
        <v>138122.01332785786</v>
      </c>
      <c r="J72" s="18">
        <f t="shared" ref="J72:P72" si="19">IF(J63="","",J102+J120+J135+J142)</f>
        <v>129791.91332785785</v>
      </c>
      <c r="K72" s="18">
        <f t="shared" si="19"/>
        <v>151681.56332785788</v>
      </c>
      <c r="L72" s="18">
        <f t="shared" si="19"/>
        <v>153348.31332785788</v>
      </c>
      <c r="M72" s="18">
        <f t="shared" si="19"/>
        <v>138380.66332785785</v>
      </c>
      <c r="N72" s="18">
        <f t="shared" si="19"/>
        <v>167569.91332785785</v>
      </c>
      <c r="O72" s="18">
        <f t="shared" si="19"/>
        <v>147218.4633278579</v>
      </c>
      <c r="P72" s="18">
        <f t="shared" si="19"/>
        <v>2808889.578600802</v>
      </c>
    </row>
    <row r="73" spans="2:16" ht="14.5" outlineLevel="1" x14ac:dyDescent="0.35">
      <c r="B73" s="43" t="s">
        <v>209</v>
      </c>
      <c r="C73" s="12"/>
      <c r="D73" s="18">
        <f>SUM(F73:P73)</f>
        <v>907816.32838750014</v>
      </c>
      <c r="E73" s="33"/>
      <c r="F73" s="18">
        <f t="shared" ref="F73:P73" si="20">IF(F63="","",SUM(F82:F83))</f>
        <v>0</v>
      </c>
      <c r="G73" s="18">
        <f t="shared" si="20"/>
        <v>90781.632838749996</v>
      </c>
      <c r="H73" s="18">
        <f t="shared" si="20"/>
        <v>90781.632838749996</v>
      </c>
      <c r="I73" s="18">
        <f t="shared" si="20"/>
        <v>90781.632838749996</v>
      </c>
      <c r="J73" s="18">
        <f t="shared" si="20"/>
        <v>90781.632838749996</v>
      </c>
      <c r="K73" s="18">
        <f t="shared" si="20"/>
        <v>90781.632838749996</v>
      </c>
      <c r="L73" s="18">
        <f t="shared" si="20"/>
        <v>90781.632838749996</v>
      </c>
      <c r="M73" s="18">
        <f t="shared" si="20"/>
        <v>90781.632838749996</v>
      </c>
      <c r="N73" s="18">
        <f t="shared" si="20"/>
        <v>90781.632838749996</v>
      </c>
      <c r="O73" s="18">
        <f t="shared" si="20"/>
        <v>90781.632838749996</v>
      </c>
      <c r="P73" s="18">
        <f t="shared" si="20"/>
        <v>90781.632838749996</v>
      </c>
    </row>
    <row r="74" spans="2:16" ht="14.5" outlineLevel="1" x14ac:dyDescent="0.35">
      <c r="B74" s="43" t="s">
        <v>210</v>
      </c>
      <c r="C74" s="12"/>
      <c r="D74" s="18">
        <f>SUM(F74:P74)</f>
        <v>1815632.6567750052</v>
      </c>
      <c r="E74" s="33"/>
      <c r="F74" s="18">
        <f t="shared" ref="F74:P74" si="21">IF(F63="","",-(MIN(F84,0)+F93))</f>
        <v>1815632.6567750052</v>
      </c>
      <c r="G74" s="18">
        <f t="shared" si="21"/>
        <v>0</v>
      </c>
      <c r="H74" s="18">
        <f t="shared" si="21"/>
        <v>0</v>
      </c>
      <c r="I74" s="18">
        <f t="shared" si="21"/>
        <v>0</v>
      </c>
      <c r="J74" s="18">
        <f t="shared" si="21"/>
        <v>0</v>
      </c>
      <c r="K74" s="18">
        <f t="shared" si="21"/>
        <v>0</v>
      </c>
      <c r="L74" s="18">
        <f t="shared" si="21"/>
        <v>0</v>
      </c>
      <c r="M74" s="18">
        <f t="shared" si="21"/>
        <v>0</v>
      </c>
      <c r="N74" s="18">
        <f t="shared" si="21"/>
        <v>0</v>
      </c>
      <c r="O74" s="18">
        <f t="shared" si="21"/>
        <v>0</v>
      </c>
      <c r="P74" s="18">
        <f t="shared" si="21"/>
        <v>0</v>
      </c>
    </row>
    <row r="75" spans="2:16" ht="14.5" outlineLevel="1" x14ac:dyDescent="0.35">
      <c r="B75" s="43" t="s">
        <v>220</v>
      </c>
      <c r="C75" s="12"/>
      <c r="D75" s="18">
        <f>+D72+D73-D74</f>
        <v>3155869.6201640172</v>
      </c>
      <c r="E75" s="33"/>
      <c r="F75" s="50"/>
      <c r="G75" s="18"/>
      <c r="H75" s="51"/>
      <c r="I75" s="51"/>
      <c r="J75" s="51"/>
      <c r="K75" s="51"/>
      <c r="L75" s="51"/>
      <c r="M75" s="51"/>
      <c r="N75" s="51"/>
      <c r="O75" s="51"/>
      <c r="P75" s="51"/>
    </row>
    <row r="76" spans="2:16" ht="14.5" outlineLevel="1" x14ac:dyDescent="0.35">
      <c r="B76" s="43" t="s">
        <v>212</v>
      </c>
      <c r="C76" s="12"/>
      <c r="D76" s="54">
        <f>IFERROR(IRR(F76:P76),"NA")</f>
        <v>0.14754039092428184</v>
      </c>
      <c r="E76" s="33"/>
      <c r="F76" s="18">
        <f t="shared" ref="F76:P76" si="22">IF(F63="","",(-F74)+F72+F73)</f>
        <v>-1815632.6567750052</v>
      </c>
      <c r="G76" s="18">
        <f t="shared" si="22"/>
        <v>196924.69616660784</v>
      </c>
      <c r="H76" s="18">
        <f t="shared" si="22"/>
        <v>213322.09616660787</v>
      </c>
      <c r="I76" s="18">
        <f t="shared" si="22"/>
        <v>228903.64616660785</v>
      </c>
      <c r="J76" s="18">
        <f t="shared" si="22"/>
        <v>220573.54616660785</v>
      </c>
      <c r="K76" s="18">
        <f t="shared" si="22"/>
        <v>242463.19616660787</v>
      </c>
      <c r="L76" s="18">
        <f t="shared" si="22"/>
        <v>244129.94616660787</v>
      </c>
      <c r="M76" s="18">
        <f t="shared" si="22"/>
        <v>229162.29616660785</v>
      </c>
      <c r="N76" s="18">
        <f t="shared" si="22"/>
        <v>258351.54616660785</v>
      </c>
      <c r="O76" s="18">
        <f t="shared" si="22"/>
        <v>238000.09616660789</v>
      </c>
      <c r="P76" s="18">
        <f t="shared" si="22"/>
        <v>2899671.2114395518</v>
      </c>
    </row>
    <row r="77" spans="2:16" ht="14.5" outlineLevel="1" x14ac:dyDescent="0.35">
      <c r="B77" s="43" t="s">
        <v>213</v>
      </c>
      <c r="C77" s="12"/>
      <c r="D77" s="55">
        <f>IFERROR(D72/D74,"NA")</f>
        <v>2.238165266188588</v>
      </c>
      <c r="E77" s="33"/>
      <c r="F77" s="39"/>
      <c r="G77" s="40"/>
      <c r="H77" s="41"/>
      <c r="I77" s="41"/>
      <c r="J77" s="42"/>
      <c r="K77" s="42"/>
      <c r="L77" s="42"/>
      <c r="M77" s="42"/>
      <c r="N77" s="42"/>
      <c r="O77" s="42"/>
      <c r="P77" s="42"/>
    </row>
    <row r="78" spans="2:16" ht="14.5" outlineLevel="1" x14ac:dyDescent="0.35">
      <c r="B78" s="56"/>
      <c r="C78" s="57"/>
      <c r="D78" s="58"/>
      <c r="E78" s="12"/>
      <c r="F78" s="42"/>
      <c r="G78" s="42"/>
      <c r="H78" s="42"/>
      <c r="I78" s="42"/>
      <c r="J78" s="42"/>
      <c r="K78" s="42"/>
      <c r="L78" s="42"/>
      <c r="M78" s="42"/>
      <c r="N78" s="42"/>
      <c r="O78" s="42"/>
      <c r="P78" s="42"/>
    </row>
    <row r="79" spans="2:16" ht="15.5" outlineLevel="1" x14ac:dyDescent="0.35">
      <c r="B79" s="90" t="s">
        <v>214</v>
      </c>
      <c r="C79" s="95"/>
      <c r="D79" s="95"/>
      <c r="E79" s="96"/>
      <c r="F79" s="94" t="s">
        <v>113</v>
      </c>
      <c r="G79" s="100">
        <f t="shared" ref="G79:P79" si="23">G$19</f>
        <v>1</v>
      </c>
      <c r="H79" s="100">
        <f t="shared" si="23"/>
        <v>2</v>
      </c>
      <c r="I79" s="100">
        <f t="shared" si="23"/>
        <v>3</v>
      </c>
      <c r="J79" s="100">
        <f t="shared" si="23"/>
        <v>4</v>
      </c>
      <c r="K79" s="100">
        <f t="shared" si="23"/>
        <v>5</v>
      </c>
      <c r="L79" s="100">
        <f t="shared" si="23"/>
        <v>6</v>
      </c>
      <c r="M79" s="100">
        <f t="shared" si="23"/>
        <v>7</v>
      </c>
      <c r="N79" s="100">
        <f t="shared" si="23"/>
        <v>8</v>
      </c>
      <c r="O79" s="100">
        <f t="shared" si="23"/>
        <v>9</v>
      </c>
      <c r="P79" s="100">
        <f t="shared" si="23"/>
        <v>10</v>
      </c>
    </row>
    <row r="80" spans="2:16" ht="14.5" outlineLevel="1" x14ac:dyDescent="0.35">
      <c r="B80" s="12"/>
      <c r="C80" s="12"/>
      <c r="D80" s="12"/>
      <c r="E80" s="42" t="s">
        <v>125</v>
      </c>
      <c r="F80" s="75">
        <f t="shared" ref="F80:P80" si="24">IF(F44="","",F44)</f>
        <v>44742</v>
      </c>
      <c r="G80" s="76">
        <f t="shared" si="24"/>
        <v>45107</v>
      </c>
      <c r="H80" s="76">
        <f t="shared" si="24"/>
        <v>45473</v>
      </c>
      <c r="I80" s="76">
        <f t="shared" si="24"/>
        <v>45838</v>
      </c>
      <c r="J80" s="76">
        <f t="shared" si="24"/>
        <v>46203</v>
      </c>
      <c r="K80" s="76">
        <f t="shared" si="24"/>
        <v>46568</v>
      </c>
      <c r="L80" s="76">
        <f t="shared" si="24"/>
        <v>46934</v>
      </c>
      <c r="M80" s="76">
        <f t="shared" si="24"/>
        <v>47299</v>
      </c>
      <c r="N80" s="76">
        <f t="shared" si="24"/>
        <v>47664</v>
      </c>
      <c r="O80" s="76">
        <f t="shared" si="24"/>
        <v>48029</v>
      </c>
      <c r="P80" s="76">
        <f t="shared" si="24"/>
        <v>48395</v>
      </c>
    </row>
    <row r="81" spans="2:16" ht="14.5" outlineLevel="1" x14ac:dyDescent="0.35">
      <c r="B81" s="62" t="s">
        <v>215</v>
      </c>
      <c r="C81" s="12"/>
      <c r="D81" s="12"/>
      <c r="E81" s="63"/>
      <c r="F81" s="77">
        <f t="shared" ref="F81:P81" si="25">IF(F45="","",F45)</f>
        <v>-36312653.135499999</v>
      </c>
      <c r="G81" s="77">
        <f t="shared" si="25"/>
        <v>2213642.8993959068</v>
      </c>
      <c r="H81" s="77">
        <f t="shared" si="25"/>
        <v>2541590.8993959068</v>
      </c>
      <c r="I81" s="77">
        <f t="shared" si="25"/>
        <v>2853221.8993959068</v>
      </c>
      <c r="J81" s="77">
        <f t="shared" si="25"/>
        <v>2686619.8993959068</v>
      </c>
      <c r="K81" s="77">
        <f t="shared" si="25"/>
        <v>3124412.8993959068</v>
      </c>
      <c r="L81" s="77">
        <f t="shared" si="25"/>
        <v>3157747.8993959068</v>
      </c>
      <c r="M81" s="77">
        <f t="shared" si="25"/>
        <v>2858394.8993959068</v>
      </c>
      <c r="N81" s="77">
        <f t="shared" si="25"/>
        <v>3442179.8993959068</v>
      </c>
      <c r="O81" s="77">
        <f t="shared" si="25"/>
        <v>3035150.8993959068</v>
      </c>
      <c r="P81" s="77">
        <f t="shared" si="25"/>
        <v>56268573.204854719</v>
      </c>
    </row>
    <row r="82" spans="2:16" ht="14.5" outlineLevel="1" x14ac:dyDescent="0.35">
      <c r="B82" s="78" t="str">
        <f>IF(B46="","",B46)</f>
        <v>Asset Management Fees</v>
      </c>
      <c r="C82" s="12"/>
      <c r="D82" s="12"/>
      <c r="E82" s="63"/>
      <c r="F82" s="77">
        <f t="shared" ref="F82:P82" si="26">IF(F46="","",F46)</f>
        <v>0</v>
      </c>
      <c r="G82" s="77">
        <f t="shared" si="26"/>
        <v>90781.632838749996</v>
      </c>
      <c r="H82" s="77">
        <f t="shared" si="26"/>
        <v>90781.632838749996</v>
      </c>
      <c r="I82" s="77">
        <f t="shared" si="26"/>
        <v>90781.632838749996</v>
      </c>
      <c r="J82" s="77">
        <f t="shared" si="26"/>
        <v>90781.632838749996</v>
      </c>
      <c r="K82" s="77">
        <f t="shared" si="26"/>
        <v>90781.632838749996</v>
      </c>
      <c r="L82" s="77">
        <f t="shared" si="26"/>
        <v>90781.632838749996</v>
      </c>
      <c r="M82" s="77">
        <f t="shared" si="26"/>
        <v>90781.632838749996</v>
      </c>
      <c r="N82" s="77">
        <f t="shared" si="26"/>
        <v>90781.632838749996</v>
      </c>
      <c r="O82" s="77">
        <f t="shared" si="26"/>
        <v>90781.632838749996</v>
      </c>
      <c r="P82" s="77">
        <f t="shared" si="26"/>
        <v>90781.632838749996</v>
      </c>
    </row>
    <row r="83" spans="2:16" ht="14.5" outlineLevel="1" x14ac:dyDescent="0.35">
      <c r="B83" s="78" t="str">
        <f>IF(B47="","",B47)</f>
        <v>Acquisition/Disposition Fees</v>
      </c>
      <c r="C83" s="12"/>
      <c r="D83" s="12"/>
      <c r="E83" s="63"/>
      <c r="F83" s="77">
        <f t="shared" ref="F83:P83" si="27">IF(F47="","",F47)</f>
        <v>0</v>
      </c>
      <c r="G83" s="77">
        <f t="shared" si="27"/>
        <v>0</v>
      </c>
      <c r="H83" s="77">
        <f t="shared" si="27"/>
        <v>0</v>
      </c>
      <c r="I83" s="77">
        <f t="shared" si="27"/>
        <v>0</v>
      </c>
      <c r="J83" s="77">
        <f t="shared" si="27"/>
        <v>0</v>
      </c>
      <c r="K83" s="77">
        <f t="shared" si="27"/>
        <v>0</v>
      </c>
      <c r="L83" s="77">
        <f t="shared" si="27"/>
        <v>0</v>
      </c>
      <c r="M83" s="77">
        <f t="shared" si="27"/>
        <v>0</v>
      </c>
      <c r="N83" s="77">
        <f t="shared" si="27"/>
        <v>0</v>
      </c>
      <c r="O83" s="77">
        <f t="shared" si="27"/>
        <v>0</v>
      </c>
      <c r="P83" s="77">
        <f t="shared" si="27"/>
        <v>0</v>
      </c>
    </row>
    <row r="84" spans="2:16" ht="14.5" outlineLevel="1" x14ac:dyDescent="0.35">
      <c r="B84" s="62" t="s">
        <v>217</v>
      </c>
      <c r="C84" s="12"/>
      <c r="D84" s="12"/>
      <c r="E84" s="63"/>
      <c r="F84" s="66">
        <f t="shared" ref="F84:P84" si="28">IF(F79="","",F81-F82-F83)</f>
        <v>-36312653.135499999</v>
      </c>
      <c r="G84" s="66">
        <f t="shared" si="28"/>
        <v>2122861.266557157</v>
      </c>
      <c r="H84" s="66">
        <f t="shared" si="28"/>
        <v>2450809.266557157</v>
      </c>
      <c r="I84" s="66">
        <f t="shared" si="28"/>
        <v>2762440.266557157</v>
      </c>
      <c r="J84" s="66">
        <f t="shared" si="28"/>
        <v>2595838.266557157</v>
      </c>
      <c r="K84" s="66">
        <f t="shared" si="28"/>
        <v>3033631.266557157</v>
      </c>
      <c r="L84" s="66">
        <f t="shared" si="28"/>
        <v>3066966.266557157</v>
      </c>
      <c r="M84" s="66">
        <f t="shared" si="28"/>
        <v>2767613.266557157</v>
      </c>
      <c r="N84" s="66">
        <f t="shared" si="28"/>
        <v>3351398.266557157</v>
      </c>
      <c r="O84" s="66">
        <f t="shared" si="28"/>
        <v>2944369.266557157</v>
      </c>
      <c r="P84" s="66">
        <f t="shared" si="28"/>
        <v>56177791.572015971</v>
      </c>
    </row>
    <row r="85" spans="2:16" ht="14.5" outlineLevel="1" x14ac:dyDescent="0.35">
      <c r="B85" s="12" t="s">
        <v>61</v>
      </c>
      <c r="C85" s="12"/>
      <c r="D85" s="12"/>
      <c r="E85" s="12"/>
      <c r="F85" s="41">
        <f>IRR(F84:P84)</f>
        <v>0.10385786908591887</v>
      </c>
      <c r="G85" s="42"/>
      <c r="H85" s="42"/>
      <c r="I85" s="42"/>
      <c r="J85" s="42"/>
      <c r="K85" s="42"/>
      <c r="L85" s="42"/>
      <c r="M85" s="42"/>
      <c r="N85" s="42"/>
      <c r="O85" s="42"/>
      <c r="P85" s="42"/>
    </row>
    <row r="86" spans="2:16" ht="14.5" outlineLevel="1" x14ac:dyDescent="0.35">
      <c r="B86" s="12" t="s">
        <v>79</v>
      </c>
      <c r="C86" s="12"/>
      <c r="D86" s="12"/>
      <c r="E86" s="12"/>
      <c r="F86" s="67">
        <f>SUMIF(F84:P84,"&gt;0")/-SUMIF(F84:P84,"&lt;0")</f>
        <v>2.2381652661885925</v>
      </c>
      <c r="G86" s="42"/>
      <c r="H86" s="42"/>
      <c r="I86" s="42"/>
      <c r="J86" s="42"/>
      <c r="K86" s="42"/>
      <c r="L86" s="42"/>
      <c r="M86" s="42"/>
      <c r="N86" s="42"/>
      <c r="O86" s="42"/>
      <c r="P86" s="42"/>
    </row>
    <row r="87" spans="2:16" ht="14.5" outlineLevel="1" x14ac:dyDescent="0.35">
      <c r="B87" s="12"/>
      <c r="C87" s="12"/>
      <c r="D87" s="12"/>
      <c r="E87" s="42"/>
      <c r="F87" s="68"/>
      <c r="G87" s="42"/>
      <c r="H87" s="42"/>
      <c r="I87" s="42"/>
      <c r="J87" s="42"/>
      <c r="K87" s="42"/>
      <c r="L87" s="42"/>
      <c r="M87" s="42"/>
      <c r="N87" s="42"/>
      <c r="O87" s="42"/>
      <c r="P87" s="68"/>
    </row>
    <row r="88" spans="2:16" ht="15.5" outlineLevel="1" x14ac:dyDescent="0.35">
      <c r="B88" s="90" t="s">
        <v>221</v>
      </c>
      <c r="C88" s="95"/>
      <c r="D88" s="95"/>
      <c r="E88" s="95"/>
      <c r="F88" s="94"/>
      <c r="G88" s="94"/>
      <c r="H88" s="94"/>
      <c r="I88" s="94"/>
      <c r="J88" s="94"/>
      <c r="K88" s="94"/>
      <c r="L88" s="94"/>
      <c r="M88" s="94"/>
      <c r="N88" s="94"/>
      <c r="O88" s="94"/>
      <c r="P88" s="94"/>
    </row>
    <row r="89" spans="2:16" ht="14.5" outlineLevel="1" x14ac:dyDescent="0.35">
      <c r="B89" s="92" t="s">
        <v>222</v>
      </c>
      <c r="C89" s="179">
        <f>E58</f>
        <v>0</v>
      </c>
      <c r="D89" s="95"/>
      <c r="E89" s="95"/>
      <c r="F89" s="94" t="s">
        <v>113</v>
      </c>
      <c r="G89" s="100">
        <f t="shared" ref="G89:P89" si="29">G$19</f>
        <v>1</v>
      </c>
      <c r="H89" s="100">
        <f t="shared" si="29"/>
        <v>2</v>
      </c>
      <c r="I89" s="100">
        <f t="shared" si="29"/>
        <v>3</v>
      </c>
      <c r="J89" s="100">
        <f t="shared" si="29"/>
        <v>4</v>
      </c>
      <c r="K89" s="100">
        <f t="shared" si="29"/>
        <v>5</v>
      </c>
      <c r="L89" s="100">
        <f t="shared" si="29"/>
        <v>6</v>
      </c>
      <c r="M89" s="100">
        <f t="shared" si="29"/>
        <v>7</v>
      </c>
      <c r="N89" s="100">
        <f t="shared" si="29"/>
        <v>8</v>
      </c>
      <c r="O89" s="100">
        <f t="shared" si="29"/>
        <v>9</v>
      </c>
      <c r="P89" s="100">
        <f t="shared" si="29"/>
        <v>10</v>
      </c>
    </row>
    <row r="90" spans="2:16" ht="14.5" outlineLevel="1" x14ac:dyDescent="0.35">
      <c r="B90" s="12" t="s">
        <v>223</v>
      </c>
      <c r="C90" s="12"/>
      <c r="D90" s="12"/>
      <c r="E90" s="12"/>
      <c r="F90" s="51">
        <f t="shared" ref="F90:P90" si="30">IF(F79="","",E95)</f>
        <v>0</v>
      </c>
      <c r="G90" s="51">
        <f t="shared" si="30"/>
        <v>34497020.478724994</v>
      </c>
      <c r="H90" s="51">
        <f t="shared" si="30"/>
        <v>32480302.275495693</v>
      </c>
      <c r="I90" s="51">
        <f t="shared" si="30"/>
        <v>30152033.472266395</v>
      </c>
      <c r="J90" s="51">
        <f t="shared" si="30"/>
        <v>27527715.219037097</v>
      </c>
      <c r="K90" s="51">
        <f t="shared" si="30"/>
        <v>25061668.865807798</v>
      </c>
      <c r="L90" s="51">
        <f t="shared" si="30"/>
        <v>22179719.162578497</v>
      </c>
      <c r="M90" s="51">
        <f t="shared" si="30"/>
        <v>19266101.209349196</v>
      </c>
      <c r="N90" s="51">
        <f t="shared" si="30"/>
        <v>16636868.606119897</v>
      </c>
      <c r="O90" s="51">
        <f t="shared" si="30"/>
        <v>13453040.252890598</v>
      </c>
      <c r="P90" s="51">
        <f t="shared" si="30"/>
        <v>10655889.4496613</v>
      </c>
    </row>
    <row r="91" spans="2:16" ht="14.5" outlineLevel="1" x14ac:dyDescent="0.35">
      <c r="B91" s="12" t="s">
        <v>224</v>
      </c>
      <c r="C91" s="12"/>
      <c r="D91" s="12"/>
      <c r="E91" s="12"/>
      <c r="F91" s="79" t="str">
        <f>IF(ROUND(SUM(G91:P91),0)=ROUND(SUM(F93:P93),0),"All Capital Returned","Capital Not Returned")</f>
        <v>All Capital Returned</v>
      </c>
      <c r="G91" s="51">
        <f t="shared" ref="G91:P91" si="31">IF(G79="","",G97-G92)</f>
        <v>2016718.203229299</v>
      </c>
      <c r="H91" s="51">
        <f t="shared" si="31"/>
        <v>2328268.8032292989</v>
      </c>
      <c r="I91" s="51">
        <f t="shared" si="31"/>
        <v>2624318.2532292991</v>
      </c>
      <c r="J91" s="51">
        <f t="shared" si="31"/>
        <v>2466046.3532292992</v>
      </c>
      <c r="K91" s="51">
        <f t="shared" si="31"/>
        <v>2881949.7032292993</v>
      </c>
      <c r="L91" s="51">
        <f t="shared" si="31"/>
        <v>2913617.9532292993</v>
      </c>
      <c r="M91" s="51">
        <f t="shared" si="31"/>
        <v>2629232.6032292992</v>
      </c>
      <c r="N91" s="51">
        <f t="shared" si="31"/>
        <v>3183828.3532292992</v>
      </c>
      <c r="O91" s="51">
        <f t="shared" si="31"/>
        <v>2797150.8032292989</v>
      </c>
      <c r="P91" s="51">
        <f t="shared" si="31"/>
        <v>10655889.4496613</v>
      </c>
    </row>
    <row r="92" spans="2:16" ht="14.5" outlineLevel="1" x14ac:dyDescent="0.35">
      <c r="B92" s="12" t="s">
        <v>225</v>
      </c>
      <c r="C92" s="12"/>
      <c r="D92" s="12"/>
      <c r="E92" s="12"/>
      <c r="F92" s="51">
        <f t="shared" ref="F92:K92" si="32">F90*Preferred_Return</f>
        <v>0</v>
      </c>
      <c r="G92" s="51">
        <f t="shared" si="32"/>
        <v>0</v>
      </c>
      <c r="H92" s="51">
        <f t="shared" si="32"/>
        <v>0</v>
      </c>
      <c r="I92" s="51">
        <f t="shared" si="32"/>
        <v>0</v>
      </c>
      <c r="J92" s="51">
        <f t="shared" si="32"/>
        <v>0</v>
      </c>
      <c r="K92" s="51">
        <f t="shared" si="32"/>
        <v>0</v>
      </c>
      <c r="L92" s="51">
        <v>0</v>
      </c>
      <c r="M92" s="51">
        <v>0</v>
      </c>
      <c r="N92" s="51">
        <v>0</v>
      </c>
      <c r="O92" s="51">
        <v>0</v>
      </c>
      <c r="P92" s="51">
        <f>IF(P90="","",IF($D$55="Equity Multiple",O93*$C89-O93,P90*Preferred_Return))</f>
        <v>0</v>
      </c>
    </row>
    <row r="93" spans="2:16" ht="14.5" outlineLevel="1" x14ac:dyDescent="0.35">
      <c r="B93" s="12" t="s">
        <v>226</v>
      </c>
      <c r="C93" s="12"/>
      <c r="D93" s="12"/>
      <c r="E93" s="12"/>
      <c r="F93" s="51">
        <f t="shared" ref="F93:P93" si="33">IF(F90="","",-MIN(0,F84*Equity_Share_LP))</f>
        <v>34497020.478724994</v>
      </c>
      <c r="G93" s="51">
        <f t="shared" si="33"/>
        <v>0</v>
      </c>
      <c r="H93" s="51">
        <f t="shared" si="33"/>
        <v>0</v>
      </c>
      <c r="I93" s="51">
        <f t="shared" si="33"/>
        <v>0</v>
      </c>
      <c r="J93" s="51">
        <f t="shared" si="33"/>
        <v>0</v>
      </c>
      <c r="K93" s="51">
        <f t="shared" si="33"/>
        <v>0</v>
      </c>
      <c r="L93" s="51">
        <f t="shared" si="33"/>
        <v>0</v>
      </c>
      <c r="M93" s="51">
        <f t="shared" si="33"/>
        <v>0</v>
      </c>
      <c r="N93" s="51">
        <f t="shared" si="33"/>
        <v>0</v>
      </c>
      <c r="O93" s="51">
        <f t="shared" si="33"/>
        <v>0</v>
      </c>
      <c r="P93" s="51">
        <f t="shared" si="33"/>
        <v>0</v>
      </c>
    </row>
    <row r="94" spans="2:16" ht="14.5" outlineLevel="1" x14ac:dyDescent="0.35">
      <c r="B94" s="12" t="s">
        <v>227</v>
      </c>
      <c r="C94" s="12"/>
      <c r="D94" s="12"/>
      <c r="E94" s="12"/>
      <c r="F94" s="51">
        <f>MAX(F84,F92)</f>
        <v>0</v>
      </c>
      <c r="G94" s="18">
        <f t="shared" ref="G94:P94" si="34">IF(G90="","",MIN(G90+G92,MAX(G84,0)*$I$14))</f>
        <v>2016718.203229299</v>
      </c>
      <c r="H94" s="18">
        <f t="shared" si="34"/>
        <v>2328268.8032292989</v>
      </c>
      <c r="I94" s="18">
        <f t="shared" si="34"/>
        <v>2624318.2532292991</v>
      </c>
      <c r="J94" s="18">
        <f t="shared" si="34"/>
        <v>2466046.3532292992</v>
      </c>
      <c r="K94" s="18">
        <f t="shared" si="34"/>
        <v>2881949.7032292993</v>
      </c>
      <c r="L94" s="18">
        <f t="shared" si="34"/>
        <v>2913617.9532292993</v>
      </c>
      <c r="M94" s="18">
        <f t="shared" si="34"/>
        <v>2629232.6032292992</v>
      </c>
      <c r="N94" s="18">
        <f t="shared" si="34"/>
        <v>3183828.3532292992</v>
      </c>
      <c r="O94" s="18">
        <f t="shared" si="34"/>
        <v>2797150.8032292989</v>
      </c>
      <c r="P94" s="18">
        <f t="shared" si="34"/>
        <v>10655889.4496613</v>
      </c>
    </row>
    <row r="95" spans="2:16" ht="14.5" outlineLevel="1" x14ac:dyDescent="0.35">
      <c r="B95" s="12" t="s">
        <v>228</v>
      </c>
      <c r="C95" s="12"/>
      <c r="D95" s="12"/>
      <c r="E95" s="12"/>
      <c r="F95" s="51">
        <f>F90+F93-F94</f>
        <v>34497020.478724994</v>
      </c>
      <c r="G95" s="51">
        <f t="shared" ref="G95:P95" si="35">IF(G90="","",G90+G92+G93-G94)</f>
        <v>32480302.275495693</v>
      </c>
      <c r="H95" s="51">
        <f t="shared" si="35"/>
        <v>30152033.472266395</v>
      </c>
      <c r="I95" s="51">
        <f t="shared" si="35"/>
        <v>27527715.219037097</v>
      </c>
      <c r="J95" s="51">
        <f t="shared" si="35"/>
        <v>25061668.865807798</v>
      </c>
      <c r="K95" s="51">
        <f t="shared" si="35"/>
        <v>22179719.162578497</v>
      </c>
      <c r="L95" s="51">
        <f t="shared" si="35"/>
        <v>19266101.209349196</v>
      </c>
      <c r="M95" s="51">
        <f t="shared" si="35"/>
        <v>16636868.606119897</v>
      </c>
      <c r="N95" s="51">
        <f t="shared" si="35"/>
        <v>13453040.252890598</v>
      </c>
      <c r="O95" s="51">
        <f t="shared" si="35"/>
        <v>10655889.4496613</v>
      </c>
      <c r="P95" s="51">
        <f t="shared" si="35"/>
        <v>0</v>
      </c>
    </row>
    <row r="96" spans="2:16" ht="14.5" outlineLevel="1" x14ac:dyDescent="0.35">
      <c r="B96" s="80" t="str">
        <f>IF(D55="Equity Multiple", "LP EMx Check","LP IRR Check")</f>
        <v>LP IRR Check</v>
      </c>
      <c r="C96" s="12"/>
      <c r="D96" s="12"/>
      <c r="E96" s="81">
        <f>IF($D$55="IRR",IRR(F96:P96),SUMIF(F96:P96,"&gt;0")/-SUMIF(F96:P96,"&lt;0"))</f>
        <v>-2.2204460492503131E-16</v>
      </c>
      <c r="F96" s="51">
        <f t="shared" ref="F96:P96" si="36">IF(F90="","",-F93+F94)</f>
        <v>-34497020.478724994</v>
      </c>
      <c r="G96" s="51">
        <f t="shared" si="36"/>
        <v>2016718.203229299</v>
      </c>
      <c r="H96" s="51">
        <f t="shared" si="36"/>
        <v>2328268.8032292989</v>
      </c>
      <c r="I96" s="51">
        <f t="shared" si="36"/>
        <v>2624318.2532292991</v>
      </c>
      <c r="J96" s="51">
        <f t="shared" si="36"/>
        <v>2466046.3532292992</v>
      </c>
      <c r="K96" s="51">
        <f t="shared" si="36"/>
        <v>2881949.7032292993</v>
      </c>
      <c r="L96" s="51">
        <f t="shared" si="36"/>
        <v>2913617.9532292993</v>
      </c>
      <c r="M96" s="51">
        <f t="shared" si="36"/>
        <v>2629232.6032292992</v>
      </c>
      <c r="N96" s="51">
        <f t="shared" si="36"/>
        <v>3183828.3532292992</v>
      </c>
      <c r="O96" s="51">
        <f t="shared" si="36"/>
        <v>2797150.8032292989</v>
      </c>
      <c r="P96" s="51">
        <f t="shared" si="36"/>
        <v>10655889.4496613</v>
      </c>
    </row>
    <row r="97" spans="2:16" ht="14.5" outlineLevel="1" x14ac:dyDescent="0.35">
      <c r="B97" s="12" t="s">
        <v>229</v>
      </c>
      <c r="C97" s="12"/>
      <c r="D97" s="12"/>
      <c r="E97" s="12"/>
      <c r="F97" s="51">
        <f>MAX(F84,F92)</f>
        <v>0</v>
      </c>
      <c r="G97" s="51">
        <f>IF(G90="","",MIN(G90+G92,MAX(G84,0)*$I$14))</f>
        <v>2016718.203229299</v>
      </c>
      <c r="H97" s="51">
        <f t="shared" ref="H97:P97" si="37">H94</f>
        <v>2328268.8032292989</v>
      </c>
      <c r="I97" s="51">
        <f t="shared" si="37"/>
        <v>2624318.2532292991</v>
      </c>
      <c r="J97" s="51">
        <f t="shared" si="37"/>
        <v>2466046.3532292992</v>
      </c>
      <c r="K97" s="51">
        <f t="shared" si="37"/>
        <v>2881949.7032292993</v>
      </c>
      <c r="L97" s="51">
        <f t="shared" si="37"/>
        <v>2913617.9532292993</v>
      </c>
      <c r="M97" s="51">
        <f t="shared" si="37"/>
        <v>2629232.6032292992</v>
      </c>
      <c r="N97" s="51">
        <f t="shared" si="37"/>
        <v>3183828.3532292992</v>
      </c>
      <c r="O97" s="51">
        <f t="shared" si="37"/>
        <v>2797150.8032292989</v>
      </c>
      <c r="P97" s="51">
        <f t="shared" si="37"/>
        <v>10655889.4496613</v>
      </c>
    </row>
    <row r="98" spans="2:16" ht="14.5" outlineLevel="1" x14ac:dyDescent="0.35">
      <c r="B98" s="12"/>
      <c r="C98" s="12"/>
      <c r="D98" s="12"/>
      <c r="E98" s="12"/>
      <c r="F98" s="51"/>
      <c r="G98" s="51"/>
      <c r="H98" s="51"/>
      <c r="I98" s="51"/>
      <c r="J98" s="51"/>
      <c r="K98" s="51"/>
      <c r="L98" s="51"/>
      <c r="M98" s="51"/>
      <c r="N98" s="51"/>
      <c r="O98" s="51"/>
      <c r="P98" s="51"/>
    </row>
    <row r="99" spans="2:16" ht="14.5" outlineLevel="1" x14ac:dyDescent="0.35">
      <c r="B99" s="12" t="s">
        <v>230</v>
      </c>
      <c r="C99" s="12"/>
      <c r="D99" s="12"/>
      <c r="E99" s="12"/>
      <c r="F99" s="51">
        <f t="shared" ref="F99:P99" si="38">IF(F79="","",E103)</f>
        <v>0</v>
      </c>
      <c r="G99" s="51">
        <f t="shared" si="38"/>
        <v>1815632.656775</v>
      </c>
      <c r="H99" s="51">
        <f t="shared" si="38"/>
        <v>1709489.5934471423</v>
      </c>
      <c r="I99" s="51">
        <f t="shared" si="38"/>
        <v>1586949.1301192844</v>
      </c>
      <c r="J99" s="51">
        <f t="shared" si="38"/>
        <v>1448827.1167914264</v>
      </c>
      <c r="K99" s="51">
        <f t="shared" si="38"/>
        <v>1319035.2034635686</v>
      </c>
      <c r="L99" s="51">
        <f t="shared" si="38"/>
        <v>1167353.6401357106</v>
      </c>
      <c r="M99" s="51">
        <f t="shared" si="38"/>
        <v>1014005.3268078527</v>
      </c>
      <c r="N99" s="51">
        <f t="shared" si="38"/>
        <v>875624.66347999487</v>
      </c>
      <c r="O99" s="51">
        <f t="shared" si="38"/>
        <v>708054.75015213701</v>
      </c>
      <c r="P99" s="51">
        <f t="shared" si="38"/>
        <v>560836.28682427912</v>
      </c>
    </row>
    <row r="100" spans="2:16" ht="14.5" outlineLevel="1" x14ac:dyDescent="0.35">
      <c r="B100" s="12" t="s">
        <v>231</v>
      </c>
      <c r="C100" s="12"/>
      <c r="D100" s="12"/>
      <c r="E100" s="12"/>
      <c r="F100" s="51">
        <v>0</v>
      </c>
      <c r="G100" s="51">
        <v>0</v>
      </c>
      <c r="H100" s="51">
        <v>0</v>
      </c>
      <c r="I100" s="51">
        <v>0</v>
      </c>
      <c r="J100" s="51">
        <v>0</v>
      </c>
      <c r="K100" s="51">
        <v>0</v>
      </c>
      <c r="L100" s="51">
        <v>0</v>
      </c>
      <c r="M100" s="51">
        <v>0</v>
      </c>
      <c r="N100" s="51">
        <v>0</v>
      </c>
      <c r="O100" s="51">
        <v>0</v>
      </c>
      <c r="P100" s="51">
        <v>0</v>
      </c>
    </row>
    <row r="101" spans="2:16" ht="14.5" outlineLevel="1" x14ac:dyDescent="0.35">
      <c r="B101" s="12" t="s">
        <v>232</v>
      </c>
      <c r="C101" s="12"/>
      <c r="D101" s="12"/>
      <c r="E101" s="12"/>
      <c r="F101" s="51">
        <f t="shared" ref="F101:P101" si="39">IF(F79="","",-MIN(0,F84*Equity_Share_GP))</f>
        <v>1815632.656775</v>
      </c>
      <c r="G101" s="51">
        <f t="shared" si="39"/>
        <v>0</v>
      </c>
      <c r="H101" s="51">
        <f t="shared" si="39"/>
        <v>0</v>
      </c>
      <c r="I101" s="51">
        <f t="shared" si="39"/>
        <v>0</v>
      </c>
      <c r="J101" s="51">
        <f t="shared" si="39"/>
        <v>0</v>
      </c>
      <c r="K101" s="51">
        <f t="shared" si="39"/>
        <v>0</v>
      </c>
      <c r="L101" s="51">
        <f t="shared" si="39"/>
        <v>0</v>
      </c>
      <c r="M101" s="51">
        <f t="shared" si="39"/>
        <v>0</v>
      </c>
      <c r="N101" s="51">
        <f t="shared" si="39"/>
        <v>0</v>
      </c>
      <c r="O101" s="51">
        <f t="shared" si="39"/>
        <v>0</v>
      </c>
      <c r="P101" s="51">
        <f t="shared" si="39"/>
        <v>0</v>
      </c>
    </row>
    <row r="102" spans="2:16" ht="14.5" outlineLevel="1" x14ac:dyDescent="0.35">
      <c r="B102" s="12" t="s">
        <v>233</v>
      </c>
      <c r="C102" s="12"/>
      <c r="D102" s="12"/>
      <c r="E102" s="12"/>
      <c r="F102" s="51">
        <f>IF(F79="","",IF(A4,MAX(MIN(F84-F97,F99+F100+F101),0),F94/$I$14*$H$14))</f>
        <v>0</v>
      </c>
      <c r="G102" s="18">
        <f>IF(G79="","",IF(A4,MAX(MIN(G84-G97,G99+G100+G101),0),G94/$I$14*$H$14))</f>
        <v>106143.06332785786</v>
      </c>
      <c r="H102" s="18">
        <f>IF(H79="","",IF(A4,MAX(MIN(H84-H97,H99+H100+H101),0),H94/$I$14*$H$14))</f>
        <v>122540.46332785785</v>
      </c>
      <c r="I102" s="18">
        <f>IF(I79="","",IF(A4,MAX(MIN(I84-I97,I99+I100+I101),0),I94/$I$14*$H$14))</f>
        <v>138122.01332785786</v>
      </c>
      <c r="J102" s="18">
        <f>IF(J79="","",IF(A4,MAX(MIN(J84-J97,J99+J100+J101),0),J94/$I$14*$H$14))</f>
        <v>129791.91332785785</v>
      </c>
      <c r="K102" s="18">
        <f>IF(K79="","",IF(A4,MAX(MIN(K84-K97,K99+K100+K101),0),K94/$I$14*$H$14))</f>
        <v>151681.56332785788</v>
      </c>
      <c r="L102" s="18">
        <f>IF(L79="","",IF(A4,MAX(MIN(L84-L97,L99+L100+L101),0),L94/$I$14*$H$14))</f>
        <v>153348.31332785788</v>
      </c>
      <c r="M102" s="18">
        <f>IF(M79="","",IF(A4,MAX(MIN(M84-M97,M99+M100+M101),0),M94/$I$14*$H$14))</f>
        <v>138380.66332785785</v>
      </c>
      <c r="N102" s="18">
        <f>IF(N79="","",IF(A4,MAX(MIN(N84-N97,N99+N100+N101),0),N94/$I$14*$H$14))</f>
        <v>167569.91332785785</v>
      </c>
      <c r="O102" s="18">
        <f>IF(O79="","",IF(A4,MAX(MIN(O84-O97,O99+O100+O101),0),O94/$I$14*$H$14))</f>
        <v>147218.46332785787</v>
      </c>
      <c r="P102" s="18">
        <f>IF(P79="","",IF(A4,MAX(MIN(P84-P97,P99+P100+P101),0),P94/$I$14*$H$14))</f>
        <v>560836.28682427888</v>
      </c>
    </row>
    <row r="103" spans="2:16" ht="14.5" outlineLevel="1" x14ac:dyDescent="0.35">
      <c r="B103" s="12" t="s">
        <v>234</v>
      </c>
      <c r="C103" s="12"/>
      <c r="D103" s="12"/>
      <c r="E103" s="12"/>
      <c r="F103" s="51">
        <f t="shared" ref="F103:P103" si="40">IF(F79="","",F99+F100+F101-F102)</f>
        <v>1815632.656775</v>
      </c>
      <c r="G103" s="18">
        <f t="shared" si="40"/>
        <v>1709489.5934471423</v>
      </c>
      <c r="H103" s="18">
        <f t="shared" si="40"/>
        <v>1586949.1301192844</v>
      </c>
      <c r="I103" s="18">
        <f t="shared" si="40"/>
        <v>1448827.1167914264</v>
      </c>
      <c r="J103" s="18">
        <f t="shared" si="40"/>
        <v>1319035.2034635686</v>
      </c>
      <c r="K103" s="18">
        <f t="shared" si="40"/>
        <v>1167353.6401357106</v>
      </c>
      <c r="L103" s="18">
        <f t="shared" si="40"/>
        <v>1014005.3268078527</v>
      </c>
      <c r="M103" s="18">
        <f t="shared" si="40"/>
        <v>875624.66347999487</v>
      </c>
      <c r="N103" s="18">
        <f t="shared" si="40"/>
        <v>708054.75015213701</v>
      </c>
      <c r="O103" s="18">
        <f t="shared" si="40"/>
        <v>560836.28682427912</v>
      </c>
      <c r="P103" s="18">
        <f t="shared" si="40"/>
        <v>2.3283064365386963E-10</v>
      </c>
    </row>
    <row r="104" spans="2:16" ht="14.5" outlineLevel="1" x14ac:dyDescent="0.35">
      <c r="B104" s="80" t="str">
        <f>IF(D55="Equity Multiple", "GP EMx Check","GP IRR Check")</f>
        <v>GP IRR Check</v>
      </c>
      <c r="C104" s="12"/>
      <c r="D104" s="12"/>
      <c r="E104" s="81">
        <f>IF($D$55="IRR",IFERROR(IRR(F104:P104),"NA"),SUMIF(F104:P104,"&gt;0")/-SUMIF(F104:P104,"&lt;0"))</f>
        <v>-2.2204460492503131E-16</v>
      </c>
      <c r="F104" s="51">
        <f t="shared" ref="F104:P104" si="41">IF(F79="","",-F101+F102)</f>
        <v>-1815632.656775</v>
      </c>
      <c r="G104" s="18">
        <f t="shared" si="41"/>
        <v>106143.06332785786</v>
      </c>
      <c r="H104" s="18">
        <f t="shared" si="41"/>
        <v>122540.46332785785</v>
      </c>
      <c r="I104" s="18">
        <f t="shared" si="41"/>
        <v>138122.01332785786</v>
      </c>
      <c r="J104" s="18">
        <f t="shared" si="41"/>
        <v>129791.91332785785</v>
      </c>
      <c r="K104" s="18">
        <f t="shared" si="41"/>
        <v>151681.56332785788</v>
      </c>
      <c r="L104" s="18">
        <f t="shared" si="41"/>
        <v>153348.31332785788</v>
      </c>
      <c r="M104" s="18">
        <f t="shared" si="41"/>
        <v>138380.66332785785</v>
      </c>
      <c r="N104" s="18">
        <f t="shared" si="41"/>
        <v>167569.91332785785</v>
      </c>
      <c r="O104" s="18">
        <f t="shared" si="41"/>
        <v>147218.46332785787</v>
      </c>
      <c r="P104" s="18">
        <f t="shared" si="41"/>
        <v>560836.28682427888</v>
      </c>
    </row>
    <row r="105" spans="2:16" ht="14.5" outlineLevel="1" x14ac:dyDescent="0.35">
      <c r="B105" s="12"/>
      <c r="C105" s="12"/>
      <c r="D105" s="12"/>
      <c r="E105" s="12"/>
      <c r="F105" s="51"/>
      <c r="G105" s="18"/>
      <c r="H105" s="18"/>
      <c r="I105" s="18"/>
      <c r="J105" s="18"/>
      <c r="K105" s="18"/>
      <c r="L105" s="18"/>
      <c r="M105" s="18"/>
      <c r="N105" s="18"/>
      <c r="O105" s="18"/>
      <c r="P105" s="18"/>
    </row>
    <row r="106" spans="2:16" ht="14.5" outlineLevel="1" x14ac:dyDescent="0.35">
      <c r="B106" s="12" t="str">
        <f>"Total Distributions ("&amp;B88&amp;")"</f>
        <v>Total Distributions (Tier 1 - Preferred Return + Return of Capital)</v>
      </c>
      <c r="C106" s="12"/>
      <c r="D106" s="12"/>
      <c r="E106" s="12"/>
      <c r="F106" s="51">
        <f t="shared" ref="F106:P106" si="42">IF(F90="","",F102+F97)</f>
        <v>0</v>
      </c>
      <c r="G106" s="51">
        <f t="shared" si="42"/>
        <v>2122861.266557157</v>
      </c>
      <c r="H106" s="51">
        <f t="shared" si="42"/>
        <v>2450809.2665571566</v>
      </c>
      <c r="I106" s="51">
        <f t="shared" si="42"/>
        <v>2762440.266557157</v>
      </c>
      <c r="J106" s="51">
        <f t="shared" si="42"/>
        <v>2595838.266557157</v>
      </c>
      <c r="K106" s="51">
        <f t="shared" si="42"/>
        <v>3033631.266557157</v>
      </c>
      <c r="L106" s="51">
        <f t="shared" si="42"/>
        <v>3066966.266557157</v>
      </c>
      <c r="M106" s="51">
        <f t="shared" si="42"/>
        <v>2767613.266557157</v>
      </c>
      <c r="N106" s="51">
        <f t="shared" si="42"/>
        <v>3351398.266557157</v>
      </c>
      <c r="O106" s="51">
        <f t="shared" si="42"/>
        <v>2944369.2665571566</v>
      </c>
      <c r="P106" s="51">
        <f t="shared" si="42"/>
        <v>11216725.736485578</v>
      </c>
    </row>
    <row r="107" spans="2:16" ht="14.5" outlineLevel="1" x14ac:dyDescent="0.35">
      <c r="B107" s="12" t="s">
        <v>235</v>
      </c>
      <c r="C107" s="12"/>
      <c r="D107" s="12"/>
      <c r="E107" s="12"/>
      <c r="F107" s="51">
        <f t="shared" ref="F107:P107" si="43">IF(F90="","",MAX(F84-F106,0))</f>
        <v>0</v>
      </c>
      <c r="G107" s="51">
        <f t="shared" si="43"/>
        <v>0</v>
      </c>
      <c r="H107" s="51">
        <f t="shared" si="43"/>
        <v>4.6566128730773926E-10</v>
      </c>
      <c r="I107" s="51">
        <f t="shared" si="43"/>
        <v>0</v>
      </c>
      <c r="J107" s="51">
        <f t="shared" si="43"/>
        <v>0</v>
      </c>
      <c r="K107" s="51">
        <f t="shared" si="43"/>
        <v>0</v>
      </c>
      <c r="L107" s="51">
        <f t="shared" si="43"/>
        <v>0</v>
      </c>
      <c r="M107" s="51">
        <f t="shared" si="43"/>
        <v>0</v>
      </c>
      <c r="N107" s="51">
        <f t="shared" si="43"/>
        <v>0</v>
      </c>
      <c r="O107" s="51">
        <f t="shared" si="43"/>
        <v>4.6566128730773926E-10</v>
      </c>
      <c r="P107" s="51">
        <f t="shared" si="43"/>
        <v>44961065.835530393</v>
      </c>
    </row>
    <row r="108" spans="2:16" ht="14.5" outlineLevel="1" x14ac:dyDescent="0.35">
      <c r="B108" s="12"/>
      <c r="C108" s="12"/>
      <c r="D108" s="12"/>
      <c r="E108" s="12"/>
      <c r="F108" s="42"/>
      <c r="G108" s="42"/>
      <c r="H108" s="42"/>
      <c r="I108" s="42"/>
      <c r="J108" s="42"/>
      <c r="K108" s="42"/>
      <c r="L108" s="42"/>
      <c r="M108" s="42"/>
      <c r="N108" s="42"/>
      <c r="O108" s="42"/>
      <c r="P108" s="42"/>
    </row>
    <row r="109" spans="2:16" ht="15.5" outlineLevel="1" x14ac:dyDescent="0.35">
      <c r="B109" s="71" t="s">
        <v>236</v>
      </c>
      <c r="C109" s="69"/>
      <c r="D109" s="69"/>
      <c r="E109" s="69"/>
      <c r="F109" s="70" t="s">
        <v>113</v>
      </c>
      <c r="G109" s="74">
        <f t="shared" ref="G109:P109" si="44">G$19</f>
        <v>1</v>
      </c>
      <c r="H109" s="74">
        <f t="shared" si="44"/>
        <v>2</v>
      </c>
      <c r="I109" s="74">
        <f t="shared" si="44"/>
        <v>3</v>
      </c>
      <c r="J109" s="74">
        <f t="shared" si="44"/>
        <v>4</v>
      </c>
      <c r="K109" s="74">
        <f t="shared" si="44"/>
        <v>5</v>
      </c>
      <c r="L109" s="74">
        <f t="shared" si="44"/>
        <v>6</v>
      </c>
      <c r="M109" s="74">
        <f t="shared" si="44"/>
        <v>7</v>
      </c>
      <c r="N109" s="74">
        <f t="shared" si="44"/>
        <v>8</v>
      </c>
      <c r="O109" s="74">
        <f t="shared" si="44"/>
        <v>9</v>
      </c>
      <c r="P109" s="74">
        <f t="shared" si="44"/>
        <v>10</v>
      </c>
    </row>
    <row r="110" spans="2:16" ht="14.5" outlineLevel="1" x14ac:dyDescent="0.35">
      <c r="B110" s="82" t="s">
        <v>222</v>
      </c>
      <c r="C110" s="83">
        <f>E59</f>
        <v>0</v>
      </c>
      <c r="D110" s="12"/>
      <c r="E110" s="12"/>
      <c r="F110" s="42"/>
      <c r="G110" s="84"/>
      <c r="H110" s="84"/>
      <c r="I110" s="84"/>
      <c r="J110" s="84"/>
      <c r="K110" s="84"/>
      <c r="L110" s="84"/>
      <c r="M110" s="84"/>
      <c r="N110" s="84"/>
      <c r="O110" s="84"/>
      <c r="P110" s="84"/>
    </row>
    <row r="111" spans="2:16" ht="14.5" outlineLevel="1" x14ac:dyDescent="0.35">
      <c r="B111" s="12" t="s">
        <v>223</v>
      </c>
      <c r="C111" s="12"/>
      <c r="D111" s="12"/>
      <c r="E111" s="12"/>
      <c r="F111" s="51">
        <f t="shared" ref="F111:P111" si="45">IF(F79="","",E116)</f>
        <v>0</v>
      </c>
      <c r="G111" s="51">
        <f t="shared" si="45"/>
        <v>34497020.478724994</v>
      </c>
      <c r="H111" s="51">
        <f t="shared" si="45"/>
        <v>32480302.275495693</v>
      </c>
      <c r="I111" s="51">
        <f t="shared" si="45"/>
        <v>30152033.472266395</v>
      </c>
      <c r="J111" s="51">
        <f t="shared" si="45"/>
        <v>27527715.219037097</v>
      </c>
      <c r="K111" s="51">
        <f t="shared" si="45"/>
        <v>25061668.865807798</v>
      </c>
      <c r="L111" s="51">
        <f t="shared" si="45"/>
        <v>22179719.162578497</v>
      </c>
      <c r="M111" s="51">
        <f t="shared" si="45"/>
        <v>19266101.209349196</v>
      </c>
      <c r="N111" s="51">
        <f t="shared" si="45"/>
        <v>16636868.606119897</v>
      </c>
      <c r="O111" s="51">
        <f t="shared" si="45"/>
        <v>13453040.252890598</v>
      </c>
      <c r="P111" s="51">
        <f t="shared" si="45"/>
        <v>10655889.4496613</v>
      </c>
    </row>
    <row r="112" spans="2:16" ht="14.5" outlineLevel="1" x14ac:dyDescent="0.35">
      <c r="B112" s="12" t="s">
        <v>237</v>
      </c>
      <c r="C112" s="12"/>
      <c r="D112" s="12"/>
      <c r="E112" s="12"/>
      <c r="F112" s="51">
        <f t="shared" ref="F112:K112" si="46">F111*Preferred_Return</f>
        <v>0</v>
      </c>
      <c r="G112" s="51">
        <f t="shared" si="46"/>
        <v>0</v>
      </c>
      <c r="H112" s="51">
        <f t="shared" si="46"/>
        <v>0</v>
      </c>
      <c r="I112" s="51">
        <f t="shared" si="46"/>
        <v>0</v>
      </c>
      <c r="J112" s="51">
        <f t="shared" si="46"/>
        <v>0</v>
      </c>
      <c r="K112" s="51">
        <f t="shared" si="46"/>
        <v>0</v>
      </c>
      <c r="L112" s="51">
        <v>0</v>
      </c>
      <c r="M112" s="51">
        <v>0</v>
      </c>
      <c r="N112" s="51">
        <v>0</v>
      </c>
      <c r="O112" s="51">
        <v>0</v>
      </c>
      <c r="P112" s="51">
        <f>IF(P111="","",IF($D$55="Equity Multiple",O113*$C110-O113,P111*$C110))</f>
        <v>0</v>
      </c>
    </row>
    <row r="113" spans="2:16" ht="14.5" outlineLevel="1" x14ac:dyDescent="0.35">
      <c r="B113" s="12" t="s">
        <v>226</v>
      </c>
      <c r="C113" s="12"/>
      <c r="D113" s="12"/>
      <c r="E113" s="12"/>
      <c r="F113" s="51">
        <f t="shared" ref="F113:P113" si="47">IF(F111="","",-MIN(0,F$49*Equity_Share_LP))</f>
        <v>34497020.478724994</v>
      </c>
      <c r="G113" s="51">
        <f t="shared" si="47"/>
        <v>0</v>
      </c>
      <c r="H113" s="51">
        <f t="shared" si="47"/>
        <v>0</v>
      </c>
      <c r="I113" s="51">
        <f t="shared" si="47"/>
        <v>0</v>
      </c>
      <c r="J113" s="51">
        <f t="shared" si="47"/>
        <v>0</v>
      </c>
      <c r="K113" s="51">
        <f t="shared" si="47"/>
        <v>0</v>
      </c>
      <c r="L113" s="51">
        <f t="shared" si="47"/>
        <v>0</v>
      </c>
      <c r="M113" s="51">
        <f t="shared" si="47"/>
        <v>0</v>
      </c>
      <c r="N113" s="51">
        <f t="shared" si="47"/>
        <v>0</v>
      </c>
      <c r="O113" s="51">
        <f t="shared" si="47"/>
        <v>0</v>
      </c>
      <c r="P113" s="51">
        <f t="shared" si="47"/>
        <v>0</v>
      </c>
    </row>
    <row r="114" spans="2:16" ht="14.5" outlineLevel="1" x14ac:dyDescent="0.35">
      <c r="B114" s="12" t="s">
        <v>238</v>
      </c>
      <c r="C114" s="12"/>
      <c r="D114" s="12"/>
      <c r="E114" s="12"/>
      <c r="F114" s="51">
        <f t="shared" ref="F114:P114" si="48">F97</f>
        <v>0</v>
      </c>
      <c r="G114" s="51">
        <f t="shared" si="48"/>
        <v>2016718.203229299</v>
      </c>
      <c r="H114" s="51">
        <f t="shared" si="48"/>
        <v>2328268.8032292989</v>
      </c>
      <c r="I114" s="51">
        <f t="shared" si="48"/>
        <v>2624318.2532292991</v>
      </c>
      <c r="J114" s="51">
        <f t="shared" si="48"/>
        <v>2466046.3532292992</v>
      </c>
      <c r="K114" s="51">
        <f t="shared" si="48"/>
        <v>2881949.7032292993</v>
      </c>
      <c r="L114" s="51">
        <f t="shared" si="48"/>
        <v>2913617.9532292993</v>
      </c>
      <c r="M114" s="51">
        <f t="shared" si="48"/>
        <v>2629232.6032292992</v>
      </c>
      <c r="N114" s="51">
        <f t="shared" si="48"/>
        <v>3183828.3532292992</v>
      </c>
      <c r="O114" s="51">
        <f t="shared" si="48"/>
        <v>2797150.8032292989</v>
      </c>
      <c r="P114" s="51">
        <f t="shared" si="48"/>
        <v>10655889.4496613</v>
      </c>
    </row>
    <row r="115" spans="2:16" ht="14.5" outlineLevel="1" x14ac:dyDescent="0.35">
      <c r="B115" s="12" t="str">
        <f>"Distributions to LP "&amp;B109</f>
        <v>Distributions to LP Tier 2</v>
      </c>
      <c r="C115" s="12"/>
      <c r="D115" s="12"/>
      <c r="E115" s="12"/>
      <c r="F115" s="51">
        <f t="shared" ref="F115:P115" si="49">IF(F111="","",MIN(F111+F112-F114,F107*$I$15))</f>
        <v>0</v>
      </c>
      <c r="G115" s="51">
        <f t="shared" si="49"/>
        <v>0</v>
      </c>
      <c r="H115" s="51">
        <f t="shared" si="49"/>
        <v>4.4237822294235227E-10</v>
      </c>
      <c r="I115" s="51">
        <f t="shared" si="49"/>
        <v>0</v>
      </c>
      <c r="J115" s="51">
        <f t="shared" si="49"/>
        <v>0</v>
      </c>
      <c r="K115" s="51">
        <f t="shared" si="49"/>
        <v>0</v>
      </c>
      <c r="L115" s="51">
        <f t="shared" si="49"/>
        <v>0</v>
      </c>
      <c r="M115" s="51">
        <f t="shared" si="49"/>
        <v>0</v>
      </c>
      <c r="N115" s="51">
        <f t="shared" si="49"/>
        <v>0</v>
      </c>
      <c r="O115" s="51">
        <f t="shared" si="49"/>
        <v>4.4237822294235227E-10</v>
      </c>
      <c r="P115" s="51">
        <f t="shared" si="49"/>
        <v>0</v>
      </c>
    </row>
    <row r="116" spans="2:16" ht="14.5" outlineLevel="1" x14ac:dyDescent="0.35">
      <c r="B116" s="12" t="s">
        <v>228</v>
      </c>
      <c r="C116" s="12"/>
      <c r="D116" s="12"/>
      <c r="E116" s="12"/>
      <c r="F116" s="51">
        <f>F111+F113-F115</f>
        <v>34497020.478724994</v>
      </c>
      <c r="G116" s="51">
        <f t="shared" ref="G116:P116" si="50">IF(G111="","",G111+G112+G113-G114-G115)</f>
        <v>32480302.275495693</v>
      </c>
      <c r="H116" s="51">
        <f t="shared" si="50"/>
        <v>30152033.472266395</v>
      </c>
      <c r="I116" s="51">
        <f t="shared" si="50"/>
        <v>27527715.219037097</v>
      </c>
      <c r="J116" s="51">
        <f t="shared" si="50"/>
        <v>25061668.865807798</v>
      </c>
      <c r="K116" s="51">
        <f t="shared" si="50"/>
        <v>22179719.162578497</v>
      </c>
      <c r="L116" s="51">
        <f t="shared" si="50"/>
        <v>19266101.209349196</v>
      </c>
      <c r="M116" s="51">
        <f t="shared" si="50"/>
        <v>16636868.606119897</v>
      </c>
      <c r="N116" s="51">
        <f t="shared" si="50"/>
        <v>13453040.252890598</v>
      </c>
      <c r="O116" s="51">
        <f t="shared" si="50"/>
        <v>10655889.4496613</v>
      </c>
      <c r="P116" s="51">
        <f t="shared" si="50"/>
        <v>0</v>
      </c>
    </row>
    <row r="117" spans="2:16" ht="14.5" outlineLevel="1" x14ac:dyDescent="0.35">
      <c r="B117" s="85">
        <f>C110</f>
        <v>0</v>
      </c>
      <c r="C117" s="12"/>
      <c r="D117" s="12"/>
      <c r="E117" s="81">
        <f>IF($D$55="IRR",IRR(F117:P117),SUMIF(F117:P117,"&gt;0")/-SUMIF(F117:P117,"&lt;0"))</f>
        <v>-2.2204460492503131E-16</v>
      </c>
      <c r="F117" s="51">
        <f>IF(F111="","",-F113+F115)</f>
        <v>-34497020.478724994</v>
      </c>
      <c r="G117" s="51">
        <f t="shared" ref="G117:P117" si="51">IF(G111="","",-G113+G114+G115)</f>
        <v>2016718.203229299</v>
      </c>
      <c r="H117" s="51">
        <f t="shared" si="51"/>
        <v>2328268.8032292994</v>
      </c>
      <c r="I117" s="51">
        <f t="shared" si="51"/>
        <v>2624318.2532292991</v>
      </c>
      <c r="J117" s="51">
        <f t="shared" si="51"/>
        <v>2466046.3532292992</v>
      </c>
      <c r="K117" s="51">
        <f t="shared" si="51"/>
        <v>2881949.7032292993</v>
      </c>
      <c r="L117" s="51">
        <f t="shared" si="51"/>
        <v>2913617.9532292993</v>
      </c>
      <c r="M117" s="51">
        <f t="shared" si="51"/>
        <v>2629232.6032292992</v>
      </c>
      <c r="N117" s="51">
        <f t="shared" si="51"/>
        <v>3183828.3532292992</v>
      </c>
      <c r="O117" s="51">
        <f t="shared" si="51"/>
        <v>2797150.8032292994</v>
      </c>
      <c r="P117" s="51">
        <f t="shared" si="51"/>
        <v>10655889.4496613</v>
      </c>
    </row>
    <row r="118" spans="2:16" ht="14.5" outlineLevel="1" x14ac:dyDescent="0.35">
      <c r="B118" s="7" t="s">
        <v>239</v>
      </c>
      <c r="C118" s="7" t="s">
        <v>239</v>
      </c>
      <c r="D118" s="7" t="s">
        <v>239</v>
      </c>
      <c r="E118" s="7" t="s">
        <v>239</v>
      </c>
      <c r="F118" s="86" t="str">
        <f t="shared" ref="F118:P118" si="52">IF(F111="","",".")</f>
        <v>.</v>
      </c>
      <c r="G118" s="86" t="str">
        <f t="shared" si="52"/>
        <v>.</v>
      </c>
      <c r="H118" s="86" t="str">
        <f t="shared" si="52"/>
        <v>.</v>
      </c>
      <c r="I118" s="86" t="str">
        <f t="shared" si="52"/>
        <v>.</v>
      </c>
      <c r="J118" s="86" t="str">
        <f t="shared" si="52"/>
        <v>.</v>
      </c>
      <c r="K118" s="86" t="str">
        <f t="shared" si="52"/>
        <v>.</v>
      </c>
      <c r="L118" s="86" t="str">
        <f t="shared" si="52"/>
        <v>.</v>
      </c>
      <c r="M118" s="86" t="str">
        <f t="shared" si="52"/>
        <v>.</v>
      </c>
      <c r="N118" s="86" t="str">
        <f t="shared" si="52"/>
        <v>.</v>
      </c>
      <c r="O118" s="86" t="str">
        <f t="shared" si="52"/>
        <v>.</v>
      </c>
      <c r="P118" s="86" t="str">
        <f t="shared" si="52"/>
        <v>.</v>
      </c>
    </row>
    <row r="119" spans="2:16" ht="14.5" outlineLevel="1" x14ac:dyDescent="0.35">
      <c r="B119" s="12" t="s">
        <v>229</v>
      </c>
      <c r="C119" s="12"/>
      <c r="D119" s="12"/>
      <c r="E119" s="12"/>
      <c r="F119" s="51">
        <f t="shared" ref="F119:P119" si="53">IF(F111="","",F115)</f>
        <v>0</v>
      </c>
      <c r="G119" s="51">
        <f t="shared" si="53"/>
        <v>0</v>
      </c>
      <c r="H119" s="51">
        <f t="shared" si="53"/>
        <v>4.4237822294235227E-10</v>
      </c>
      <c r="I119" s="51">
        <f t="shared" si="53"/>
        <v>0</v>
      </c>
      <c r="J119" s="51">
        <f t="shared" si="53"/>
        <v>0</v>
      </c>
      <c r="K119" s="51">
        <f t="shared" si="53"/>
        <v>0</v>
      </c>
      <c r="L119" s="51">
        <f t="shared" si="53"/>
        <v>0</v>
      </c>
      <c r="M119" s="51">
        <f t="shared" si="53"/>
        <v>0</v>
      </c>
      <c r="N119" s="51">
        <f t="shared" si="53"/>
        <v>0</v>
      </c>
      <c r="O119" s="51">
        <f t="shared" si="53"/>
        <v>4.4237822294235227E-10</v>
      </c>
      <c r="P119" s="51">
        <f t="shared" si="53"/>
        <v>0</v>
      </c>
    </row>
    <row r="120" spans="2:16" ht="14.5" outlineLevel="1" x14ac:dyDescent="0.35">
      <c r="B120" s="12" t="s">
        <v>233</v>
      </c>
      <c r="C120" s="12"/>
      <c r="D120" s="12"/>
      <c r="E120" s="12"/>
      <c r="F120" s="51">
        <f t="shared" ref="F120:P120" si="54">IF(F111="","",F119/$I$15*$H$15)</f>
        <v>0</v>
      </c>
      <c r="G120" s="51">
        <f t="shared" si="54"/>
        <v>0</v>
      </c>
      <c r="H120" s="51">
        <f t="shared" si="54"/>
        <v>2.3283064365386964E-11</v>
      </c>
      <c r="I120" s="51">
        <f t="shared" si="54"/>
        <v>0</v>
      </c>
      <c r="J120" s="51">
        <f t="shared" si="54"/>
        <v>0</v>
      </c>
      <c r="K120" s="51">
        <f t="shared" si="54"/>
        <v>0</v>
      </c>
      <c r="L120" s="51">
        <f t="shared" si="54"/>
        <v>0</v>
      </c>
      <c r="M120" s="51">
        <f t="shared" si="54"/>
        <v>0</v>
      </c>
      <c r="N120" s="51">
        <f t="shared" si="54"/>
        <v>0</v>
      </c>
      <c r="O120" s="51">
        <f t="shared" si="54"/>
        <v>2.3283064365386964E-11</v>
      </c>
      <c r="P120" s="51">
        <f t="shared" si="54"/>
        <v>0</v>
      </c>
    </row>
    <row r="121" spans="2:16" ht="14.5" outlineLevel="1" x14ac:dyDescent="0.35">
      <c r="B121" s="12" t="str">
        <f>"Total Distributions ("&amp;B109&amp;")"</f>
        <v>Total Distributions (Tier 2)</v>
      </c>
      <c r="C121" s="12"/>
      <c r="D121" s="12"/>
      <c r="E121" s="12"/>
      <c r="F121" s="51">
        <f t="shared" ref="F121:P121" si="55">IF(F111="","",F119+F120)</f>
        <v>0</v>
      </c>
      <c r="G121" s="51">
        <f t="shared" si="55"/>
        <v>0</v>
      </c>
      <c r="H121" s="51">
        <f t="shared" si="55"/>
        <v>4.6566128730773926E-10</v>
      </c>
      <c r="I121" s="51">
        <f t="shared" si="55"/>
        <v>0</v>
      </c>
      <c r="J121" s="51">
        <f t="shared" si="55"/>
        <v>0</v>
      </c>
      <c r="K121" s="51">
        <f t="shared" si="55"/>
        <v>0</v>
      </c>
      <c r="L121" s="51">
        <f t="shared" si="55"/>
        <v>0</v>
      </c>
      <c r="M121" s="51">
        <f t="shared" si="55"/>
        <v>0</v>
      </c>
      <c r="N121" s="51">
        <f t="shared" si="55"/>
        <v>0</v>
      </c>
      <c r="O121" s="51">
        <f t="shared" si="55"/>
        <v>4.6566128730773926E-10</v>
      </c>
      <c r="P121" s="51">
        <f t="shared" si="55"/>
        <v>0</v>
      </c>
    </row>
    <row r="122" spans="2:16" ht="14.5" outlineLevel="1" x14ac:dyDescent="0.35">
      <c r="B122" s="12" t="s">
        <v>235</v>
      </c>
      <c r="C122" s="12"/>
      <c r="D122" s="12"/>
      <c r="E122" s="12"/>
      <c r="F122" s="51">
        <f t="shared" ref="F122:P122" si="56">IF(F111="","",MAX(F$49-F106-F121,0))</f>
        <v>0</v>
      </c>
      <c r="G122" s="51">
        <f t="shared" si="56"/>
        <v>0</v>
      </c>
      <c r="H122" s="51">
        <f t="shared" si="56"/>
        <v>0</v>
      </c>
      <c r="I122" s="51">
        <f t="shared" si="56"/>
        <v>0</v>
      </c>
      <c r="J122" s="51">
        <f t="shared" si="56"/>
        <v>0</v>
      </c>
      <c r="K122" s="51">
        <f t="shared" si="56"/>
        <v>0</v>
      </c>
      <c r="L122" s="51">
        <f t="shared" si="56"/>
        <v>0</v>
      </c>
      <c r="M122" s="51">
        <f t="shared" si="56"/>
        <v>0</v>
      </c>
      <c r="N122" s="51">
        <f t="shared" si="56"/>
        <v>0</v>
      </c>
      <c r="O122" s="51">
        <f t="shared" si="56"/>
        <v>0</v>
      </c>
      <c r="P122" s="51">
        <f t="shared" si="56"/>
        <v>44961065.835530393</v>
      </c>
    </row>
    <row r="123" spans="2:16" ht="14.5" outlineLevel="1" x14ac:dyDescent="0.35">
      <c r="B123" s="12"/>
      <c r="C123" s="12"/>
      <c r="D123" s="12"/>
      <c r="E123" s="12"/>
      <c r="F123" s="42"/>
      <c r="G123" s="42"/>
      <c r="H123" s="42"/>
      <c r="I123" s="42"/>
      <c r="J123" s="42"/>
      <c r="K123" s="42"/>
      <c r="L123" s="42"/>
      <c r="M123" s="42"/>
      <c r="N123" s="42"/>
      <c r="O123" s="42"/>
      <c r="P123" s="42"/>
    </row>
    <row r="124" spans="2:16" ht="15.5" outlineLevel="1" x14ac:dyDescent="0.35">
      <c r="B124" s="90" t="s">
        <v>240</v>
      </c>
      <c r="C124" s="95"/>
      <c r="D124" s="95"/>
      <c r="E124" s="95"/>
      <c r="F124" s="94" t="s">
        <v>113</v>
      </c>
      <c r="G124" s="100">
        <f t="shared" ref="G124:P124" si="57">G$19</f>
        <v>1</v>
      </c>
      <c r="H124" s="100">
        <f t="shared" si="57"/>
        <v>2</v>
      </c>
      <c r="I124" s="100">
        <f t="shared" si="57"/>
        <v>3</v>
      </c>
      <c r="J124" s="100">
        <f t="shared" si="57"/>
        <v>4</v>
      </c>
      <c r="K124" s="100">
        <f t="shared" si="57"/>
        <v>5</v>
      </c>
      <c r="L124" s="100">
        <f t="shared" si="57"/>
        <v>6</v>
      </c>
      <c r="M124" s="100">
        <f t="shared" si="57"/>
        <v>7</v>
      </c>
      <c r="N124" s="100">
        <f t="shared" si="57"/>
        <v>8</v>
      </c>
      <c r="O124" s="100">
        <f t="shared" si="57"/>
        <v>9</v>
      </c>
      <c r="P124" s="100">
        <f t="shared" si="57"/>
        <v>10</v>
      </c>
    </row>
    <row r="125" spans="2:16" ht="14.5" outlineLevel="1" x14ac:dyDescent="0.35">
      <c r="B125" s="82" t="s">
        <v>222</v>
      </c>
      <c r="C125" s="83">
        <f>E60</f>
        <v>0</v>
      </c>
      <c r="D125" s="12"/>
      <c r="E125" s="12"/>
      <c r="F125" s="42"/>
      <c r="G125" s="84"/>
      <c r="H125" s="84"/>
      <c r="I125" s="84"/>
      <c r="J125" s="84"/>
      <c r="K125" s="84"/>
      <c r="L125" s="84"/>
      <c r="M125" s="84"/>
      <c r="N125" s="84"/>
      <c r="O125" s="84"/>
      <c r="P125" s="84"/>
    </row>
    <row r="126" spans="2:16" ht="14.5" outlineLevel="1" x14ac:dyDescent="0.35">
      <c r="B126" s="12" t="s">
        <v>223</v>
      </c>
      <c r="C126" s="12"/>
      <c r="D126" s="12"/>
      <c r="E126" s="12"/>
      <c r="F126" s="51">
        <f t="shared" ref="F126:P126" si="58">IF(F102="","",E131)</f>
        <v>0</v>
      </c>
      <c r="G126" s="51">
        <f t="shared" si="58"/>
        <v>34497020.478724994</v>
      </c>
      <c r="H126" s="51">
        <f t="shared" si="58"/>
        <v>32480302.275495693</v>
      </c>
      <c r="I126" s="51">
        <f t="shared" si="58"/>
        <v>30152033.472266395</v>
      </c>
      <c r="J126" s="51">
        <f t="shared" si="58"/>
        <v>27527715.219037097</v>
      </c>
      <c r="K126" s="51">
        <f t="shared" si="58"/>
        <v>25061668.865807798</v>
      </c>
      <c r="L126" s="51">
        <f t="shared" si="58"/>
        <v>22179719.162578497</v>
      </c>
      <c r="M126" s="51">
        <f t="shared" si="58"/>
        <v>19266101.209349196</v>
      </c>
      <c r="N126" s="51">
        <f t="shared" si="58"/>
        <v>16636868.606119897</v>
      </c>
      <c r="O126" s="51">
        <f t="shared" si="58"/>
        <v>13453040.252890598</v>
      </c>
      <c r="P126" s="51">
        <f t="shared" si="58"/>
        <v>10655889.4496613</v>
      </c>
    </row>
    <row r="127" spans="2:16" ht="14.5" outlineLevel="1" x14ac:dyDescent="0.35">
      <c r="B127" s="12" t="s">
        <v>241</v>
      </c>
      <c r="C127" s="12"/>
      <c r="D127" s="12"/>
      <c r="E127" s="12"/>
      <c r="F127" s="51">
        <f t="shared" ref="F127:K127" si="59">F126*Preferred_Return</f>
        <v>0</v>
      </c>
      <c r="G127" s="51">
        <f t="shared" si="59"/>
        <v>0</v>
      </c>
      <c r="H127" s="51">
        <f t="shared" si="59"/>
        <v>0</v>
      </c>
      <c r="I127" s="51">
        <f t="shared" si="59"/>
        <v>0</v>
      </c>
      <c r="J127" s="51">
        <f t="shared" si="59"/>
        <v>0</v>
      </c>
      <c r="K127" s="51">
        <f t="shared" si="59"/>
        <v>0</v>
      </c>
      <c r="L127" s="51">
        <v>0</v>
      </c>
      <c r="M127" s="51">
        <v>0</v>
      </c>
      <c r="N127" s="51">
        <v>0</v>
      </c>
      <c r="O127" s="51">
        <v>0</v>
      </c>
      <c r="P127" s="51">
        <f>IF(P126="","",IF($D$55="Equity Multiple",O128*$C125-O128,P126*$C125))</f>
        <v>0</v>
      </c>
    </row>
    <row r="128" spans="2:16" ht="14.5" outlineLevel="1" x14ac:dyDescent="0.35">
      <c r="B128" s="12" t="s">
        <v>226</v>
      </c>
      <c r="C128" s="12"/>
      <c r="D128" s="12"/>
      <c r="E128" s="12"/>
      <c r="F128" s="51">
        <f t="shared" ref="F128:P128" si="60">IF(F126="","",-MIN(0,F$49*Equity_Share_LP))</f>
        <v>34497020.478724994</v>
      </c>
      <c r="G128" s="51">
        <f t="shared" si="60"/>
        <v>0</v>
      </c>
      <c r="H128" s="51">
        <f t="shared" si="60"/>
        <v>0</v>
      </c>
      <c r="I128" s="51">
        <f t="shared" si="60"/>
        <v>0</v>
      </c>
      <c r="J128" s="51">
        <f t="shared" si="60"/>
        <v>0</v>
      </c>
      <c r="K128" s="51">
        <f t="shared" si="60"/>
        <v>0</v>
      </c>
      <c r="L128" s="51">
        <f t="shared" si="60"/>
        <v>0</v>
      </c>
      <c r="M128" s="51">
        <f t="shared" si="60"/>
        <v>0</v>
      </c>
      <c r="N128" s="51">
        <f t="shared" si="60"/>
        <v>0</v>
      </c>
      <c r="O128" s="51">
        <f t="shared" si="60"/>
        <v>0</v>
      </c>
      <c r="P128" s="51">
        <f t="shared" si="60"/>
        <v>0</v>
      </c>
    </row>
    <row r="129" spans="2:16" ht="14.5" outlineLevel="1" x14ac:dyDescent="0.35">
      <c r="B129" s="12" t="s">
        <v>238</v>
      </c>
      <c r="C129" s="12"/>
      <c r="D129" s="12"/>
      <c r="E129" s="12"/>
      <c r="F129" s="51">
        <f t="shared" ref="F129:P129" si="61">IF(F126="","",F119+F97)</f>
        <v>0</v>
      </c>
      <c r="G129" s="51">
        <f t="shared" si="61"/>
        <v>2016718.203229299</v>
      </c>
      <c r="H129" s="51">
        <f t="shared" si="61"/>
        <v>2328268.8032292994</v>
      </c>
      <c r="I129" s="51">
        <f t="shared" si="61"/>
        <v>2624318.2532292991</v>
      </c>
      <c r="J129" s="51">
        <f t="shared" si="61"/>
        <v>2466046.3532292992</v>
      </c>
      <c r="K129" s="51">
        <f t="shared" si="61"/>
        <v>2881949.7032292993</v>
      </c>
      <c r="L129" s="51">
        <f t="shared" si="61"/>
        <v>2913617.9532292993</v>
      </c>
      <c r="M129" s="51">
        <f t="shared" si="61"/>
        <v>2629232.6032292992</v>
      </c>
      <c r="N129" s="51">
        <f t="shared" si="61"/>
        <v>3183828.3532292992</v>
      </c>
      <c r="O129" s="51">
        <f t="shared" si="61"/>
        <v>2797150.8032292994</v>
      </c>
      <c r="P129" s="51">
        <f t="shared" si="61"/>
        <v>10655889.4496613</v>
      </c>
    </row>
    <row r="130" spans="2:16" ht="14.5" outlineLevel="1" x14ac:dyDescent="0.35">
      <c r="B130" s="12" t="str">
        <f>"Distributions to LP "&amp;B124</f>
        <v>Distributions to LP Tier 3</v>
      </c>
      <c r="C130" s="12"/>
      <c r="D130" s="12"/>
      <c r="E130" s="12"/>
      <c r="F130" s="51">
        <f t="shared" ref="F130:P130" si="62">IF(F126="","",MIN(F126+F127-F129,F122*$I$16))</f>
        <v>0</v>
      </c>
      <c r="G130" s="51">
        <f t="shared" si="62"/>
        <v>0</v>
      </c>
      <c r="H130" s="51">
        <f t="shared" si="62"/>
        <v>0</v>
      </c>
      <c r="I130" s="51">
        <f t="shared" si="62"/>
        <v>0</v>
      </c>
      <c r="J130" s="51">
        <f t="shared" si="62"/>
        <v>0</v>
      </c>
      <c r="K130" s="51">
        <f t="shared" si="62"/>
        <v>0</v>
      </c>
      <c r="L130" s="51">
        <f t="shared" si="62"/>
        <v>0</v>
      </c>
      <c r="M130" s="51">
        <f t="shared" si="62"/>
        <v>0</v>
      </c>
      <c r="N130" s="51">
        <f t="shared" si="62"/>
        <v>0</v>
      </c>
      <c r="O130" s="51">
        <f t="shared" si="62"/>
        <v>0</v>
      </c>
      <c r="P130" s="51">
        <f t="shared" si="62"/>
        <v>0</v>
      </c>
    </row>
    <row r="131" spans="2:16" ht="14.5" outlineLevel="1" x14ac:dyDescent="0.35">
      <c r="B131" s="12" t="s">
        <v>228</v>
      </c>
      <c r="C131" s="12"/>
      <c r="D131" s="12"/>
      <c r="E131" s="12"/>
      <c r="F131" s="51">
        <f>F126+F128-F130</f>
        <v>34497020.478724994</v>
      </c>
      <c r="G131" s="51">
        <f t="shared" ref="G131:P131" si="63">IF(G126="","",G126+G127+G128-G129-G130)</f>
        <v>32480302.275495693</v>
      </c>
      <c r="H131" s="51">
        <f t="shared" si="63"/>
        <v>30152033.472266395</v>
      </c>
      <c r="I131" s="51">
        <f t="shared" si="63"/>
        <v>27527715.219037097</v>
      </c>
      <c r="J131" s="51">
        <f t="shared" si="63"/>
        <v>25061668.865807798</v>
      </c>
      <c r="K131" s="51">
        <f t="shared" si="63"/>
        <v>22179719.162578497</v>
      </c>
      <c r="L131" s="51">
        <f t="shared" si="63"/>
        <v>19266101.209349196</v>
      </c>
      <c r="M131" s="51">
        <f t="shared" si="63"/>
        <v>16636868.606119897</v>
      </c>
      <c r="N131" s="51">
        <f t="shared" si="63"/>
        <v>13453040.252890598</v>
      </c>
      <c r="O131" s="51">
        <f t="shared" si="63"/>
        <v>10655889.4496613</v>
      </c>
      <c r="P131" s="51">
        <f t="shared" si="63"/>
        <v>0</v>
      </c>
    </row>
    <row r="132" spans="2:16" ht="14.5" outlineLevel="1" x14ac:dyDescent="0.35">
      <c r="B132" s="85">
        <f>C125</f>
        <v>0</v>
      </c>
      <c r="C132" s="12"/>
      <c r="D132" s="12"/>
      <c r="E132" s="81">
        <f>IF($D$55="IRR",IRR(F132:P132),SUMIF(F132:P132,"&gt;0")/-SUMIF(F132:P132,"&lt;0"))</f>
        <v>-2.2204460492503131E-16</v>
      </c>
      <c r="F132" s="51">
        <f>IF(F126="","",-F128+F130)</f>
        <v>-34497020.478724994</v>
      </c>
      <c r="G132" s="51">
        <f t="shared" ref="G132:P132" si="64">IF(G126="","",-G128+G129+G130)</f>
        <v>2016718.203229299</v>
      </c>
      <c r="H132" s="51">
        <f t="shared" si="64"/>
        <v>2328268.8032292994</v>
      </c>
      <c r="I132" s="51">
        <f t="shared" si="64"/>
        <v>2624318.2532292991</v>
      </c>
      <c r="J132" s="51">
        <f t="shared" si="64"/>
        <v>2466046.3532292992</v>
      </c>
      <c r="K132" s="51">
        <f t="shared" si="64"/>
        <v>2881949.7032292993</v>
      </c>
      <c r="L132" s="51">
        <f t="shared" si="64"/>
        <v>2913617.9532292993</v>
      </c>
      <c r="M132" s="51">
        <f t="shared" si="64"/>
        <v>2629232.6032292992</v>
      </c>
      <c r="N132" s="51">
        <f t="shared" si="64"/>
        <v>3183828.3532292992</v>
      </c>
      <c r="O132" s="51">
        <f t="shared" si="64"/>
        <v>2797150.8032292994</v>
      </c>
      <c r="P132" s="51">
        <f t="shared" si="64"/>
        <v>10655889.4496613</v>
      </c>
    </row>
    <row r="133" spans="2:16" ht="14.5" outlineLevel="1" x14ac:dyDescent="0.35">
      <c r="B133" s="7" t="s">
        <v>239</v>
      </c>
      <c r="C133" s="7" t="s">
        <v>239</v>
      </c>
      <c r="D133" s="7" t="s">
        <v>239</v>
      </c>
      <c r="E133" s="7" t="s">
        <v>239</v>
      </c>
      <c r="F133" s="86" t="str">
        <f t="shared" ref="F133:P133" si="65">IF(F126="","",".")</f>
        <v>.</v>
      </c>
      <c r="G133" s="86" t="str">
        <f t="shared" si="65"/>
        <v>.</v>
      </c>
      <c r="H133" s="86" t="str">
        <f t="shared" si="65"/>
        <v>.</v>
      </c>
      <c r="I133" s="86" t="str">
        <f t="shared" si="65"/>
        <v>.</v>
      </c>
      <c r="J133" s="86" t="str">
        <f t="shared" si="65"/>
        <v>.</v>
      </c>
      <c r="K133" s="86" t="str">
        <f t="shared" si="65"/>
        <v>.</v>
      </c>
      <c r="L133" s="86" t="str">
        <f t="shared" si="65"/>
        <v>.</v>
      </c>
      <c r="M133" s="86" t="str">
        <f t="shared" si="65"/>
        <v>.</v>
      </c>
      <c r="N133" s="86" t="str">
        <f t="shared" si="65"/>
        <v>.</v>
      </c>
      <c r="O133" s="86" t="str">
        <f t="shared" si="65"/>
        <v>.</v>
      </c>
      <c r="P133" s="86" t="str">
        <f t="shared" si="65"/>
        <v>.</v>
      </c>
    </row>
    <row r="134" spans="2:16" ht="14.5" outlineLevel="1" x14ac:dyDescent="0.35">
      <c r="B134" s="12" t="s">
        <v>229</v>
      </c>
      <c r="C134" s="12"/>
      <c r="D134" s="12"/>
      <c r="E134" s="12"/>
      <c r="F134" s="51">
        <f t="shared" ref="F134:P134" si="66">IF(F126="","",F130)</f>
        <v>0</v>
      </c>
      <c r="G134" s="51">
        <f t="shared" si="66"/>
        <v>0</v>
      </c>
      <c r="H134" s="51">
        <f t="shared" si="66"/>
        <v>0</v>
      </c>
      <c r="I134" s="51">
        <f t="shared" si="66"/>
        <v>0</v>
      </c>
      <c r="J134" s="51">
        <f t="shared" si="66"/>
        <v>0</v>
      </c>
      <c r="K134" s="51">
        <f t="shared" si="66"/>
        <v>0</v>
      </c>
      <c r="L134" s="51">
        <f t="shared" si="66"/>
        <v>0</v>
      </c>
      <c r="M134" s="51">
        <f t="shared" si="66"/>
        <v>0</v>
      </c>
      <c r="N134" s="51">
        <f t="shared" si="66"/>
        <v>0</v>
      </c>
      <c r="O134" s="51">
        <f t="shared" si="66"/>
        <v>0</v>
      </c>
      <c r="P134" s="51">
        <f t="shared" si="66"/>
        <v>0</v>
      </c>
    </row>
    <row r="135" spans="2:16" ht="14.5" outlineLevel="1" x14ac:dyDescent="0.35">
      <c r="B135" s="12" t="s">
        <v>233</v>
      </c>
      <c r="C135" s="12"/>
      <c r="D135" s="12"/>
      <c r="E135" s="12"/>
      <c r="F135" s="51">
        <f t="shared" ref="F135:P135" si="67">IF(F126="","",F134/$I$16*$H$16)</f>
        <v>0</v>
      </c>
      <c r="G135" s="51">
        <f t="shared" si="67"/>
        <v>0</v>
      </c>
      <c r="H135" s="51">
        <f t="shared" si="67"/>
        <v>0</v>
      </c>
      <c r="I135" s="51">
        <f t="shared" si="67"/>
        <v>0</v>
      </c>
      <c r="J135" s="51">
        <f t="shared" si="67"/>
        <v>0</v>
      </c>
      <c r="K135" s="51">
        <f t="shared" si="67"/>
        <v>0</v>
      </c>
      <c r="L135" s="51">
        <f t="shared" si="67"/>
        <v>0</v>
      </c>
      <c r="M135" s="51">
        <f t="shared" si="67"/>
        <v>0</v>
      </c>
      <c r="N135" s="51">
        <f t="shared" si="67"/>
        <v>0</v>
      </c>
      <c r="O135" s="51">
        <f t="shared" si="67"/>
        <v>0</v>
      </c>
      <c r="P135" s="51">
        <f t="shared" si="67"/>
        <v>0</v>
      </c>
    </row>
    <row r="136" spans="2:16" ht="14.5" outlineLevel="1" x14ac:dyDescent="0.35">
      <c r="B136" s="12" t="str">
        <f>"Total Distributions ("&amp;B124&amp;")"</f>
        <v>Total Distributions (Tier 3)</v>
      </c>
      <c r="C136" s="12"/>
      <c r="D136" s="12"/>
      <c r="E136" s="12"/>
      <c r="F136" s="51">
        <f t="shared" ref="F136:P136" si="68">IF(F126="","",F134+F135)</f>
        <v>0</v>
      </c>
      <c r="G136" s="51">
        <f t="shared" si="68"/>
        <v>0</v>
      </c>
      <c r="H136" s="51">
        <f t="shared" si="68"/>
        <v>0</v>
      </c>
      <c r="I136" s="51">
        <f t="shared" si="68"/>
        <v>0</v>
      </c>
      <c r="J136" s="51">
        <f t="shared" si="68"/>
        <v>0</v>
      </c>
      <c r="K136" s="51">
        <f t="shared" si="68"/>
        <v>0</v>
      </c>
      <c r="L136" s="51">
        <f t="shared" si="68"/>
        <v>0</v>
      </c>
      <c r="M136" s="51">
        <f t="shared" si="68"/>
        <v>0</v>
      </c>
      <c r="N136" s="51">
        <f t="shared" si="68"/>
        <v>0</v>
      </c>
      <c r="O136" s="51">
        <f t="shared" si="68"/>
        <v>0</v>
      </c>
      <c r="P136" s="51">
        <f t="shared" si="68"/>
        <v>0</v>
      </c>
    </row>
    <row r="137" spans="2:16" ht="14.5" outlineLevel="1" x14ac:dyDescent="0.35">
      <c r="B137" s="12" t="s">
        <v>235</v>
      </c>
      <c r="C137" s="12"/>
      <c r="D137" s="12"/>
      <c r="E137" s="12"/>
      <c r="F137" s="51">
        <f t="shared" ref="F137:P137" si="69">IF(F126="","",MAX(F$49-F106-F121-F136,0))</f>
        <v>0</v>
      </c>
      <c r="G137" s="51">
        <f t="shared" si="69"/>
        <v>0</v>
      </c>
      <c r="H137" s="51">
        <f t="shared" si="69"/>
        <v>0</v>
      </c>
      <c r="I137" s="51">
        <f t="shared" si="69"/>
        <v>0</v>
      </c>
      <c r="J137" s="51">
        <f t="shared" si="69"/>
        <v>0</v>
      </c>
      <c r="K137" s="51">
        <f t="shared" si="69"/>
        <v>0</v>
      </c>
      <c r="L137" s="51">
        <f t="shared" si="69"/>
        <v>0</v>
      </c>
      <c r="M137" s="51">
        <f t="shared" si="69"/>
        <v>0</v>
      </c>
      <c r="N137" s="51">
        <f t="shared" si="69"/>
        <v>0</v>
      </c>
      <c r="O137" s="51">
        <f t="shared" si="69"/>
        <v>0</v>
      </c>
      <c r="P137" s="51">
        <f t="shared" si="69"/>
        <v>44961065.835530393</v>
      </c>
    </row>
    <row r="138" spans="2:16" ht="14.5" outlineLevel="1" x14ac:dyDescent="0.35">
      <c r="B138" s="12"/>
      <c r="C138" s="12"/>
      <c r="D138" s="12"/>
      <c r="E138" s="12"/>
      <c r="F138" s="42"/>
      <c r="G138" s="42"/>
      <c r="H138" s="42"/>
      <c r="I138" s="42"/>
      <c r="J138" s="42"/>
      <c r="K138" s="42"/>
      <c r="L138" s="42"/>
      <c r="M138" s="42"/>
      <c r="N138" s="42"/>
      <c r="O138" s="42"/>
      <c r="P138" s="42"/>
    </row>
    <row r="139" spans="2:16" ht="15.5" outlineLevel="1" x14ac:dyDescent="0.35">
      <c r="B139" s="90" t="s">
        <v>242</v>
      </c>
      <c r="C139" s="95"/>
      <c r="D139" s="95"/>
      <c r="E139" s="95"/>
      <c r="F139" s="94" t="s">
        <v>113</v>
      </c>
      <c r="G139" s="100">
        <f t="shared" ref="G139:P139" si="70">G$19</f>
        <v>1</v>
      </c>
      <c r="H139" s="100">
        <f t="shared" si="70"/>
        <v>2</v>
      </c>
      <c r="I139" s="100">
        <f t="shared" si="70"/>
        <v>3</v>
      </c>
      <c r="J139" s="100">
        <f t="shared" si="70"/>
        <v>4</v>
      </c>
      <c r="K139" s="100">
        <f t="shared" si="70"/>
        <v>5</v>
      </c>
      <c r="L139" s="100">
        <f t="shared" si="70"/>
        <v>6</v>
      </c>
      <c r="M139" s="100">
        <f t="shared" si="70"/>
        <v>7</v>
      </c>
      <c r="N139" s="100">
        <f t="shared" si="70"/>
        <v>8</v>
      </c>
      <c r="O139" s="100">
        <f t="shared" si="70"/>
        <v>9</v>
      </c>
      <c r="P139" s="100">
        <f t="shared" si="70"/>
        <v>10</v>
      </c>
    </row>
    <row r="140" spans="2:16" ht="14.5" outlineLevel="1" x14ac:dyDescent="0.35">
      <c r="B140" s="82" t="s">
        <v>243</v>
      </c>
      <c r="C140" s="83">
        <f>C125</f>
        <v>0</v>
      </c>
      <c r="D140" s="12"/>
      <c r="E140" s="12"/>
      <c r="F140" s="42"/>
      <c r="G140" s="84"/>
      <c r="H140" s="84"/>
      <c r="I140" s="84"/>
      <c r="J140" s="84"/>
      <c r="K140" s="84"/>
      <c r="L140" s="84"/>
      <c r="M140" s="84"/>
      <c r="N140" s="84"/>
      <c r="O140" s="84"/>
      <c r="P140" s="84"/>
    </row>
    <row r="141" spans="2:16" ht="14.5" outlineLevel="1" x14ac:dyDescent="0.35">
      <c r="B141" s="12" t="s">
        <v>229</v>
      </c>
      <c r="C141" s="12"/>
      <c r="D141" s="12"/>
      <c r="E141" s="12"/>
      <c r="F141" s="51">
        <f t="shared" ref="F141:P141" si="71">IF(F126="","",F137*$I$17)</f>
        <v>0</v>
      </c>
      <c r="G141" s="51">
        <f t="shared" si="71"/>
        <v>0</v>
      </c>
      <c r="H141" s="51">
        <f t="shared" si="71"/>
        <v>0</v>
      </c>
      <c r="I141" s="51">
        <f t="shared" si="71"/>
        <v>0</v>
      </c>
      <c r="J141" s="51">
        <f t="shared" si="71"/>
        <v>0</v>
      </c>
      <c r="K141" s="51">
        <f t="shared" si="71"/>
        <v>0</v>
      </c>
      <c r="L141" s="51">
        <f t="shared" si="71"/>
        <v>0</v>
      </c>
      <c r="M141" s="51">
        <f t="shared" si="71"/>
        <v>0</v>
      </c>
      <c r="N141" s="51">
        <f t="shared" si="71"/>
        <v>0</v>
      </c>
      <c r="O141" s="51">
        <f t="shared" si="71"/>
        <v>0</v>
      </c>
      <c r="P141" s="51">
        <f t="shared" si="71"/>
        <v>42713012.54375387</v>
      </c>
    </row>
    <row r="142" spans="2:16" ht="14.5" outlineLevel="1" x14ac:dyDescent="0.35">
      <c r="B142" s="12" t="s">
        <v>233</v>
      </c>
      <c r="C142" s="12"/>
      <c r="D142" s="12"/>
      <c r="E142" s="12"/>
      <c r="F142" s="51">
        <f>IF(F141="","",F137-F141)</f>
        <v>0</v>
      </c>
      <c r="G142" s="51">
        <f>IF(G141="","",G137-G141)</f>
        <v>0</v>
      </c>
      <c r="H142" s="51">
        <f>IF(H141="","",H137-H141)</f>
        <v>0</v>
      </c>
      <c r="I142" s="51">
        <f>IF(I141="","",I137-I141)</f>
        <v>0</v>
      </c>
      <c r="J142" s="51">
        <f t="shared" ref="J142:P142" si="72">IF(J141="","",J137-J141)</f>
        <v>0</v>
      </c>
      <c r="K142" s="51">
        <f t="shared" si="72"/>
        <v>0</v>
      </c>
      <c r="L142" s="51">
        <f t="shared" si="72"/>
        <v>0</v>
      </c>
      <c r="M142" s="51">
        <f t="shared" si="72"/>
        <v>0</v>
      </c>
      <c r="N142" s="51">
        <f t="shared" si="72"/>
        <v>0</v>
      </c>
      <c r="O142" s="51">
        <f t="shared" si="72"/>
        <v>0</v>
      </c>
      <c r="P142" s="51">
        <f t="shared" si="72"/>
        <v>2248053.291776523</v>
      </c>
    </row>
    <row r="143" spans="2:16" ht="14.5" outlineLevel="1" x14ac:dyDescent="0.35">
      <c r="B143" s="12" t="str">
        <f>"Total Distributions ("&amp;B139&amp;")"</f>
        <v>Total Distributions (Tier 4)</v>
      </c>
      <c r="C143" s="12"/>
      <c r="D143" s="12"/>
      <c r="E143" s="12"/>
      <c r="F143" s="51">
        <f>IF(F141="","",F141+F142)</f>
        <v>0</v>
      </c>
      <c r="G143" s="51">
        <f>IF(G141="","",G141+G142)</f>
        <v>0</v>
      </c>
      <c r="H143" s="51">
        <f>IF(H141="","",H141+H142)</f>
        <v>0</v>
      </c>
      <c r="I143" s="51">
        <f>IF(I141="","",I141+I142)</f>
        <v>0</v>
      </c>
      <c r="J143" s="51">
        <f t="shared" ref="J143:P143" si="73">IF(J141="","",J141+J142)</f>
        <v>0</v>
      </c>
      <c r="K143" s="51">
        <f t="shared" si="73"/>
        <v>0</v>
      </c>
      <c r="L143" s="51">
        <f t="shared" si="73"/>
        <v>0</v>
      </c>
      <c r="M143" s="51">
        <f t="shared" si="73"/>
        <v>0</v>
      </c>
      <c r="N143" s="51">
        <f t="shared" si="73"/>
        <v>0</v>
      </c>
      <c r="O143" s="51">
        <f t="shared" si="73"/>
        <v>0</v>
      </c>
      <c r="P143" s="51">
        <f t="shared" si="73"/>
        <v>44961065.835530393</v>
      </c>
    </row>
    <row r="144" spans="2:16" ht="14.5" outlineLevel="1" x14ac:dyDescent="0.35">
      <c r="B144" s="12" t="s">
        <v>235</v>
      </c>
      <c r="C144" s="12"/>
      <c r="D144" s="12"/>
      <c r="E144" s="12"/>
      <c r="F144" s="51">
        <f>IF(F141="","",F137-F143)</f>
        <v>0</v>
      </c>
      <c r="G144" s="51">
        <f>IF(G141="","",G137-G143)</f>
        <v>0</v>
      </c>
      <c r="H144" s="51">
        <f>IF(H141="","",H137-H143)</f>
        <v>0</v>
      </c>
      <c r="I144" s="51">
        <f>IF(I141="","",I137-I143)</f>
        <v>0</v>
      </c>
      <c r="J144" s="51">
        <f t="shared" ref="J144:P144" si="74">IF(J141="","",J137-J143)</f>
        <v>0</v>
      </c>
      <c r="K144" s="51">
        <f t="shared" si="74"/>
        <v>0</v>
      </c>
      <c r="L144" s="51">
        <f t="shared" si="74"/>
        <v>0</v>
      </c>
      <c r="M144" s="51">
        <f t="shared" si="74"/>
        <v>0</v>
      </c>
      <c r="N144" s="51">
        <f t="shared" si="74"/>
        <v>0</v>
      </c>
      <c r="O144" s="51">
        <f t="shared" si="74"/>
        <v>0</v>
      </c>
      <c r="P144" s="51">
        <f t="shared" si="74"/>
        <v>0</v>
      </c>
    </row>
  </sheetData>
  <sheetProtection formatCells="0" formatColumns="0" formatRows="0" insertColumns="0" insertRows="0" insertHyperlinks="0" deleteColumns="0" deleteRows="0" selectLockedCells="1" sort="0" autoFilter="0" pivotTables="0"/>
  <mergeCells count="12">
    <mergeCell ref="J59:N59"/>
    <mergeCell ref="J60:N60"/>
    <mergeCell ref="J61:N61"/>
    <mergeCell ref="F12:G13"/>
    <mergeCell ref="H12:I12"/>
    <mergeCell ref="J14:N14"/>
    <mergeCell ref="J15:N15"/>
    <mergeCell ref="J16:N16"/>
    <mergeCell ref="J17:N17"/>
    <mergeCell ref="F56:G57"/>
    <mergeCell ref="H56:I56"/>
    <mergeCell ref="J58:N58"/>
  </mergeCells>
  <conditionalFormatting sqref="C14:C17">
    <cfRule type="expression" dxfId="5" priority="3">
      <formula>$D$4="IRR"</formula>
    </cfRule>
  </conditionalFormatting>
  <conditionalFormatting sqref="D14:D17">
    <cfRule type="expression" dxfId="4" priority="5">
      <formula>$D$4="Equity Multiple"</formula>
    </cfRule>
  </conditionalFormatting>
  <conditionalFormatting sqref="E5">
    <cfRule type="expression" dxfId="3" priority="1">
      <formula>$H$14&gt;=$C$8</formula>
    </cfRule>
  </conditionalFormatting>
  <conditionalFormatting sqref="E14:E16">
    <cfRule type="expression" dxfId="2" priority="4">
      <formula>$D$4="Equity Multiple"</formula>
    </cfRule>
  </conditionalFormatting>
  <conditionalFormatting sqref="E14:E17 J14:N17">
    <cfRule type="expression" dxfId="1" priority="2">
      <formula>$D$4="IRR + Emx"</formula>
    </cfRule>
  </conditionalFormatting>
  <conditionalFormatting sqref="L8">
    <cfRule type="expression" dxfId="0" priority="6">
      <formula>$L$8="OK"</formula>
    </cfRule>
  </conditionalFormatting>
  <dataValidations count="2">
    <dataValidation type="list" allowBlank="1" showInputMessage="1" showErrorMessage="1" sqref="D55" xr:uid="{F279E279-DC2E-45A5-9C11-32883DDC871E}">
      <formula1>"IRR"</formula1>
    </dataValidation>
    <dataValidation type="list" allowBlank="1" showInputMessage="1" showErrorMessage="1" sqref="E5" xr:uid="{017C9EC1-CF7B-40E2-8D82-34E9BF5624EB}">
      <formula1>"Yes, No"</formula1>
    </dataValidation>
  </dataValidations>
  <pageMargins left="0.7" right="0.7" top="0.75" bottom="0.75" header="0.3" footer="0.3"/>
  <pageSetup scale="25" orientation="landscape" horizontalDpi="4294967294" verticalDpi="1200" r:id="rId1"/>
  <headerFooter>
    <oddFooter>&amp;LCONFIDENTIAL&amp;RNEWMARK</oddFooter>
  </headerFooter>
  <ignoredErrors>
    <ignoredError sqref="F80:K84 F46:J49 D61:E61 D59:D60 F45 L81:P84 K46:K49 L46:P49 G45:P45" unlockedFormula="1"/>
    <ignoredError sqref="E59:E60" formula="1" unlockedFormula="1"/>
    <ignoredError sqref="I65:I72"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8C46-D18E-426A-875E-B6901FA0EB6E}">
  <sheetPr codeName="Sheet5">
    <tabColor theme="5" tint="0.59999389629810485"/>
  </sheetPr>
  <dimension ref="B1:V89"/>
  <sheetViews>
    <sheetView topLeftCell="A13" zoomScale="87" zoomScaleNormal="55" workbookViewId="0">
      <selection activeCell="E25" sqref="E25"/>
    </sheetView>
  </sheetViews>
  <sheetFormatPr defaultColWidth="8.7265625" defaultRowHeight="14.5" x14ac:dyDescent="0.35"/>
  <cols>
    <col min="1" max="1" width="2.453125" style="12" customWidth="1"/>
    <col min="2" max="2" width="47.81640625" style="12" bestFit="1" customWidth="1"/>
    <col min="3" max="7" width="14.54296875" style="12" customWidth="1"/>
    <col min="8" max="8" width="12.81640625" style="12" bestFit="1" customWidth="1"/>
    <col min="9" max="9" width="17.54296875" style="12" bestFit="1" customWidth="1"/>
    <col min="10" max="10" width="4.6328125" style="12" customWidth="1"/>
    <col min="11" max="11" width="8.7265625" style="12" customWidth="1"/>
    <col min="12" max="12" width="26.7265625" style="12" bestFit="1" customWidth="1"/>
    <col min="13" max="17" width="11.1796875" style="12" customWidth="1"/>
    <col min="18" max="18" width="13.1796875" style="12" bestFit="1" customWidth="1"/>
    <col min="19" max="22" width="12.54296875" style="12" customWidth="1"/>
    <col min="23" max="23" width="4.54296875" style="12" customWidth="1"/>
    <col min="24" max="16384" width="8.7265625" style="12"/>
  </cols>
  <sheetData>
    <row r="1" spans="2:22" ht="15" thickBot="1" x14ac:dyDescent="0.4"/>
    <row r="2" spans="2:22" ht="15" thickBot="1" x14ac:dyDescent="0.4">
      <c r="B2" s="105" t="s">
        <v>244</v>
      </c>
      <c r="C2" s="107"/>
      <c r="D2" s="107"/>
      <c r="E2" s="107"/>
      <c r="F2" s="107"/>
      <c r="G2" s="107"/>
      <c r="H2" s="107"/>
      <c r="I2" s="108"/>
      <c r="M2" s="391"/>
      <c r="N2" s="391"/>
      <c r="O2" s="391"/>
      <c r="P2" s="391"/>
      <c r="Q2" s="391"/>
      <c r="R2" s="391"/>
      <c r="S2" s="391"/>
      <c r="T2" s="391"/>
      <c r="U2" s="391"/>
      <c r="V2" s="391"/>
    </row>
    <row r="3" spans="2:22" ht="15" thickBot="1" x14ac:dyDescent="0.4">
      <c r="B3" s="162" t="str">
        <f>Summary!E4</f>
        <v>131 Kent Road, New Milford, CT 06776</v>
      </c>
      <c r="C3" s="160"/>
      <c r="D3" s="160"/>
      <c r="E3" s="160"/>
      <c r="F3" s="160"/>
      <c r="G3" s="160"/>
      <c r="H3" s="160"/>
      <c r="I3" s="161"/>
      <c r="M3" s="392"/>
      <c r="N3" s="392"/>
      <c r="O3" s="392"/>
      <c r="P3" s="392"/>
      <c r="Q3" s="392"/>
      <c r="R3" s="393"/>
      <c r="S3" s="393"/>
      <c r="T3" s="393"/>
      <c r="U3" s="393"/>
      <c r="V3" s="393"/>
    </row>
    <row r="4" spans="2:22" x14ac:dyDescent="0.35">
      <c r="B4" s="165"/>
      <c r="C4" s="166"/>
      <c r="D4" s="166"/>
      <c r="E4" s="166"/>
      <c r="F4" s="166"/>
      <c r="G4" s="166"/>
      <c r="H4" s="166"/>
      <c r="I4" s="167"/>
    </row>
    <row r="5" spans="2:22" x14ac:dyDescent="0.35">
      <c r="B5" s="156" t="s">
        <v>245</v>
      </c>
      <c r="C5" s="475" t="s">
        <v>5</v>
      </c>
      <c r="D5" s="475" t="s">
        <v>246</v>
      </c>
      <c r="E5" s="475" t="s">
        <v>247</v>
      </c>
      <c r="F5" s="475"/>
      <c r="G5" s="475" t="s">
        <v>248</v>
      </c>
      <c r="H5" s="475" t="s">
        <v>249</v>
      </c>
      <c r="I5" s="437" t="s">
        <v>402</v>
      </c>
    </row>
    <row r="6" spans="2:22" x14ac:dyDescent="0.35">
      <c r="B6" s="417"/>
      <c r="C6" s="128"/>
      <c r="D6" s="128"/>
      <c r="E6" s="128"/>
      <c r="F6" s="128"/>
      <c r="G6" s="128"/>
      <c r="H6" s="128"/>
      <c r="I6" s="129"/>
    </row>
    <row r="7" spans="2:22" x14ac:dyDescent="0.35">
      <c r="B7" s="154" t="s">
        <v>250</v>
      </c>
      <c r="C7" s="435">
        <v>4668</v>
      </c>
      <c r="D7" s="478">
        <v>43313</v>
      </c>
      <c r="E7" s="447">
        <v>46446</v>
      </c>
      <c r="F7" s="500">
        <f ca="1">_xlfn.DAYS(E7,TODAY())/365</f>
        <v>0.9726027397260274</v>
      </c>
      <c r="G7" s="436">
        <v>34.64</v>
      </c>
      <c r="H7" s="396">
        <v>0.02</v>
      </c>
      <c r="I7" s="397"/>
    </row>
    <row r="8" spans="2:22" x14ac:dyDescent="0.35">
      <c r="B8" s="154" t="s">
        <v>251</v>
      </c>
      <c r="C8" s="435">
        <v>1500</v>
      </c>
      <c r="D8" s="478">
        <v>43923</v>
      </c>
      <c r="E8" s="447">
        <v>47907</v>
      </c>
      <c r="F8" s="500">
        <f ca="1">_xlfn.DAYS(E8,TODAY())/365</f>
        <v>4.9753424657534246</v>
      </c>
      <c r="G8" s="436">
        <v>25.35</v>
      </c>
      <c r="H8" s="396">
        <v>0.02</v>
      </c>
      <c r="I8" s="397"/>
      <c r="J8" s="395"/>
    </row>
    <row r="9" spans="2:22" x14ac:dyDescent="0.35">
      <c r="B9" s="154" t="s">
        <v>252</v>
      </c>
      <c r="C9" s="435">
        <v>3545</v>
      </c>
      <c r="D9" s="478">
        <v>41031</v>
      </c>
      <c r="E9" s="447">
        <v>47817</v>
      </c>
      <c r="F9" s="500">
        <f ca="1">_xlfn.DAYS(E9,TODAY())/365</f>
        <v>4.7287671232876711</v>
      </c>
      <c r="G9" s="436">
        <v>23.97</v>
      </c>
      <c r="H9" s="396">
        <v>0.02</v>
      </c>
      <c r="I9" s="397"/>
      <c r="J9" s="395"/>
      <c r="K9" s="497">
        <f>C8*27.06</f>
        <v>40590</v>
      </c>
    </row>
    <row r="10" spans="2:22" x14ac:dyDescent="0.35">
      <c r="B10" s="154"/>
      <c r="C10" s="435"/>
      <c r="D10" s="478"/>
      <c r="E10" s="447"/>
      <c r="F10" s="500"/>
      <c r="G10" s="436"/>
      <c r="H10" s="396"/>
      <c r="I10" s="397"/>
      <c r="K10" s="497">
        <f>C27*27.06</f>
        <v>125747.81999999999</v>
      </c>
      <c r="L10" s="497"/>
    </row>
    <row r="11" spans="2:22" x14ac:dyDescent="0.35">
      <c r="B11" s="154" t="s">
        <v>253</v>
      </c>
      <c r="C11" s="435">
        <v>7244</v>
      </c>
      <c r="D11" s="478">
        <v>41883</v>
      </c>
      <c r="E11" s="447">
        <v>48395</v>
      </c>
      <c r="F11" s="500">
        <f ca="1">_xlfn.DAYS(E11,TODAY())/365</f>
        <v>6.3123287671232875</v>
      </c>
      <c r="G11" s="436">
        <v>25</v>
      </c>
      <c r="H11" s="396">
        <v>0.03</v>
      </c>
      <c r="I11" s="397"/>
      <c r="K11" s="398">
        <f>(C14+C15+C13)*27</f>
        <v>49896</v>
      </c>
      <c r="L11" s="395"/>
      <c r="M11" s="474"/>
    </row>
    <row r="12" spans="2:22" x14ac:dyDescent="0.35">
      <c r="B12" s="207" t="s">
        <v>254</v>
      </c>
      <c r="C12" s="443">
        <v>10536</v>
      </c>
      <c r="D12" s="479">
        <v>41275</v>
      </c>
      <c r="E12" s="448">
        <v>48579</v>
      </c>
      <c r="F12" s="500">
        <f ca="1">_xlfn.DAYS(E12,TODAY())/365</f>
        <v>6.816438356164384</v>
      </c>
      <c r="G12" s="444">
        <v>27.25</v>
      </c>
      <c r="H12" s="396">
        <v>0.02</v>
      </c>
      <c r="I12" s="397"/>
      <c r="J12" s="395"/>
      <c r="K12" s="508">
        <f>SUM(K9:K11)</f>
        <v>216233.82</v>
      </c>
      <c r="L12" s="398"/>
    </row>
    <row r="13" spans="2:22" x14ac:dyDescent="0.35">
      <c r="B13" s="154" t="s">
        <v>400</v>
      </c>
      <c r="C13" s="435">
        <v>1000</v>
      </c>
      <c r="D13" s="445">
        <v>44230</v>
      </c>
      <c r="E13" s="447">
        <v>45414</v>
      </c>
      <c r="F13" s="500">
        <f ca="1">_xlfn.DAYS(E13,TODAY())/365</f>
        <v>-1.8547945205479452</v>
      </c>
      <c r="G13" s="436">
        <v>23</v>
      </c>
      <c r="H13" s="396">
        <v>0.02</v>
      </c>
      <c r="I13" s="397" t="s">
        <v>404</v>
      </c>
      <c r="L13" s="395"/>
    </row>
    <row r="14" spans="2:22" x14ac:dyDescent="0.35">
      <c r="B14" s="154" t="s">
        <v>400</v>
      </c>
      <c r="C14" s="435">
        <v>290</v>
      </c>
      <c r="D14" s="445">
        <v>44454</v>
      </c>
      <c r="E14" s="447">
        <v>45414</v>
      </c>
      <c r="F14" s="500">
        <f ca="1">_xlfn.DAYS(E14,TODAY())/365</f>
        <v>-1.8547945205479452</v>
      </c>
      <c r="G14" s="436">
        <v>23</v>
      </c>
      <c r="H14" s="396">
        <v>0</v>
      </c>
      <c r="I14" s="397"/>
      <c r="L14" s="499"/>
      <c r="M14" s="19"/>
      <c r="N14" s="19"/>
      <c r="O14" s="19"/>
      <c r="P14" s="19"/>
    </row>
    <row r="15" spans="2:22" x14ac:dyDescent="0.35">
      <c r="B15" s="154" t="s">
        <v>255</v>
      </c>
      <c r="C15" s="435">
        <v>558</v>
      </c>
      <c r="D15" s="445"/>
      <c r="E15" s="445"/>
      <c r="F15" s="445"/>
      <c r="G15" s="436"/>
      <c r="H15" s="396"/>
      <c r="I15" s="397"/>
      <c r="L15" s="398"/>
    </row>
    <row r="16" spans="2:22" x14ac:dyDescent="0.35">
      <c r="B16" s="125"/>
      <c r="C16" s="132"/>
      <c r="D16" s="132"/>
      <c r="E16" s="132"/>
      <c r="F16" s="132"/>
      <c r="G16" s="132"/>
      <c r="H16" s="132"/>
      <c r="I16" s="133"/>
    </row>
    <row r="17" spans="2:22" ht="15" thickBot="1" x14ac:dyDescent="0.4">
      <c r="B17" s="438" t="s">
        <v>256</v>
      </c>
      <c r="C17" s="439">
        <f>SUM(C7:C15)</f>
        <v>29341</v>
      </c>
      <c r="D17" s="440"/>
      <c r="E17" s="440"/>
      <c r="F17" s="440"/>
      <c r="G17" s="441">
        <f>SUMPRODUCT(C7:C13,G7:G13)/(C17-C15)</f>
        <v>26.957029149150539</v>
      </c>
      <c r="H17" s="477">
        <f>SUMPRODUCT(C7:C14,H7:H14)/(C17-C15)</f>
        <v>2.2315255532779764E-2</v>
      </c>
      <c r="I17" s="442"/>
    </row>
    <row r="18" spans="2:22" ht="15" thickBot="1" x14ac:dyDescent="0.4">
      <c r="B18" s="497"/>
      <c r="C18" s="502"/>
      <c r="D18" s="394"/>
      <c r="E18" s="394"/>
      <c r="F18" s="394"/>
      <c r="G18" s="394"/>
      <c r="H18" s="394"/>
      <c r="I18" s="394"/>
    </row>
    <row r="19" spans="2:22" ht="15" thickBot="1" x14ac:dyDescent="0.4">
      <c r="B19" s="481" t="s">
        <v>244</v>
      </c>
      <c r="C19" s="482"/>
      <c r="D19" s="482"/>
      <c r="E19" s="482"/>
      <c r="F19" s="482"/>
      <c r="G19" s="482"/>
      <c r="H19" s="482"/>
      <c r="I19" s="480"/>
      <c r="K19" s="105" t="s">
        <v>257</v>
      </c>
      <c r="L19" s="260"/>
      <c r="M19" s="260"/>
      <c r="N19" s="260"/>
      <c r="O19" s="260"/>
      <c r="P19" s="260"/>
      <c r="Q19" s="260"/>
      <c r="R19" s="260"/>
      <c r="S19" s="107"/>
      <c r="T19" s="107"/>
      <c r="U19" s="107"/>
      <c r="V19" s="108"/>
    </row>
    <row r="20" spans="2:22" ht="15" thickBot="1" x14ac:dyDescent="0.4">
      <c r="B20" s="162" t="str">
        <f>Summary!E5</f>
        <v>164 Mount Pleasant Road, Newtown, CT 06470</v>
      </c>
      <c r="C20" s="160"/>
      <c r="D20" s="160"/>
      <c r="E20" s="160"/>
      <c r="F20" s="160"/>
      <c r="G20" s="160"/>
      <c r="H20" s="160"/>
      <c r="I20" s="161"/>
      <c r="K20" s="266" t="str">
        <f>B20</f>
        <v>164 Mount Pleasant Road, Newtown, CT 06470</v>
      </c>
      <c r="L20" s="267"/>
      <c r="M20" s="267"/>
      <c r="N20" s="267"/>
      <c r="O20" s="267"/>
      <c r="P20" s="267"/>
      <c r="Q20" s="267"/>
      <c r="R20" s="267"/>
      <c r="S20" s="268"/>
      <c r="T20" s="268"/>
      <c r="U20" s="268"/>
      <c r="V20" s="269"/>
    </row>
    <row r="21" spans="2:22" x14ac:dyDescent="0.35">
      <c r="B21" s="165"/>
      <c r="C21" s="166"/>
      <c r="D21" s="166"/>
      <c r="E21" s="166"/>
      <c r="F21" s="166"/>
      <c r="G21" s="166"/>
      <c r="H21" s="166"/>
      <c r="I21" s="167"/>
      <c r="K21" s="165"/>
      <c r="L21" s="166"/>
      <c r="M21" s="449">
        <v>1</v>
      </c>
      <c r="N21" s="449">
        <v>2</v>
      </c>
      <c r="O21" s="449">
        <v>3</v>
      </c>
      <c r="P21" s="449">
        <v>4</v>
      </c>
      <c r="Q21" s="449">
        <v>5</v>
      </c>
      <c r="R21" s="449">
        <v>6</v>
      </c>
      <c r="S21" s="449">
        <v>7</v>
      </c>
      <c r="T21" s="449">
        <v>8</v>
      </c>
      <c r="U21" s="449">
        <v>9</v>
      </c>
      <c r="V21" s="450">
        <v>10</v>
      </c>
    </row>
    <row r="22" spans="2:22" x14ac:dyDescent="0.35">
      <c r="B22" s="156" t="s">
        <v>245</v>
      </c>
      <c r="C22" s="475" t="s">
        <v>5</v>
      </c>
      <c r="D22" s="475" t="s">
        <v>246</v>
      </c>
      <c r="E22" s="475" t="s">
        <v>247</v>
      </c>
      <c r="F22" s="475"/>
      <c r="G22" s="475" t="s">
        <v>248</v>
      </c>
      <c r="H22" s="475" t="s">
        <v>249</v>
      </c>
      <c r="I22" s="437" t="s">
        <v>402</v>
      </c>
      <c r="K22" s="417"/>
      <c r="L22" s="451"/>
      <c r="M22" s="452" t="s">
        <v>259</v>
      </c>
      <c r="N22" s="452" t="s">
        <v>260</v>
      </c>
      <c r="O22" s="452" t="s">
        <v>261</v>
      </c>
      <c r="P22" s="452" t="s">
        <v>262</v>
      </c>
      <c r="Q22" s="452" t="s">
        <v>263</v>
      </c>
      <c r="R22" s="453" t="s">
        <v>264</v>
      </c>
      <c r="S22" s="453" t="s">
        <v>265</v>
      </c>
      <c r="T22" s="453" t="s">
        <v>266</v>
      </c>
      <c r="U22" s="453" t="s">
        <v>267</v>
      </c>
      <c r="V22" s="454" t="s">
        <v>268</v>
      </c>
    </row>
    <row r="23" spans="2:22" x14ac:dyDescent="0.35">
      <c r="B23" s="417"/>
      <c r="C23" s="128"/>
      <c r="D23" s="128"/>
      <c r="E23" s="128"/>
      <c r="F23" s="128"/>
      <c r="G23" s="128"/>
      <c r="H23" s="128"/>
      <c r="I23" s="129"/>
      <c r="K23" s="154"/>
      <c r="L23" s="451"/>
      <c r="M23" s="451"/>
      <c r="N23" s="451"/>
      <c r="O23" s="451"/>
      <c r="P23" s="451"/>
      <c r="Q23" s="451"/>
      <c r="R23" s="451"/>
      <c r="S23" s="451"/>
      <c r="T23" s="451"/>
      <c r="U23" s="451"/>
      <c r="V23" s="455"/>
    </row>
    <row r="24" spans="2:22" x14ac:dyDescent="0.35">
      <c r="B24" s="154" t="s">
        <v>269</v>
      </c>
      <c r="C24" s="435">
        <v>9411</v>
      </c>
      <c r="D24" s="478">
        <v>44743</v>
      </c>
      <c r="E24" s="478">
        <v>50099</v>
      </c>
      <c r="F24" s="500">
        <f ca="1">_xlfn.DAYS(E24,TODAY())/365</f>
        <v>10.980821917808219</v>
      </c>
      <c r="G24" s="436">
        <v>27</v>
      </c>
      <c r="H24" s="396">
        <v>1.8499999999999999E-2</v>
      </c>
      <c r="I24" s="484" t="s">
        <v>403</v>
      </c>
      <c r="K24" s="154"/>
      <c r="L24" s="451" t="s">
        <v>270</v>
      </c>
      <c r="M24" s="456">
        <v>31</v>
      </c>
      <c r="N24" s="456">
        <v>31</v>
      </c>
      <c r="O24" s="456">
        <v>31</v>
      </c>
      <c r="P24" s="456">
        <v>31</v>
      </c>
      <c r="Q24" s="456">
        <v>31.5</v>
      </c>
      <c r="R24" s="456">
        <v>32</v>
      </c>
      <c r="S24" s="456">
        <v>32.5</v>
      </c>
      <c r="T24" s="456">
        <v>33</v>
      </c>
      <c r="U24" s="456">
        <v>33.5</v>
      </c>
      <c r="V24" s="457">
        <v>0</v>
      </c>
    </row>
    <row r="25" spans="2:22" x14ac:dyDescent="0.35">
      <c r="B25" s="154" t="s">
        <v>271</v>
      </c>
      <c r="C25" s="435">
        <v>2341</v>
      </c>
      <c r="D25" s="478">
        <v>43556</v>
      </c>
      <c r="E25" s="478">
        <v>47514</v>
      </c>
      <c r="F25" s="500">
        <f ca="1">_xlfn.DAYS(E25,TODAY())/365</f>
        <v>3.8986301369863012</v>
      </c>
      <c r="G25" s="436">
        <v>28</v>
      </c>
      <c r="H25" s="396">
        <v>0.02</v>
      </c>
      <c r="I25" s="397"/>
      <c r="K25" s="154"/>
      <c r="L25" s="451" t="s">
        <v>272</v>
      </c>
      <c r="M25" s="456">
        <v>25</v>
      </c>
      <c r="N25" s="456">
        <v>25.5</v>
      </c>
      <c r="O25" s="456">
        <v>26</v>
      </c>
      <c r="P25" s="456">
        <v>26.5</v>
      </c>
      <c r="Q25" s="456">
        <v>27</v>
      </c>
      <c r="R25" s="456">
        <f>Q25+0.5</f>
        <v>27.5</v>
      </c>
      <c r="S25" s="456">
        <f>R25+0.5</f>
        <v>28</v>
      </c>
      <c r="T25" s="456">
        <f>S25+0.5</f>
        <v>28.5</v>
      </c>
      <c r="U25" s="456">
        <f>T25+0.5</f>
        <v>29</v>
      </c>
      <c r="V25" s="458">
        <f>U25+0.5</f>
        <v>29.5</v>
      </c>
    </row>
    <row r="26" spans="2:22" x14ac:dyDescent="0.35">
      <c r="B26" s="154" t="s">
        <v>273</v>
      </c>
      <c r="C26" s="435">
        <v>5815</v>
      </c>
      <c r="D26" s="478">
        <v>43847</v>
      </c>
      <c r="E26" s="478">
        <v>49340</v>
      </c>
      <c r="F26" s="500">
        <f ca="1">_xlfn.DAYS(E26,TODAY())/365</f>
        <v>8.9013698630136986</v>
      </c>
      <c r="G26" s="436">
        <v>31.01</v>
      </c>
      <c r="H26" s="396">
        <v>1.6E-2</v>
      </c>
      <c r="I26" s="484" t="s">
        <v>403</v>
      </c>
      <c r="K26" s="154"/>
      <c r="L26" s="459" t="s">
        <v>274</v>
      </c>
      <c r="M26" s="460">
        <v>0.02</v>
      </c>
      <c r="N26" s="460">
        <v>0.02</v>
      </c>
      <c r="O26" s="460">
        <v>0.02</v>
      </c>
      <c r="P26" s="460">
        <v>0.02</v>
      </c>
      <c r="Q26" s="460">
        <v>0.02</v>
      </c>
      <c r="R26" s="460">
        <v>0.02</v>
      </c>
      <c r="S26" s="460">
        <v>0.02</v>
      </c>
      <c r="T26" s="460">
        <v>0.02</v>
      </c>
      <c r="U26" s="460">
        <v>0.02</v>
      </c>
      <c r="V26" s="461">
        <v>0.02</v>
      </c>
    </row>
    <row r="27" spans="2:22" x14ac:dyDescent="0.35">
      <c r="B27" s="154" t="s">
        <v>275</v>
      </c>
      <c r="C27" s="435">
        <v>4647</v>
      </c>
      <c r="D27" s="478">
        <v>44531</v>
      </c>
      <c r="E27" s="478">
        <v>48182</v>
      </c>
      <c r="F27" s="500">
        <f ca="1">_xlfn.DAYS(E27,TODAY())/365</f>
        <v>5.7287671232876711</v>
      </c>
      <c r="G27" s="436">
        <v>25</v>
      </c>
      <c r="H27" s="396">
        <v>0.02</v>
      </c>
      <c r="I27" s="397"/>
      <c r="J27" s="395"/>
      <c r="K27" s="207"/>
      <c r="L27" s="451"/>
      <c r="M27" s="462"/>
      <c r="N27" s="262"/>
      <c r="O27" s="262"/>
      <c r="P27" s="262"/>
      <c r="Q27" s="262"/>
      <c r="R27" s="262"/>
      <c r="S27" s="262"/>
      <c r="T27" s="262"/>
      <c r="U27" s="451"/>
      <c r="V27" s="463"/>
    </row>
    <row r="28" spans="2:22" x14ac:dyDescent="0.35">
      <c r="B28" s="154" t="s">
        <v>269</v>
      </c>
      <c r="C28" s="443">
        <v>3770</v>
      </c>
      <c r="D28" s="479">
        <v>44743</v>
      </c>
      <c r="E28" s="479">
        <v>50099</v>
      </c>
      <c r="F28" s="500">
        <f ca="1">_xlfn.DAYS(E28,TODAY())/365</f>
        <v>10.980821917808219</v>
      </c>
      <c r="G28" s="444">
        <v>25</v>
      </c>
      <c r="H28" s="396">
        <v>0.02</v>
      </c>
      <c r="I28" s="397"/>
      <c r="K28" s="207"/>
      <c r="L28" s="422" t="s">
        <v>276</v>
      </c>
      <c r="M28" s="464">
        <f>SUMPRODUCT(M24:V24,M26:V26)*C24</f>
        <v>53925.030000000006</v>
      </c>
      <c r="N28" s="262"/>
      <c r="O28" s="262"/>
      <c r="P28" s="262"/>
      <c r="Q28" s="262"/>
      <c r="R28" s="262"/>
      <c r="S28" s="262"/>
      <c r="T28" s="262"/>
      <c r="U28" s="451"/>
      <c r="V28" s="463"/>
    </row>
    <row r="29" spans="2:22" x14ac:dyDescent="0.35">
      <c r="B29" s="154"/>
      <c r="C29" s="435"/>
      <c r="D29" s="445"/>
      <c r="E29" s="445"/>
      <c r="F29" s="445"/>
      <c r="G29" s="436"/>
      <c r="H29" s="476"/>
      <c r="I29" s="446"/>
      <c r="K29" s="154"/>
      <c r="L29" s="459" t="s">
        <v>277</v>
      </c>
      <c r="M29" s="465">
        <f>SUMPRODUCT(M25:V25,M26:V26)*C28</f>
        <v>20546.5</v>
      </c>
      <c r="N29" s="262"/>
      <c r="O29" s="451"/>
      <c r="P29" s="451"/>
      <c r="Q29" s="262"/>
      <c r="R29" s="262"/>
      <c r="S29" s="435"/>
      <c r="T29" s="445"/>
      <c r="U29" s="445"/>
      <c r="V29" s="466"/>
    </row>
    <row r="30" spans="2:22" ht="15" thickBot="1" x14ac:dyDescent="0.4">
      <c r="B30" s="438" t="s">
        <v>256</v>
      </c>
      <c r="C30" s="439">
        <f>SUM(C24:C28)</f>
        <v>25984</v>
      </c>
      <c r="D30" s="440"/>
      <c r="E30" s="440"/>
      <c r="F30" s="440"/>
      <c r="G30" s="441">
        <f>SUMPRODUCT(C24:C29,G24:G29)/C30</f>
        <v>27.339637854064041</v>
      </c>
      <c r="H30" s="477">
        <f>SUMPRODUCT(C24:C28,H24:H28)/C30</f>
        <v>1.8561557112068965E-2</v>
      </c>
      <c r="I30" s="442"/>
      <c r="K30" s="126"/>
      <c r="L30" s="467" t="s">
        <v>278</v>
      </c>
      <c r="M30" s="468">
        <f>SUM(M28:M29)</f>
        <v>74471.53</v>
      </c>
      <c r="N30" s="264"/>
      <c r="O30" s="264"/>
      <c r="P30" s="264"/>
      <c r="Q30" s="264"/>
      <c r="R30" s="264"/>
      <c r="S30" s="163"/>
      <c r="T30" s="163"/>
      <c r="U30" s="163"/>
      <c r="V30" s="164"/>
    </row>
    <row r="31" spans="2:22" ht="15" thickBot="1" x14ac:dyDescent="0.4">
      <c r="B31" s="117"/>
      <c r="C31" s="503"/>
      <c r="K31" s="434"/>
    </row>
    <row r="32" spans="2:22" ht="15" thickBot="1" x14ac:dyDescent="0.4">
      <c r="B32" s="481" t="s">
        <v>244</v>
      </c>
      <c r="C32" s="482"/>
      <c r="D32" s="482"/>
      <c r="E32" s="482"/>
      <c r="F32" s="482"/>
      <c r="G32" s="482"/>
      <c r="H32" s="482"/>
      <c r="I32" s="480"/>
    </row>
    <row r="33" spans="2:9" ht="15" thickBot="1" x14ac:dyDescent="0.4">
      <c r="B33" s="162" t="str">
        <f>Summary!E6</f>
        <v>170 Mount Pleasant Road, Newtown, CT 06470</v>
      </c>
      <c r="C33" s="160"/>
      <c r="D33" s="160"/>
      <c r="E33" s="160"/>
      <c r="F33" s="160"/>
      <c r="G33" s="160"/>
      <c r="H33" s="160"/>
      <c r="I33" s="161"/>
    </row>
    <row r="34" spans="2:9" x14ac:dyDescent="0.35">
      <c r="B34" s="186"/>
      <c r="C34" s="421"/>
      <c r="D34" s="421"/>
      <c r="E34" s="421"/>
      <c r="F34" s="421"/>
      <c r="G34" s="421"/>
      <c r="H34" s="421"/>
      <c r="I34" s="483"/>
    </row>
    <row r="35" spans="2:9" x14ac:dyDescent="0.35">
      <c r="B35" s="156" t="s">
        <v>245</v>
      </c>
      <c r="C35" s="475" t="s">
        <v>5</v>
      </c>
      <c r="D35" s="475" t="s">
        <v>246</v>
      </c>
      <c r="E35" s="475" t="s">
        <v>247</v>
      </c>
      <c r="F35" s="475"/>
      <c r="G35" s="475" t="s">
        <v>248</v>
      </c>
      <c r="H35" s="475" t="s">
        <v>249</v>
      </c>
      <c r="I35" s="437" t="s">
        <v>402</v>
      </c>
    </row>
    <row r="36" spans="2:9" x14ac:dyDescent="0.35">
      <c r="B36" s="417"/>
      <c r="C36" s="128"/>
      <c r="D36" s="128"/>
      <c r="E36" s="128"/>
      <c r="F36" s="128"/>
      <c r="G36" s="128"/>
      <c r="H36" s="128"/>
      <c r="I36" s="129"/>
    </row>
    <row r="37" spans="2:9" x14ac:dyDescent="0.35">
      <c r="B37" s="154" t="s">
        <v>279</v>
      </c>
      <c r="C37" s="435">
        <v>15258</v>
      </c>
      <c r="D37" s="478">
        <v>42597</v>
      </c>
      <c r="E37" s="478">
        <v>48091</v>
      </c>
      <c r="F37" s="500">
        <f ca="1">_xlfn.DAYS(E37,TODAY())/365</f>
        <v>5.4794520547945202</v>
      </c>
      <c r="G37" s="436">
        <v>32.06</v>
      </c>
      <c r="H37" s="396">
        <v>2.5000000000000001E-2</v>
      </c>
      <c r="I37" s="397" t="s">
        <v>401</v>
      </c>
    </row>
    <row r="38" spans="2:9" x14ac:dyDescent="0.35">
      <c r="B38" s="154" t="s">
        <v>280</v>
      </c>
      <c r="C38" s="435">
        <v>8620</v>
      </c>
      <c r="D38" s="478">
        <v>43556</v>
      </c>
      <c r="E38" s="478">
        <v>48304</v>
      </c>
      <c r="F38" s="500">
        <f ca="1">_xlfn.DAYS(E38,TODAY())/365</f>
        <v>6.0630136986301366</v>
      </c>
      <c r="G38" s="436">
        <v>29.01</v>
      </c>
      <c r="H38" s="396">
        <v>0.02</v>
      </c>
      <c r="I38" s="397"/>
    </row>
    <row r="39" spans="2:9" x14ac:dyDescent="0.35">
      <c r="B39" s="154" t="s">
        <v>78</v>
      </c>
      <c r="C39" s="435">
        <v>2297</v>
      </c>
      <c r="D39" s="478">
        <v>44470</v>
      </c>
      <c r="E39" s="478">
        <v>48487</v>
      </c>
      <c r="F39" s="500">
        <f ca="1">_xlfn.DAYS(E39,TODAY())/365</f>
        <v>6.5643835616438357</v>
      </c>
      <c r="G39" s="436">
        <v>25</v>
      </c>
      <c r="H39" s="396">
        <v>0.02</v>
      </c>
      <c r="I39" s="397"/>
    </row>
    <row r="40" spans="2:9" x14ac:dyDescent="0.35">
      <c r="B40" s="154" t="s">
        <v>76</v>
      </c>
      <c r="C40" s="435">
        <v>3825</v>
      </c>
      <c r="D40" s="478">
        <v>44593</v>
      </c>
      <c r="E40" s="478">
        <v>48610</v>
      </c>
      <c r="F40" s="500">
        <f ca="1">_xlfn.DAYS(E40,TODAY())/365</f>
        <v>6.9013698630136986</v>
      </c>
      <c r="G40" s="436">
        <v>25</v>
      </c>
      <c r="H40" s="396">
        <v>0.02</v>
      </c>
      <c r="I40" s="397"/>
    </row>
    <row r="41" spans="2:9" x14ac:dyDescent="0.35">
      <c r="B41" s="125"/>
      <c r="C41" s="132"/>
      <c r="D41" s="132"/>
      <c r="E41" s="132"/>
      <c r="F41" s="132"/>
      <c r="G41" s="132"/>
      <c r="H41" s="132"/>
      <c r="I41" s="133"/>
    </row>
    <row r="42" spans="2:9" ht="15" thickBot="1" x14ac:dyDescent="0.4">
      <c r="B42" s="438" t="s">
        <v>256</v>
      </c>
      <c r="C42" s="439">
        <f>SUM(C37:C40)</f>
        <v>30000</v>
      </c>
      <c r="D42" s="440"/>
      <c r="E42" s="440"/>
      <c r="F42" s="440"/>
      <c r="G42" s="441">
        <f>SUMPRODUCT(C37:C40,G37:G40)/C42</f>
        <v>29.742922666666669</v>
      </c>
      <c r="H42" s="477">
        <f>SUMPRODUCT(C37:C40,H37:H40)/C42</f>
        <v>2.2542999999999997E-2</v>
      </c>
      <c r="I42" s="442"/>
    </row>
    <row r="43" spans="2:9" ht="15" thickBot="1" x14ac:dyDescent="0.4">
      <c r="B43" s="497"/>
      <c r="C43" s="503"/>
    </row>
    <row r="44" spans="2:9" ht="15" thickBot="1" x14ac:dyDescent="0.4">
      <c r="B44" s="481" t="s">
        <v>244</v>
      </c>
      <c r="C44" s="482"/>
      <c r="D44" s="482"/>
      <c r="E44" s="482"/>
      <c r="F44" s="482"/>
      <c r="G44" s="482"/>
      <c r="H44" s="482"/>
      <c r="I44" s="480"/>
    </row>
    <row r="45" spans="2:9" ht="15" thickBot="1" x14ac:dyDescent="0.4">
      <c r="B45" s="162" t="str">
        <f>Summary!E7</f>
        <v>2 Riverview Drive, Danbury, CT 06810</v>
      </c>
      <c r="C45" s="160"/>
      <c r="D45" s="160"/>
      <c r="E45" s="160"/>
      <c r="F45" s="160"/>
      <c r="G45" s="160"/>
      <c r="H45" s="160"/>
      <c r="I45" s="161"/>
    </row>
    <row r="46" spans="2:9" x14ac:dyDescent="0.35">
      <c r="B46" s="186"/>
      <c r="C46" s="421"/>
      <c r="D46" s="421"/>
      <c r="E46" s="421"/>
      <c r="F46" s="421"/>
      <c r="G46" s="421"/>
      <c r="H46" s="421"/>
      <c r="I46" s="483"/>
    </row>
    <row r="47" spans="2:9" x14ac:dyDescent="0.35">
      <c r="B47" s="156" t="s">
        <v>245</v>
      </c>
      <c r="C47" s="475" t="s">
        <v>5</v>
      </c>
      <c r="D47" s="475" t="s">
        <v>246</v>
      </c>
      <c r="E47" s="475" t="s">
        <v>247</v>
      </c>
      <c r="F47" s="475"/>
      <c r="G47" s="475" t="s">
        <v>248</v>
      </c>
      <c r="H47" s="475" t="s">
        <v>249</v>
      </c>
      <c r="I47" s="437" t="s">
        <v>402</v>
      </c>
    </row>
    <row r="48" spans="2:9" x14ac:dyDescent="0.35">
      <c r="B48" s="417"/>
      <c r="C48" s="128"/>
      <c r="D48" s="128"/>
      <c r="E48" s="128"/>
      <c r="F48" s="128"/>
      <c r="G48" s="128"/>
      <c r="H48" s="128"/>
      <c r="I48" s="129"/>
    </row>
    <row r="49" spans="2:13" x14ac:dyDescent="0.35">
      <c r="B49" s="154" t="s">
        <v>281</v>
      </c>
      <c r="C49" s="435">
        <v>5185</v>
      </c>
      <c r="D49" s="478">
        <v>42826</v>
      </c>
      <c r="E49" s="478">
        <v>48304</v>
      </c>
      <c r="F49" s="500">
        <f ca="1">_xlfn.DAYS(E49,TODAY())/365</f>
        <v>6.0630136986301366</v>
      </c>
      <c r="G49" s="436">
        <v>33.29</v>
      </c>
      <c r="H49" s="396">
        <v>0.02</v>
      </c>
      <c r="I49" s="397"/>
    </row>
    <row r="50" spans="2:13" x14ac:dyDescent="0.35">
      <c r="B50" s="154" t="s">
        <v>282</v>
      </c>
      <c r="C50" s="435">
        <v>7180</v>
      </c>
      <c r="D50" s="478">
        <v>42894</v>
      </c>
      <c r="E50" s="478">
        <v>48395</v>
      </c>
      <c r="F50" s="500">
        <f ca="1">_xlfn.DAYS(E50,TODAY())/365</f>
        <v>6.3123287671232875</v>
      </c>
      <c r="G50" s="436">
        <v>32.64</v>
      </c>
      <c r="H50" s="396">
        <v>0.02</v>
      </c>
      <c r="I50" s="397"/>
    </row>
    <row r="51" spans="2:13" x14ac:dyDescent="0.35">
      <c r="B51" s="154" t="s">
        <v>283</v>
      </c>
      <c r="C51" s="435">
        <v>6667</v>
      </c>
      <c r="D51" s="478">
        <v>42917</v>
      </c>
      <c r="E51" s="478">
        <v>48395</v>
      </c>
      <c r="F51" s="500">
        <f ca="1">_xlfn.DAYS(E51,TODAY())/365</f>
        <v>6.3123287671232875</v>
      </c>
      <c r="G51" s="436">
        <v>31.93</v>
      </c>
      <c r="H51" s="396">
        <v>0.02</v>
      </c>
      <c r="I51" s="397"/>
    </row>
    <row r="52" spans="2:13" x14ac:dyDescent="0.35">
      <c r="B52" s="154" t="s">
        <v>284</v>
      </c>
      <c r="C52" s="435">
        <v>1318</v>
      </c>
      <c r="D52" s="478">
        <v>42826</v>
      </c>
      <c r="E52" s="478">
        <v>48304</v>
      </c>
      <c r="F52" s="500">
        <f ca="1">_xlfn.DAYS(E52,TODAY())/365</f>
        <v>6.0630136986301366</v>
      </c>
      <c r="G52" s="436">
        <v>33.29</v>
      </c>
      <c r="H52" s="396">
        <v>0.02</v>
      </c>
      <c r="I52" s="397"/>
    </row>
    <row r="53" spans="2:13" x14ac:dyDescent="0.35">
      <c r="B53" s="207" t="s">
        <v>285</v>
      </c>
      <c r="C53" s="443">
        <v>22851</v>
      </c>
      <c r="D53" s="479">
        <v>42767</v>
      </c>
      <c r="E53" s="479">
        <v>48244</v>
      </c>
      <c r="F53" s="500">
        <f ca="1">_xlfn.DAYS(E53,TODAY())/365</f>
        <v>5.8986301369863012</v>
      </c>
      <c r="G53" s="444">
        <v>30.25</v>
      </c>
      <c r="H53" s="396">
        <v>1.4999999999999999E-2</v>
      </c>
      <c r="I53" s="397"/>
    </row>
    <row r="54" spans="2:13" x14ac:dyDescent="0.35">
      <c r="B54" s="125"/>
      <c r="C54" s="265"/>
      <c r="D54" s="132"/>
      <c r="E54" s="132"/>
      <c r="F54" s="132"/>
      <c r="G54" s="132"/>
      <c r="H54" s="132"/>
      <c r="I54" s="133"/>
    </row>
    <row r="55" spans="2:13" ht="15" thickBot="1" x14ac:dyDescent="0.4">
      <c r="B55" s="438" t="s">
        <v>256</v>
      </c>
      <c r="C55" s="439">
        <f>SUM(C49:C53)</f>
        <v>43201</v>
      </c>
      <c r="D55" s="440"/>
      <c r="E55" s="440"/>
      <c r="F55" s="440"/>
      <c r="G55" s="441">
        <f>SUMPRODUCT(C49:C53,G49:G53)/C55</f>
        <v>31.364091803430473</v>
      </c>
      <c r="H55" s="477">
        <f>SUMPRODUCT(C49:C53,H49:H53)/C55</f>
        <v>1.7355269553945511E-2</v>
      </c>
      <c r="I55" s="442"/>
      <c r="M55" s="395"/>
    </row>
    <row r="56" spans="2:13" ht="15" thickBot="1" x14ac:dyDescent="0.4"/>
    <row r="57" spans="2:13" ht="15" thickBot="1" x14ac:dyDescent="0.4">
      <c r="B57" s="105" t="s">
        <v>244</v>
      </c>
      <c r="C57" s="107"/>
      <c r="D57" s="107"/>
      <c r="E57" s="107"/>
      <c r="F57" s="107"/>
      <c r="G57" s="107"/>
      <c r="H57" s="107"/>
      <c r="I57" s="108"/>
    </row>
    <row r="58" spans="2:13" ht="15" thickBot="1" x14ac:dyDescent="0.4">
      <c r="B58" s="162" t="str">
        <f>Summary!E8</f>
        <v>226 White Street, Danbury, CT 06810</v>
      </c>
      <c r="C58" s="160"/>
      <c r="D58" s="160"/>
      <c r="E58" s="160"/>
      <c r="F58" s="160"/>
      <c r="G58" s="160"/>
      <c r="H58" s="160"/>
      <c r="I58" s="161"/>
    </row>
    <row r="59" spans="2:13" x14ac:dyDescent="0.35">
      <c r="B59" s="186"/>
      <c r="C59" s="421"/>
      <c r="D59" s="421"/>
      <c r="E59" s="421"/>
      <c r="F59" s="421"/>
      <c r="G59" s="421"/>
      <c r="H59" s="421"/>
      <c r="I59" s="483"/>
    </row>
    <row r="60" spans="2:13" x14ac:dyDescent="0.35">
      <c r="B60" s="156" t="s">
        <v>245</v>
      </c>
      <c r="C60" s="475" t="s">
        <v>5</v>
      </c>
      <c r="D60" s="475" t="s">
        <v>246</v>
      </c>
      <c r="E60" s="475" t="s">
        <v>247</v>
      </c>
      <c r="F60" s="475"/>
      <c r="G60" s="475" t="s">
        <v>248</v>
      </c>
      <c r="H60" s="475" t="s">
        <v>249</v>
      </c>
      <c r="I60" s="437" t="s">
        <v>402</v>
      </c>
    </row>
    <row r="61" spans="2:13" x14ac:dyDescent="0.35">
      <c r="B61" s="417"/>
      <c r="C61" s="128"/>
      <c r="D61" s="128"/>
      <c r="E61" s="128"/>
      <c r="F61" s="128"/>
      <c r="G61" s="128"/>
      <c r="H61" s="128"/>
      <c r="I61" s="129"/>
    </row>
    <row r="62" spans="2:13" x14ac:dyDescent="0.35">
      <c r="B62" s="154" t="s">
        <v>286</v>
      </c>
      <c r="C62" s="443">
        <v>26150</v>
      </c>
      <c r="D62" s="478">
        <v>42856</v>
      </c>
      <c r="E62" s="478">
        <v>50160</v>
      </c>
      <c r="F62" s="500">
        <f ca="1">_xlfn.DAYS(E62,TODAY())/365</f>
        <v>11.147945205479452</v>
      </c>
      <c r="G62" s="436">
        <v>22.26</v>
      </c>
      <c r="H62" s="396">
        <v>0.02</v>
      </c>
      <c r="I62" s="397"/>
    </row>
    <row r="63" spans="2:13" x14ac:dyDescent="0.35">
      <c r="B63" s="125"/>
      <c r="C63" s="265"/>
      <c r="D63" s="132"/>
      <c r="E63" s="132"/>
      <c r="F63" s="132"/>
      <c r="G63" s="132"/>
      <c r="H63" s="132"/>
      <c r="I63" s="133"/>
    </row>
    <row r="64" spans="2:13" ht="15" thickBot="1" x14ac:dyDescent="0.4">
      <c r="B64" s="438" t="s">
        <v>256</v>
      </c>
      <c r="C64" s="439">
        <f>SUM(C62)</f>
        <v>26150</v>
      </c>
      <c r="D64" s="440"/>
      <c r="E64" s="440"/>
      <c r="F64" s="440"/>
      <c r="G64" s="441">
        <f>SUMPRODUCT(C62:C62,G62:G62)/C64</f>
        <v>22.26</v>
      </c>
      <c r="H64" s="477">
        <f>SUMPRODUCT(C62:C62,H62:H62)/C64</f>
        <v>0.02</v>
      </c>
      <c r="I64" s="442"/>
    </row>
    <row r="65" spans="2:12" ht="15" thickBot="1" x14ac:dyDescent="0.4"/>
    <row r="66" spans="2:12" ht="15" thickBot="1" x14ac:dyDescent="0.4">
      <c r="B66" s="105" t="s">
        <v>244</v>
      </c>
      <c r="C66" s="107"/>
      <c r="D66" s="107"/>
      <c r="E66" s="107"/>
      <c r="F66" s="107"/>
      <c r="G66" s="107"/>
      <c r="H66" s="107"/>
      <c r="I66" s="108"/>
    </row>
    <row r="67" spans="2:12" ht="15" thickBot="1" x14ac:dyDescent="0.4">
      <c r="B67" s="162" t="str">
        <f>Summary!E9</f>
        <v>40 Old Ridgebury Road, Danbury, CT 06810</v>
      </c>
      <c r="C67" s="160"/>
      <c r="D67" s="160"/>
      <c r="E67" s="160"/>
      <c r="F67" s="160"/>
      <c r="G67" s="160"/>
      <c r="H67" s="160"/>
      <c r="I67" s="161"/>
      <c r="L67" s="497"/>
    </row>
    <row r="68" spans="2:12" x14ac:dyDescent="0.35">
      <c r="B68" s="186"/>
      <c r="C68" s="421"/>
      <c r="D68" s="421"/>
      <c r="E68" s="421"/>
      <c r="F68" s="421"/>
      <c r="G68" s="421"/>
      <c r="H68" s="421"/>
      <c r="I68" s="483"/>
    </row>
    <row r="69" spans="2:12" x14ac:dyDescent="0.35">
      <c r="B69" s="156" t="s">
        <v>245</v>
      </c>
      <c r="C69" s="475" t="s">
        <v>5</v>
      </c>
      <c r="D69" s="475" t="s">
        <v>246</v>
      </c>
      <c r="E69" s="475" t="s">
        <v>247</v>
      </c>
      <c r="F69" s="475"/>
      <c r="G69" s="475" t="s">
        <v>248</v>
      </c>
      <c r="H69" s="475" t="s">
        <v>249</v>
      </c>
      <c r="I69" s="437" t="s">
        <v>402</v>
      </c>
    </row>
    <row r="70" spans="2:12" x14ac:dyDescent="0.35">
      <c r="B70" s="417"/>
      <c r="C70" s="128"/>
      <c r="D70" s="128"/>
      <c r="E70" s="128"/>
      <c r="F70" s="128"/>
      <c r="G70" s="128"/>
      <c r="H70" s="128"/>
      <c r="I70" s="129"/>
    </row>
    <row r="71" spans="2:12" x14ac:dyDescent="0.35">
      <c r="B71" s="154" t="s">
        <v>287</v>
      </c>
      <c r="C71" s="435">
        <v>12863</v>
      </c>
      <c r="D71" s="478">
        <v>43497</v>
      </c>
      <c r="E71" s="478">
        <v>48975</v>
      </c>
      <c r="F71" s="500">
        <f ca="1">_xlfn.DAYS(E71,TODAY())/365</f>
        <v>7.9013698630136986</v>
      </c>
      <c r="G71" s="436">
        <v>31.31</v>
      </c>
      <c r="H71" s="396">
        <v>0.02</v>
      </c>
      <c r="I71" s="397"/>
    </row>
    <row r="72" spans="2:12" x14ac:dyDescent="0.35">
      <c r="B72" s="154" t="s">
        <v>288</v>
      </c>
      <c r="C72" s="435">
        <v>25572</v>
      </c>
      <c r="D72" s="478">
        <v>43532</v>
      </c>
      <c r="E72" s="478">
        <v>50860</v>
      </c>
      <c r="F72" s="500">
        <f ca="1">_xlfn.DAYS(E72,TODAY())/365</f>
        <v>13.065753424657535</v>
      </c>
      <c r="G72" s="436">
        <v>30.69</v>
      </c>
      <c r="H72" s="396">
        <v>0.02</v>
      </c>
      <c r="I72" s="397"/>
    </row>
    <row r="73" spans="2:12" x14ac:dyDescent="0.35">
      <c r="B73" s="154" t="s">
        <v>289</v>
      </c>
      <c r="C73" s="435">
        <v>4272</v>
      </c>
      <c r="D73" s="478">
        <v>43563</v>
      </c>
      <c r="E73" s="478">
        <v>49064</v>
      </c>
      <c r="F73" s="500">
        <f ca="1">_xlfn.DAYS(E73,TODAY())/365</f>
        <v>8.1452054794520556</v>
      </c>
      <c r="G73" s="436">
        <v>30.69</v>
      </c>
      <c r="H73" s="396">
        <v>0.02</v>
      </c>
      <c r="I73" s="397"/>
    </row>
    <row r="74" spans="2:12" x14ac:dyDescent="0.35">
      <c r="B74" s="125"/>
      <c r="C74" s="132"/>
      <c r="D74" s="132"/>
      <c r="E74" s="132"/>
      <c r="F74" s="132"/>
      <c r="G74" s="132"/>
      <c r="H74" s="132"/>
      <c r="I74" s="133"/>
    </row>
    <row r="75" spans="2:12" ht="15" thickBot="1" x14ac:dyDescent="0.4">
      <c r="B75" s="438" t="s">
        <v>256</v>
      </c>
      <c r="C75" s="439">
        <f>SUM(C71:C73)</f>
        <v>42707</v>
      </c>
      <c r="D75" s="440"/>
      <c r="E75" s="440"/>
      <c r="F75" s="440"/>
      <c r="G75" s="441">
        <f>SUMPRODUCT(C71:C73,G71:G73)/C75</f>
        <v>30.876738942093798</v>
      </c>
      <c r="H75" s="477">
        <f>SUMPRODUCT(C71:C73,H71:H73)/C75</f>
        <v>2.0000000000000004E-2</v>
      </c>
      <c r="I75" s="442"/>
    </row>
    <row r="77" spans="2:12" x14ac:dyDescent="0.35">
      <c r="B77" s="485"/>
      <c r="C77" s="497"/>
      <c r="H77" s="501"/>
      <c r="I77" s="474"/>
    </row>
    <row r="78" spans="2:12" x14ac:dyDescent="0.35">
      <c r="C78" s="395"/>
    </row>
    <row r="79" spans="2:12" x14ac:dyDescent="0.35">
      <c r="C79" s="474"/>
    </row>
    <row r="81" spans="8:9" x14ac:dyDescent="0.35">
      <c r="I81" s="395"/>
    </row>
    <row r="89" spans="8:9" x14ac:dyDescent="0.35">
      <c r="H89" s="395"/>
    </row>
  </sheetData>
  <sheetProtection formatCells="0" formatColumns="0" formatRows="0" insertColumns="0" insertRows="0" insertHyperlinks="0" deleteColumns="0" deleteRows="0" sort="0" autoFilter="0" pivotTables="0"/>
  <phoneticPr fontId="3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D6A2-21E0-49E8-8C18-69A2267DFEC1}">
  <sheetPr codeName="Sheet6">
    <tabColor theme="0" tint="-0.499984740745262"/>
    <outlinePr summaryBelow="0"/>
  </sheetPr>
  <dimension ref="A1:CE64"/>
  <sheetViews>
    <sheetView showGridLines="0" zoomScale="90" zoomScaleNormal="90" workbookViewId="0">
      <selection activeCell="N14" sqref="N14"/>
    </sheetView>
  </sheetViews>
  <sheetFormatPr defaultColWidth="8.7265625" defaultRowHeight="14.5" x14ac:dyDescent="0.35"/>
  <cols>
    <col min="1" max="1" width="25.7265625" customWidth="1"/>
    <col min="2" max="2" width="8.1796875" customWidth="1"/>
    <col min="3" max="3" width="8.26953125" customWidth="1"/>
    <col min="4" max="5" width="8.1796875" customWidth="1"/>
    <col min="6" max="6" width="8.26953125" customWidth="1"/>
    <col min="7" max="8" width="8.1796875" customWidth="1"/>
    <col min="9" max="9" width="8.26953125" customWidth="1"/>
    <col min="10" max="11" width="8.1796875" customWidth="1"/>
    <col min="12" max="12" width="8.26953125" customWidth="1"/>
    <col min="13" max="13" width="9" customWidth="1"/>
    <col min="14" max="14" width="4.54296875" customWidth="1"/>
    <col min="15" max="15" width="25.7265625" customWidth="1"/>
    <col min="16" max="17" width="7.453125" customWidth="1"/>
    <col min="18" max="18" width="8.1796875" customWidth="1"/>
    <col min="19" max="19" width="8.26953125" customWidth="1"/>
    <col min="20" max="21" width="8.1796875" customWidth="1"/>
    <col min="22" max="22" width="8.26953125" customWidth="1"/>
    <col min="23" max="24" width="8.1796875" customWidth="1"/>
    <col min="25" max="25" width="8.26953125" customWidth="1"/>
    <col min="26" max="26" width="8.1796875" customWidth="1"/>
    <col min="27" max="27" width="9" customWidth="1"/>
    <col min="28" max="28" width="4.54296875" customWidth="1"/>
    <col min="29" max="29" width="25.7265625" customWidth="1"/>
    <col min="30" max="30" width="6.81640625" customWidth="1"/>
    <col min="31" max="31" width="8.1796875" customWidth="1"/>
    <col min="32" max="32" width="8.26953125" customWidth="1"/>
    <col min="33" max="34" width="8.1796875" customWidth="1"/>
    <col min="35" max="35" width="8.26953125" customWidth="1"/>
    <col min="36" max="36" width="8.1796875" customWidth="1"/>
    <col min="37" max="37" width="4.54296875" customWidth="1"/>
    <col min="38" max="38" width="8.26953125" customWidth="1"/>
    <col min="39" max="40" width="8.1796875" customWidth="1"/>
    <col min="41" max="41" width="9.1796875" customWidth="1"/>
    <col min="42" max="42" width="4.54296875" customWidth="1"/>
    <col min="43" max="43" width="25.7265625" customWidth="1"/>
    <col min="44" max="44" width="8.1796875" customWidth="1"/>
    <col min="45" max="45" width="8.26953125" customWidth="1"/>
    <col min="46" max="47" width="8.1796875" customWidth="1"/>
    <col min="48" max="48" width="8.26953125" customWidth="1"/>
    <col min="49" max="50" width="8.1796875" customWidth="1"/>
    <col min="51" max="51" width="8.26953125" customWidth="1"/>
    <col min="52" max="53" width="8.1796875" customWidth="1"/>
    <col min="54" max="54" width="8.26953125" customWidth="1"/>
    <col min="55" max="55" width="9" customWidth="1"/>
    <col min="56" max="56" width="4.54296875" customWidth="1"/>
    <col min="57" max="57" width="25.7265625" customWidth="1"/>
    <col min="58" max="67" width="6.81640625" customWidth="1"/>
    <col min="68" max="68" width="8.1796875" customWidth="1"/>
    <col min="69" max="69" width="8.26953125" customWidth="1"/>
    <col min="70" max="70" width="4.54296875" customWidth="1"/>
    <col min="71" max="71" width="25.7265625" customWidth="1"/>
    <col min="72" max="72" width="8.1796875" customWidth="1"/>
    <col min="73" max="73" width="8.26953125" customWidth="1"/>
    <col min="74" max="75" width="8.1796875" customWidth="1"/>
    <col min="76" max="76" width="8.26953125" customWidth="1"/>
    <col min="77" max="78" width="8.1796875" customWidth="1"/>
    <col min="79" max="79" width="8.26953125" customWidth="1"/>
    <col min="80" max="81" width="8.1796875" customWidth="1"/>
    <col min="82" max="82" width="8.26953125" customWidth="1"/>
    <col min="83" max="83" width="9" customWidth="1"/>
  </cols>
  <sheetData>
    <row r="1" spans="1:83" ht="8.15" customHeight="1" x14ac:dyDescent="0.35"/>
    <row r="2" spans="1:83" x14ac:dyDescent="0.35">
      <c r="A2" s="521" t="s">
        <v>290</v>
      </c>
      <c r="B2" s="521"/>
      <c r="C2" s="521"/>
      <c r="D2" s="521"/>
      <c r="E2" s="521"/>
      <c r="F2" s="521"/>
      <c r="G2" s="521"/>
      <c r="H2" s="521"/>
      <c r="I2" s="521"/>
      <c r="J2" s="521"/>
      <c r="K2" s="521"/>
      <c r="L2" s="521"/>
      <c r="O2" s="472" t="s">
        <v>290</v>
      </c>
      <c r="P2" s="472"/>
      <c r="Q2" s="472"/>
      <c r="R2" s="472"/>
      <c r="S2" s="472"/>
      <c r="T2" s="472"/>
      <c r="U2" s="472"/>
      <c r="V2" s="472"/>
      <c r="W2" s="472"/>
      <c r="X2" s="472"/>
      <c r="Y2" s="472"/>
      <c r="Z2" s="472"/>
      <c r="AC2" s="521" t="s">
        <v>290</v>
      </c>
      <c r="AD2" s="521"/>
      <c r="AE2" s="521"/>
      <c r="AF2" s="521"/>
      <c r="AG2" s="521"/>
      <c r="AH2" s="521"/>
      <c r="AI2" s="521"/>
      <c r="AJ2" s="521"/>
      <c r="AK2" s="521"/>
      <c r="AL2" s="521"/>
      <c r="AM2" s="521"/>
      <c r="AN2" s="521"/>
      <c r="AQ2" s="521" t="s">
        <v>290</v>
      </c>
      <c r="AR2" s="521"/>
      <c r="AS2" s="521"/>
      <c r="AT2" s="521"/>
      <c r="AU2" s="521"/>
      <c r="AV2" s="521"/>
      <c r="AW2" s="521"/>
      <c r="AX2" s="521"/>
      <c r="AY2" s="521"/>
      <c r="AZ2" s="521"/>
      <c r="BA2" s="521"/>
      <c r="BB2" s="521"/>
      <c r="BE2" s="521" t="s">
        <v>290</v>
      </c>
      <c r="BF2" s="521"/>
      <c r="BG2" s="521"/>
      <c r="BH2" s="521"/>
      <c r="BI2" s="521"/>
      <c r="BJ2" s="521"/>
      <c r="BK2" s="521"/>
      <c r="BL2" s="521"/>
      <c r="BM2" s="521"/>
      <c r="BN2" s="521"/>
      <c r="BO2" s="521"/>
      <c r="BP2" s="521"/>
      <c r="BQ2" s="521"/>
      <c r="BS2" s="521" t="s">
        <v>290</v>
      </c>
      <c r="BT2" s="521"/>
      <c r="BU2" s="521"/>
      <c r="BV2" s="521"/>
      <c r="BW2" s="521"/>
      <c r="BX2" s="521"/>
      <c r="BY2" s="521"/>
      <c r="BZ2" s="521"/>
      <c r="CA2" s="521"/>
      <c r="CB2" s="521"/>
      <c r="CC2" s="521"/>
      <c r="CD2" s="521"/>
    </row>
    <row r="3" spans="1:83" ht="8.15" customHeight="1" x14ac:dyDescent="0.35"/>
    <row r="4" spans="1:83" ht="8.15" customHeight="1" x14ac:dyDescent="0.35">
      <c r="A4" s="522" t="s">
        <v>291</v>
      </c>
      <c r="B4" s="522"/>
      <c r="C4" s="522"/>
      <c r="D4" s="522"/>
      <c r="E4" s="522"/>
      <c r="F4" s="522"/>
      <c r="G4" s="522"/>
      <c r="H4" s="522"/>
      <c r="I4" s="522"/>
      <c r="J4" s="522"/>
      <c r="K4" s="522"/>
      <c r="L4" s="522"/>
      <c r="O4" s="522" t="s">
        <v>292</v>
      </c>
      <c r="P4" s="522"/>
      <c r="Q4" s="522"/>
      <c r="R4" s="522"/>
      <c r="S4" s="522"/>
      <c r="T4" s="522"/>
      <c r="U4" s="522"/>
      <c r="V4" s="522"/>
      <c r="W4" s="522"/>
      <c r="X4" s="522"/>
      <c r="Y4" s="522"/>
      <c r="Z4" s="522"/>
      <c r="AC4" s="522" t="s">
        <v>293</v>
      </c>
      <c r="AD4" s="522"/>
      <c r="AE4" s="522"/>
      <c r="AF4" s="522"/>
      <c r="AG4" s="522"/>
      <c r="AH4" s="522"/>
      <c r="AI4" s="522"/>
      <c r="AJ4" s="522"/>
      <c r="AK4" s="522"/>
      <c r="AL4" s="522"/>
      <c r="AM4" s="522"/>
      <c r="AN4" s="522"/>
      <c r="AQ4" s="522" t="s">
        <v>294</v>
      </c>
      <c r="AR4" s="522"/>
      <c r="AS4" s="522"/>
      <c r="AT4" s="522"/>
      <c r="AU4" s="522"/>
      <c r="AV4" s="522"/>
      <c r="AW4" s="522"/>
      <c r="AX4" s="522"/>
      <c r="AY4" s="522"/>
      <c r="AZ4" s="522"/>
      <c r="BA4" s="522"/>
      <c r="BB4" s="522"/>
      <c r="BE4" s="522" t="s">
        <v>295</v>
      </c>
      <c r="BF4" s="522"/>
      <c r="BG4" s="522"/>
      <c r="BH4" s="522"/>
      <c r="BI4" s="522"/>
      <c r="BJ4" s="522"/>
      <c r="BK4" s="522"/>
      <c r="BL4" s="522"/>
      <c r="BM4" s="522"/>
      <c r="BN4" s="522"/>
      <c r="BO4" s="522"/>
      <c r="BP4" s="522"/>
      <c r="BQ4" s="522"/>
      <c r="BS4" s="522" t="s">
        <v>296</v>
      </c>
      <c r="BT4" s="522"/>
      <c r="BU4" s="522"/>
      <c r="BV4" s="522"/>
      <c r="BW4" s="522"/>
      <c r="BX4" s="522"/>
      <c r="BY4" s="522"/>
      <c r="BZ4" s="522"/>
      <c r="CA4" s="522"/>
      <c r="CB4" s="522"/>
      <c r="CC4" s="522"/>
      <c r="CD4" s="522"/>
    </row>
    <row r="5" spans="1:83" ht="8.15" customHeight="1" x14ac:dyDescent="0.35">
      <c r="A5" s="471" t="s">
        <v>297</v>
      </c>
      <c r="B5" s="471"/>
      <c r="C5" s="471"/>
      <c r="D5" s="471"/>
      <c r="E5" s="471"/>
      <c r="F5" s="471"/>
      <c r="G5" s="471"/>
      <c r="H5" s="471"/>
      <c r="I5" s="471"/>
      <c r="J5" s="471"/>
      <c r="K5" s="471"/>
      <c r="L5" s="471"/>
      <c r="O5" s="522" t="s">
        <v>297</v>
      </c>
      <c r="P5" s="522"/>
      <c r="Q5" s="522"/>
      <c r="R5" s="522"/>
      <c r="S5" s="522"/>
      <c r="T5" s="522"/>
      <c r="U5" s="522"/>
      <c r="V5" s="522"/>
      <c r="W5" s="522"/>
      <c r="X5" s="522"/>
      <c r="Y5" s="522"/>
      <c r="Z5" s="522"/>
      <c r="AC5" s="522" t="s">
        <v>297</v>
      </c>
      <c r="AD5" s="522"/>
      <c r="AE5" s="522"/>
      <c r="AF5" s="522"/>
      <c r="AG5" s="522"/>
      <c r="AH5" s="522"/>
      <c r="AI5" s="522"/>
      <c r="AJ5" s="522"/>
      <c r="AK5" s="522"/>
      <c r="AL5" s="522"/>
      <c r="AM5" s="522"/>
      <c r="AN5" s="522"/>
      <c r="AQ5" s="522" t="s">
        <v>297</v>
      </c>
      <c r="AR5" s="522"/>
      <c r="AS5" s="522"/>
      <c r="AT5" s="522"/>
      <c r="AU5" s="522"/>
      <c r="AV5" s="522"/>
      <c r="AW5" s="522"/>
      <c r="AX5" s="522"/>
      <c r="AY5" s="522"/>
      <c r="AZ5" s="522"/>
      <c r="BA5" s="522"/>
      <c r="BB5" s="522"/>
      <c r="BE5" s="522" t="s">
        <v>297</v>
      </c>
      <c r="BF5" s="522"/>
      <c r="BG5" s="522"/>
      <c r="BH5" s="522"/>
      <c r="BI5" s="522"/>
      <c r="BJ5" s="522"/>
      <c r="BK5" s="522"/>
      <c r="BL5" s="522"/>
      <c r="BM5" s="522"/>
      <c r="BN5" s="522"/>
      <c r="BO5" s="522"/>
      <c r="BP5" s="522"/>
      <c r="BQ5" s="522"/>
      <c r="BS5" s="522" t="s">
        <v>297</v>
      </c>
      <c r="BT5" s="522"/>
      <c r="BU5" s="522"/>
      <c r="BV5" s="522"/>
      <c r="BW5" s="522"/>
      <c r="BX5" s="522"/>
      <c r="BY5" s="522"/>
      <c r="BZ5" s="522"/>
      <c r="CA5" s="522"/>
      <c r="CB5" s="522"/>
      <c r="CC5" s="522"/>
      <c r="CD5" s="522"/>
    </row>
    <row r="6" spans="1:83" ht="8.15" customHeight="1" x14ac:dyDescent="0.35">
      <c r="A6" s="471" t="s">
        <v>298</v>
      </c>
      <c r="B6" s="471"/>
      <c r="C6" s="471"/>
      <c r="D6" s="471"/>
      <c r="E6" s="471"/>
      <c r="F6" s="471"/>
      <c r="G6" s="471"/>
      <c r="H6" s="471"/>
      <c r="I6" s="471"/>
      <c r="J6" s="471"/>
      <c r="K6" s="471"/>
      <c r="L6" s="471"/>
      <c r="O6" s="522" t="s">
        <v>299</v>
      </c>
      <c r="P6" s="522"/>
      <c r="Q6" s="522"/>
      <c r="R6" s="522"/>
      <c r="S6" s="522"/>
      <c r="T6" s="522"/>
      <c r="U6" s="522"/>
      <c r="V6" s="522"/>
      <c r="W6" s="522"/>
      <c r="X6" s="522"/>
      <c r="Y6" s="522"/>
      <c r="Z6" s="522"/>
      <c r="AC6" s="522" t="s">
        <v>300</v>
      </c>
      <c r="AD6" s="522"/>
      <c r="AE6" s="522"/>
      <c r="AF6" s="522"/>
      <c r="AG6" s="522"/>
      <c r="AH6" s="522"/>
      <c r="AI6" s="522"/>
      <c r="AJ6" s="522"/>
      <c r="AK6" s="522"/>
      <c r="AL6" s="522"/>
      <c r="AM6" s="522"/>
      <c r="AN6" s="522"/>
      <c r="AQ6" s="522" t="s">
        <v>301</v>
      </c>
      <c r="AR6" s="522"/>
      <c r="AS6" s="522"/>
      <c r="AT6" s="522"/>
      <c r="AU6" s="522"/>
      <c r="AV6" s="522"/>
      <c r="AW6" s="522"/>
      <c r="AX6" s="522"/>
      <c r="AY6" s="522"/>
      <c r="AZ6" s="522"/>
      <c r="BA6" s="522"/>
      <c r="BB6" s="522"/>
      <c r="BE6" s="522" t="s">
        <v>302</v>
      </c>
      <c r="BF6" s="522"/>
      <c r="BG6" s="522"/>
      <c r="BH6" s="522"/>
      <c r="BI6" s="522"/>
      <c r="BJ6" s="522"/>
      <c r="BK6" s="522"/>
      <c r="BL6" s="522"/>
      <c r="BM6" s="522"/>
      <c r="BN6" s="522"/>
      <c r="BO6" s="522"/>
      <c r="BP6" s="522"/>
      <c r="BQ6" s="522"/>
      <c r="BS6" s="522" t="s">
        <v>303</v>
      </c>
      <c r="BT6" s="522"/>
      <c r="BU6" s="522"/>
      <c r="BV6" s="522"/>
      <c r="BW6" s="522"/>
      <c r="BX6" s="522"/>
      <c r="BY6" s="522"/>
      <c r="BZ6" s="522"/>
      <c r="CA6" s="522"/>
      <c r="CB6" s="522"/>
      <c r="CC6" s="522"/>
      <c r="CD6" s="522"/>
    </row>
    <row r="7" spans="1:83" ht="8.15" customHeight="1" x14ac:dyDescent="0.35">
      <c r="A7" s="471"/>
      <c r="B7" s="471"/>
      <c r="C7" s="471"/>
      <c r="D7" s="471"/>
      <c r="E7" s="471"/>
      <c r="F7" s="471"/>
      <c r="G7" s="471"/>
      <c r="H7" s="471"/>
      <c r="I7" s="471"/>
      <c r="J7" s="471"/>
      <c r="K7" s="471"/>
      <c r="L7" s="471"/>
    </row>
    <row r="8" spans="1:83" ht="8.15" customHeight="1" x14ac:dyDescent="0.35">
      <c r="B8" s="358" t="s">
        <v>304</v>
      </c>
      <c r="C8" s="358" t="s">
        <v>304</v>
      </c>
      <c r="D8" s="358" t="s">
        <v>304</v>
      </c>
      <c r="E8" s="358" t="s">
        <v>304</v>
      </c>
      <c r="F8" s="358" t="s">
        <v>304</v>
      </c>
      <c r="G8" s="358" t="s">
        <v>304</v>
      </c>
      <c r="H8" s="358" t="s">
        <v>304</v>
      </c>
      <c r="I8" s="358" t="s">
        <v>304</v>
      </c>
      <c r="J8" s="358" t="s">
        <v>304</v>
      </c>
      <c r="K8" s="358" t="s">
        <v>304</v>
      </c>
      <c r="L8" s="358" t="s">
        <v>304</v>
      </c>
      <c r="M8" s="358" t="s">
        <v>304</v>
      </c>
      <c r="P8" s="358" t="s">
        <v>304</v>
      </c>
      <c r="Q8" s="358" t="s">
        <v>304</v>
      </c>
      <c r="R8" s="358" t="s">
        <v>304</v>
      </c>
      <c r="S8" s="358" t="s">
        <v>304</v>
      </c>
      <c r="T8" s="358" t="s">
        <v>304</v>
      </c>
      <c r="U8" s="358" t="s">
        <v>304</v>
      </c>
      <c r="V8" s="358" t="s">
        <v>304</v>
      </c>
      <c r="W8" s="358" t="s">
        <v>304</v>
      </c>
      <c r="X8" s="358" t="s">
        <v>304</v>
      </c>
      <c r="Y8" s="358" t="s">
        <v>304</v>
      </c>
      <c r="Z8" s="358" t="s">
        <v>304</v>
      </c>
      <c r="AA8" s="358" t="s">
        <v>304</v>
      </c>
      <c r="AD8" s="358" t="s">
        <v>304</v>
      </c>
      <c r="AE8" s="358" t="s">
        <v>304</v>
      </c>
      <c r="AF8" s="358" t="s">
        <v>304</v>
      </c>
      <c r="AG8" s="358" t="s">
        <v>304</v>
      </c>
      <c r="AH8" s="358" t="s">
        <v>304</v>
      </c>
      <c r="AI8" s="358" t="s">
        <v>304</v>
      </c>
      <c r="AJ8" s="358" t="s">
        <v>304</v>
      </c>
      <c r="AK8" s="358" t="s">
        <v>304</v>
      </c>
      <c r="AL8" s="358" t="s">
        <v>304</v>
      </c>
      <c r="AM8" s="358" t="s">
        <v>304</v>
      </c>
      <c r="AN8" s="358" t="s">
        <v>304</v>
      </c>
      <c r="AO8" s="358" t="s">
        <v>304</v>
      </c>
      <c r="AP8" s="357"/>
      <c r="AR8" s="358" t="s">
        <v>304</v>
      </c>
      <c r="AS8" s="358" t="s">
        <v>304</v>
      </c>
      <c r="AT8" s="358" t="s">
        <v>304</v>
      </c>
      <c r="AU8" s="358" t="s">
        <v>304</v>
      </c>
      <c r="AV8" s="358" t="s">
        <v>304</v>
      </c>
      <c r="AW8" s="358" t="s">
        <v>304</v>
      </c>
      <c r="AX8" s="358" t="s">
        <v>304</v>
      </c>
      <c r="AY8" s="358" t="s">
        <v>304</v>
      </c>
      <c r="AZ8" s="358" t="s">
        <v>304</v>
      </c>
      <c r="BA8" s="358" t="s">
        <v>304</v>
      </c>
      <c r="BB8" s="358" t="s">
        <v>304</v>
      </c>
      <c r="BC8" s="358" t="s">
        <v>304</v>
      </c>
      <c r="BF8" s="358" t="s">
        <v>304</v>
      </c>
      <c r="BG8" s="358" t="s">
        <v>304</v>
      </c>
      <c r="BH8" s="358" t="s">
        <v>304</v>
      </c>
      <c r="BI8" s="358" t="s">
        <v>304</v>
      </c>
      <c r="BJ8" s="358" t="s">
        <v>304</v>
      </c>
      <c r="BK8" s="358" t="s">
        <v>304</v>
      </c>
      <c r="BL8" s="358" t="s">
        <v>304</v>
      </c>
      <c r="BM8" s="358" t="s">
        <v>304</v>
      </c>
      <c r="BN8" s="358" t="s">
        <v>304</v>
      </c>
      <c r="BO8" s="358" t="s">
        <v>304</v>
      </c>
      <c r="BP8" s="358" t="s">
        <v>304</v>
      </c>
      <c r="BQ8" s="358" t="s">
        <v>304</v>
      </c>
      <c r="BT8" s="358" t="s">
        <v>304</v>
      </c>
      <c r="BU8" s="358" t="s">
        <v>304</v>
      </c>
      <c r="BV8" s="358" t="s">
        <v>304</v>
      </c>
      <c r="BW8" s="358" t="s">
        <v>304</v>
      </c>
      <c r="BX8" s="358" t="s">
        <v>304</v>
      </c>
      <c r="BY8" s="358" t="s">
        <v>304</v>
      </c>
      <c r="BZ8" s="358" t="s">
        <v>304</v>
      </c>
      <c r="CA8" s="358" t="s">
        <v>304</v>
      </c>
      <c r="CB8" s="358" t="s">
        <v>304</v>
      </c>
      <c r="CC8" s="358" t="s">
        <v>304</v>
      </c>
      <c r="CD8" s="358" t="s">
        <v>304</v>
      </c>
      <c r="CE8" s="358" t="s">
        <v>304</v>
      </c>
    </row>
    <row r="9" spans="1:83" ht="8.15" customHeight="1" x14ac:dyDescent="0.35"/>
    <row r="10" spans="1:83" ht="8.15" customHeight="1" x14ac:dyDescent="0.35">
      <c r="B10" s="349" t="s">
        <v>114</v>
      </c>
      <c r="C10" s="349" t="s">
        <v>115</v>
      </c>
      <c r="D10" s="349" t="s">
        <v>116</v>
      </c>
      <c r="E10" s="349" t="s">
        <v>117</v>
      </c>
      <c r="F10" s="349" t="s">
        <v>118</v>
      </c>
      <c r="G10" s="349" t="s">
        <v>119</v>
      </c>
      <c r="H10" s="349" t="s">
        <v>120</v>
      </c>
      <c r="I10" s="349" t="s">
        <v>121</v>
      </c>
      <c r="J10" s="349" t="s">
        <v>122</v>
      </c>
      <c r="K10" s="349" t="s">
        <v>123</v>
      </c>
      <c r="L10" s="349" t="s">
        <v>258</v>
      </c>
      <c r="P10" s="349" t="s">
        <v>114</v>
      </c>
      <c r="Q10" s="349" t="s">
        <v>115</v>
      </c>
      <c r="R10" s="349" t="s">
        <v>116</v>
      </c>
      <c r="S10" s="349" t="s">
        <v>117</v>
      </c>
      <c r="T10" s="349" t="s">
        <v>118</v>
      </c>
      <c r="U10" s="349" t="s">
        <v>119</v>
      </c>
      <c r="V10" s="349" t="s">
        <v>120</v>
      </c>
      <c r="W10" s="349" t="s">
        <v>121</v>
      </c>
      <c r="X10" s="349" t="s">
        <v>122</v>
      </c>
      <c r="Y10" s="349" t="s">
        <v>123</v>
      </c>
      <c r="Z10" s="349" t="s">
        <v>258</v>
      </c>
      <c r="AD10" s="349" t="s">
        <v>114</v>
      </c>
      <c r="AE10" s="349" t="s">
        <v>115</v>
      </c>
      <c r="AF10" s="349" t="s">
        <v>116</v>
      </c>
      <c r="AG10" s="349" t="s">
        <v>117</v>
      </c>
      <c r="AH10" s="349" t="s">
        <v>118</v>
      </c>
      <c r="AI10" s="349" t="s">
        <v>119</v>
      </c>
      <c r="AJ10" s="349" t="s">
        <v>120</v>
      </c>
      <c r="AK10" s="349" t="s">
        <v>121</v>
      </c>
      <c r="AL10" s="349" t="s">
        <v>122</v>
      </c>
      <c r="AM10" s="349" t="s">
        <v>123</v>
      </c>
      <c r="AN10" s="349" t="s">
        <v>258</v>
      </c>
      <c r="AR10" s="349" t="s">
        <v>114</v>
      </c>
      <c r="AS10" s="349" t="s">
        <v>115</v>
      </c>
      <c r="AT10" s="349" t="s">
        <v>116</v>
      </c>
      <c r="AU10" s="349" t="s">
        <v>117</v>
      </c>
      <c r="AV10" s="349" t="s">
        <v>118</v>
      </c>
      <c r="AW10" s="349" t="s">
        <v>119</v>
      </c>
      <c r="AX10" s="349" t="s">
        <v>120</v>
      </c>
      <c r="AY10" s="349" t="s">
        <v>121</v>
      </c>
      <c r="AZ10" s="349" t="s">
        <v>122</v>
      </c>
      <c r="BA10" s="349" t="s">
        <v>123</v>
      </c>
      <c r="BB10" s="349" t="s">
        <v>258</v>
      </c>
      <c r="BF10" s="349" t="s">
        <v>114</v>
      </c>
      <c r="BG10" s="349" t="s">
        <v>115</v>
      </c>
      <c r="BH10" s="349" t="s">
        <v>116</v>
      </c>
      <c r="BI10" s="349" t="s">
        <v>117</v>
      </c>
      <c r="BJ10" s="349" t="s">
        <v>118</v>
      </c>
      <c r="BK10" s="349" t="s">
        <v>119</v>
      </c>
      <c r="BL10" s="349" t="s">
        <v>120</v>
      </c>
      <c r="BM10" s="349" t="s">
        <v>121</v>
      </c>
      <c r="BN10" s="349" t="s">
        <v>122</v>
      </c>
      <c r="BO10" s="349" t="s">
        <v>123</v>
      </c>
      <c r="BP10" s="349" t="s">
        <v>258</v>
      </c>
      <c r="BT10" s="349" t="s">
        <v>114</v>
      </c>
      <c r="BU10" s="349" t="s">
        <v>115</v>
      </c>
      <c r="BV10" s="349" t="s">
        <v>116</v>
      </c>
      <c r="BW10" s="349" t="s">
        <v>117</v>
      </c>
      <c r="BX10" s="349" t="s">
        <v>118</v>
      </c>
      <c r="BY10" s="349" t="s">
        <v>119</v>
      </c>
      <c r="BZ10" s="349" t="s">
        <v>120</v>
      </c>
      <c r="CA10" s="349" t="s">
        <v>121</v>
      </c>
      <c r="CB10" s="349" t="s">
        <v>122</v>
      </c>
      <c r="CC10" s="349" t="s">
        <v>123</v>
      </c>
      <c r="CD10" s="349" t="s">
        <v>258</v>
      </c>
    </row>
    <row r="11" spans="1:83" ht="8.15" customHeight="1" x14ac:dyDescent="0.35">
      <c r="A11" s="471" t="s">
        <v>305</v>
      </c>
      <c r="B11" s="350" t="s">
        <v>306</v>
      </c>
      <c r="C11" s="350" t="s">
        <v>307</v>
      </c>
      <c r="D11" s="350" t="s">
        <v>308</v>
      </c>
      <c r="E11" s="350" t="s">
        <v>309</v>
      </c>
      <c r="F11" s="350" t="s">
        <v>310</v>
      </c>
      <c r="G11" s="350" t="s">
        <v>311</v>
      </c>
      <c r="H11" s="350" t="s">
        <v>312</v>
      </c>
      <c r="I11" s="350" t="s">
        <v>313</v>
      </c>
      <c r="J11" s="350" t="s">
        <v>314</v>
      </c>
      <c r="K11" s="350" t="s">
        <v>315</v>
      </c>
      <c r="L11" s="350" t="s">
        <v>316</v>
      </c>
      <c r="M11" s="350" t="s">
        <v>24</v>
      </c>
      <c r="O11" s="471" t="s">
        <v>305</v>
      </c>
      <c r="P11" s="350" t="s">
        <v>306</v>
      </c>
      <c r="Q11" s="350" t="s">
        <v>307</v>
      </c>
      <c r="R11" s="350" t="s">
        <v>308</v>
      </c>
      <c r="S11" s="350" t="s">
        <v>309</v>
      </c>
      <c r="T11" s="350" t="s">
        <v>310</v>
      </c>
      <c r="U11" s="350" t="s">
        <v>311</v>
      </c>
      <c r="V11" s="350" t="s">
        <v>312</v>
      </c>
      <c r="W11" s="350" t="s">
        <v>313</v>
      </c>
      <c r="X11" s="350" t="s">
        <v>314</v>
      </c>
      <c r="Y11" s="350" t="s">
        <v>315</v>
      </c>
      <c r="Z11" s="350" t="s">
        <v>316</v>
      </c>
      <c r="AA11" s="350" t="s">
        <v>24</v>
      </c>
      <c r="AC11" s="471" t="s">
        <v>305</v>
      </c>
      <c r="AD11" s="350" t="s">
        <v>306</v>
      </c>
      <c r="AE11" s="350" t="s">
        <v>307</v>
      </c>
      <c r="AF11" s="350" t="s">
        <v>308</v>
      </c>
      <c r="AG11" s="350" t="s">
        <v>309</v>
      </c>
      <c r="AH11" s="350" t="s">
        <v>310</v>
      </c>
      <c r="AI11" s="350" t="s">
        <v>311</v>
      </c>
      <c r="AJ11" s="350" t="s">
        <v>312</v>
      </c>
      <c r="AK11" s="350" t="s">
        <v>313</v>
      </c>
      <c r="AL11" s="350" t="s">
        <v>314</v>
      </c>
      <c r="AM11" s="350" t="s">
        <v>315</v>
      </c>
      <c r="AN11" s="350" t="s">
        <v>316</v>
      </c>
      <c r="AO11" s="350" t="s">
        <v>24</v>
      </c>
      <c r="AP11" s="350"/>
      <c r="AQ11" s="471" t="s">
        <v>305</v>
      </c>
      <c r="AR11" s="350" t="s">
        <v>306</v>
      </c>
      <c r="AS11" s="350" t="s">
        <v>307</v>
      </c>
      <c r="AT11" s="350" t="s">
        <v>308</v>
      </c>
      <c r="AU11" s="350" t="s">
        <v>309</v>
      </c>
      <c r="AV11" s="350" t="s">
        <v>310</v>
      </c>
      <c r="AW11" s="350" t="s">
        <v>311</v>
      </c>
      <c r="AX11" s="350" t="s">
        <v>312</v>
      </c>
      <c r="AY11" s="350" t="s">
        <v>313</v>
      </c>
      <c r="AZ11" s="350" t="s">
        <v>314</v>
      </c>
      <c r="BA11" s="350" t="s">
        <v>315</v>
      </c>
      <c r="BB11" s="350" t="s">
        <v>316</v>
      </c>
      <c r="BC11" s="350" t="s">
        <v>24</v>
      </c>
      <c r="BE11" s="471" t="s">
        <v>305</v>
      </c>
      <c r="BF11" s="350" t="s">
        <v>306</v>
      </c>
      <c r="BG11" s="350" t="s">
        <v>307</v>
      </c>
      <c r="BH11" s="350" t="s">
        <v>308</v>
      </c>
      <c r="BI11" s="350" t="s">
        <v>309</v>
      </c>
      <c r="BJ11" s="350" t="s">
        <v>310</v>
      </c>
      <c r="BK11" s="350" t="s">
        <v>311</v>
      </c>
      <c r="BL11" s="350" t="s">
        <v>312</v>
      </c>
      <c r="BM11" s="350" t="s">
        <v>313</v>
      </c>
      <c r="BN11" s="350" t="s">
        <v>314</v>
      </c>
      <c r="BO11" s="350" t="s">
        <v>315</v>
      </c>
      <c r="BP11" s="350" t="s">
        <v>316</v>
      </c>
      <c r="BQ11" s="350" t="s">
        <v>24</v>
      </c>
      <c r="BS11" s="471" t="s">
        <v>305</v>
      </c>
      <c r="BT11" s="350" t="s">
        <v>306</v>
      </c>
      <c r="BU11" s="350" t="s">
        <v>307</v>
      </c>
      <c r="BV11" s="350" t="s">
        <v>308</v>
      </c>
      <c r="BW11" s="350" t="s">
        <v>309</v>
      </c>
      <c r="BX11" s="350" t="s">
        <v>310</v>
      </c>
      <c r="BY11" s="350" t="s">
        <v>311</v>
      </c>
      <c r="BZ11" s="350" t="s">
        <v>312</v>
      </c>
      <c r="CA11" s="350" t="s">
        <v>313</v>
      </c>
      <c r="CB11" s="350" t="s">
        <v>314</v>
      </c>
      <c r="CC11" s="350" t="s">
        <v>315</v>
      </c>
      <c r="CD11" s="350" t="s">
        <v>316</v>
      </c>
      <c r="CE11" s="350" t="s">
        <v>24</v>
      </c>
    </row>
    <row r="12" spans="1:83" ht="8.15" customHeight="1" x14ac:dyDescent="0.35"/>
    <row r="13" spans="1:83" ht="8.15" customHeight="1" x14ac:dyDescent="0.35">
      <c r="A13" s="351" t="s">
        <v>317</v>
      </c>
      <c r="O13" s="351" t="s">
        <v>317</v>
      </c>
      <c r="AC13" s="351" t="s">
        <v>317</v>
      </c>
      <c r="AG13" t="s">
        <v>318</v>
      </c>
      <c r="AQ13" s="351" t="s">
        <v>317</v>
      </c>
      <c r="BE13" s="351" t="s">
        <v>317</v>
      </c>
      <c r="BS13" s="351" t="s">
        <v>317</v>
      </c>
    </row>
    <row r="14" spans="1:83" ht="8.15" customHeight="1" x14ac:dyDescent="0.35">
      <c r="A14" s="352" t="s">
        <v>319</v>
      </c>
      <c r="B14" s="353">
        <v>808747</v>
      </c>
      <c r="C14" s="353">
        <v>818634</v>
      </c>
      <c r="D14" s="353">
        <v>830033</v>
      </c>
      <c r="E14" s="353">
        <v>846474</v>
      </c>
      <c r="F14" s="353">
        <v>867088</v>
      </c>
      <c r="G14" s="353">
        <v>884407</v>
      </c>
      <c r="H14" s="353">
        <v>868848</v>
      </c>
      <c r="I14" s="353">
        <v>879490</v>
      </c>
      <c r="J14" s="353">
        <v>895671</v>
      </c>
      <c r="K14" s="353">
        <v>930120</v>
      </c>
      <c r="L14" s="353">
        <v>974087</v>
      </c>
      <c r="M14" s="353">
        <v>9603601</v>
      </c>
      <c r="O14" s="352" t="s">
        <v>319</v>
      </c>
      <c r="P14" s="353">
        <v>568030</v>
      </c>
      <c r="Q14" s="353">
        <v>723834</v>
      </c>
      <c r="R14" s="353">
        <v>741559</v>
      </c>
      <c r="S14" s="353">
        <v>759330</v>
      </c>
      <c r="T14" s="353">
        <v>777150</v>
      </c>
      <c r="U14" s="353">
        <v>785607</v>
      </c>
      <c r="V14" s="353">
        <v>794115</v>
      </c>
      <c r="W14" s="353">
        <v>802673</v>
      </c>
      <c r="X14" s="353">
        <v>812769</v>
      </c>
      <c r="Y14" s="353">
        <v>826990</v>
      </c>
      <c r="Z14" s="353">
        <v>858040</v>
      </c>
      <c r="AA14" s="353">
        <v>8450097</v>
      </c>
      <c r="AC14" s="352" t="s">
        <v>319</v>
      </c>
      <c r="AD14" s="353">
        <v>768909</v>
      </c>
      <c r="AE14" s="353">
        <v>890280</v>
      </c>
      <c r="AF14" s="353">
        <v>906738</v>
      </c>
      <c r="AG14" s="353">
        <v>914204</v>
      </c>
      <c r="AH14" s="353">
        <v>921733</v>
      </c>
      <c r="AI14" s="353">
        <v>929326</v>
      </c>
      <c r="AJ14" s="353">
        <v>987973</v>
      </c>
      <c r="AK14" s="353">
        <v>1005896</v>
      </c>
      <c r="AL14" s="353">
        <v>1013691</v>
      </c>
      <c r="AM14" s="353">
        <v>1021555</v>
      </c>
      <c r="AN14" s="353">
        <v>1023903</v>
      </c>
      <c r="AO14" s="353">
        <v>10384208</v>
      </c>
      <c r="AP14" s="353"/>
      <c r="AQ14" s="352" t="s">
        <v>319</v>
      </c>
      <c r="AR14" s="353">
        <v>1360429</v>
      </c>
      <c r="AS14" s="353">
        <v>1384153</v>
      </c>
      <c r="AT14" s="353">
        <v>1408208</v>
      </c>
      <c r="AU14" s="353">
        <v>1432912</v>
      </c>
      <c r="AV14" s="353">
        <v>1457935</v>
      </c>
      <c r="AW14" s="353">
        <v>1483462</v>
      </c>
      <c r="AX14" s="353">
        <v>1509275</v>
      </c>
      <c r="AY14" s="353">
        <v>1535503</v>
      </c>
      <c r="AZ14" s="353">
        <v>1562884</v>
      </c>
      <c r="BA14" s="353">
        <v>1592114</v>
      </c>
      <c r="BB14" s="353">
        <v>1612944</v>
      </c>
      <c r="BC14" s="353">
        <v>16339820</v>
      </c>
      <c r="BE14" s="352" t="s">
        <v>319</v>
      </c>
      <c r="BF14" s="353">
        <v>584129</v>
      </c>
      <c r="BG14" s="353">
        <v>595812</v>
      </c>
      <c r="BH14" s="353">
        <v>607728</v>
      </c>
      <c r="BI14" s="353">
        <v>619882</v>
      </c>
      <c r="BJ14" s="353">
        <v>632280</v>
      </c>
      <c r="BK14" s="353">
        <v>644926</v>
      </c>
      <c r="BL14" s="353">
        <v>657824</v>
      </c>
      <c r="BM14" s="353">
        <v>670981</v>
      </c>
      <c r="BN14" s="353">
        <v>684400</v>
      </c>
      <c r="BO14" s="353">
        <v>698088</v>
      </c>
      <c r="BP14" s="353">
        <v>712050</v>
      </c>
      <c r="BQ14" s="353">
        <v>7108099</v>
      </c>
      <c r="BS14" s="352" t="s">
        <v>319</v>
      </c>
      <c r="BT14" s="353">
        <v>1318406</v>
      </c>
      <c r="BU14" s="353">
        <v>1344884</v>
      </c>
      <c r="BV14" s="353">
        <v>1371612</v>
      </c>
      <c r="BW14" s="353">
        <v>1399069</v>
      </c>
      <c r="BX14" s="353">
        <v>1427078</v>
      </c>
      <c r="BY14" s="353">
        <v>1455692</v>
      </c>
      <c r="BZ14" s="353">
        <v>1484679</v>
      </c>
      <c r="CA14" s="353">
        <v>1514574</v>
      </c>
      <c r="CB14" s="353">
        <v>1544718</v>
      </c>
      <c r="CC14" s="353">
        <v>1575592</v>
      </c>
      <c r="CD14" s="353">
        <v>1607017</v>
      </c>
      <c r="CE14" s="353">
        <v>16043321</v>
      </c>
    </row>
    <row r="15" spans="1:83" ht="8.15" customHeight="1" x14ac:dyDescent="0.35">
      <c r="A15" s="352" t="s">
        <v>320</v>
      </c>
      <c r="B15" s="353">
        <v>-16527</v>
      </c>
      <c r="C15" s="353">
        <v>0</v>
      </c>
      <c r="D15" s="353">
        <v>-2850</v>
      </c>
      <c r="E15" s="353">
        <v>-17111</v>
      </c>
      <c r="F15" s="353">
        <v>0</v>
      </c>
      <c r="G15" s="353">
        <v>-47495</v>
      </c>
      <c r="H15" s="353">
        <v>-25167</v>
      </c>
      <c r="I15" s="353">
        <v>-3447</v>
      </c>
      <c r="J15" s="353">
        <v>-19359</v>
      </c>
      <c r="K15" s="353">
        <v>-13922</v>
      </c>
      <c r="L15" s="353">
        <v>0</v>
      </c>
      <c r="M15" s="353">
        <v>-145879</v>
      </c>
      <c r="O15" s="352" t="s">
        <v>320</v>
      </c>
      <c r="P15" s="353">
        <v>0</v>
      </c>
      <c r="Q15" s="353">
        <v>0</v>
      </c>
      <c r="R15" s="353">
        <v>0</v>
      </c>
      <c r="S15" s="353">
        <v>0</v>
      </c>
      <c r="T15" s="353">
        <v>0</v>
      </c>
      <c r="U15" s="353">
        <v>0</v>
      </c>
      <c r="V15" s="353">
        <v>0</v>
      </c>
      <c r="W15" s="353">
        <v>0</v>
      </c>
      <c r="X15" s="353">
        <v>-6598</v>
      </c>
      <c r="Y15" s="353">
        <v>-13425</v>
      </c>
      <c r="Z15" s="353">
        <v>0</v>
      </c>
      <c r="AA15" s="353">
        <v>-20024</v>
      </c>
      <c r="AC15" s="352" t="s">
        <v>320</v>
      </c>
      <c r="AD15" s="353">
        <v>0</v>
      </c>
      <c r="AE15" s="353">
        <v>0</v>
      </c>
      <c r="AF15" s="353">
        <v>0</v>
      </c>
      <c r="AG15" s="353">
        <v>0</v>
      </c>
      <c r="AH15" s="353">
        <v>0</v>
      </c>
      <c r="AI15" s="353">
        <v>0</v>
      </c>
      <c r="AJ15" s="353">
        <v>0</v>
      </c>
      <c r="AK15" s="353">
        <v>0</v>
      </c>
      <c r="AL15" s="353">
        <v>0</v>
      </c>
      <c r="AM15" s="353">
        <v>0</v>
      </c>
      <c r="AN15" s="353">
        <v>-71084</v>
      </c>
      <c r="AO15" s="353">
        <v>-71084</v>
      </c>
      <c r="AP15" s="353"/>
      <c r="AQ15" s="352" t="s">
        <v>320</v>
      </c>
      <c r="AR15" s="353">
        <v>0</v>
      </c>
      <c r="AS15" s="353">
        <v>0</v>
      </c>
      <c r="AT15" s="353">
        <v>0</v>
      </c>
      <c r="AU15" s="353">
        <v>0</v>
      </c>
      <c r="AV15" s="353">
        <v>0</v>
      </c>
      <c r="AW15" s="353">
        <v>0</v>
      </c>
      <c r="AX15" s="353">
        <v>0</v>
      </c>
      <c r="AY15" s="353">
        <v>0</v>
      </c>
      <c r="AZ15" s="353">
        <v>0</v>
      </c>
      <c r="BA15" s="353">
        <v>0</v>
      </c>
      <c r="BB15" s="353">
        <v>-21968</v>
      </c>
      <c r="BC15" s="353">
        <v>-21968</v>
      </c>
      <c r="BE15" s="352" t="s">
        <v>321</v>
      </c>
      <c r="BF15" s="354">
        <v>584129</v>
      </c>
      <c r="BG15" s="354">
        <v>595812</v>
      </c>
      <c r="BH15" s="354">
        <v>607728</v>
      </c>
      <c r="BI15" s="354">
        <v>619882</v>
      </c>
      <c r="BJ15" s="354">
        <v>632280</v>
      </c>
      <c r="BK15" s="354">
        <v>644926</v>
      </c>
      <c r="BL15" s="354">
        <v>657824</v>
      </c>
      <c r="BM15" s="354">
        <v>670981</v>
      </c>
      <c r="BN15" s="354">
        <v>684400</v>
      </c>
      <c r="BO15" s="354">
        <v>698088</v>
      </c>
      <c r="BP15" s="354">
        <v>712050</v>
      </c>
      <c r="BQ15" s="354">
        <v>7108099</v>
      </c>
      <c r="BS15" s="352" t="s">
        <v>321</v>
      </c>
      <c r="BT15" s="354">
        <v>1318406</v>
      </c>
      <c r="BU15" s="354">
        <v>1344884</v>
      </c>
      <c r="BV15" s="354">
        <v>1371612</v>
      </c>
      <c r="BW15" s="354">
        <v>1399069</v>
      </c>
      <c r="BX15" s="354">
        <v>1427078</v>
      </c>
      <c r="BY15" s="354">
        <v>1455692</v>
      </c>
      <c r="BZ15" s="354">
        <v>1484679</v>
      </c>
      <c r="CA15" s="354">
        <v>1514574</v>
      </c>
      <c r="CB15" s="354">
        <v>1544718</v>
      </c>
      <c r="CC15" s="354">
        <v>1575592</v>
      </c>
      <c r="CD15" s="354">
        <v>1607017</v>
      </c>
      <c r="CE15" s="354">
        <v>16043321</v>
      </c>
    </row>
    <row r="16" spans="1:83" ht="8.15" customHeight="1" x14ac:dyDescent="0.35">
      <c r="A16" s="352" t="s">
        <v>322</v>
      </c>
      <c r="B16" s="353">
        <v>-556</v>
      </c>
      <c r="C16" s="353">
        <v>0</v>
      </c>
      <c r="D16" s="353">
        <v>0</v>
      </c>
      <c r="E16" s="353">
        <v>0</v>
      </c>
      <c r="F16" s="353">
        <v>0</v>
      </c>
      <c r="G16" s="353">
        <v>0</v>
      </c>
      <c r="H16" s="353">
        <v>0</v>
      </c>
      <c r="I16" s="353">
        <v>0</v>
      </c>
      <c r="J16" s="353">
        <v>0</v>
      </c>
      <c r="K16" s="353">
        <v>0</v>
      </c>
      <c r="L16" s="353">
        <v>0</v>
      </c>
      <c r="M16" s="353">
        <v>-556</v>
      </c>
      <c r="O16" s="352" t="s">
        <v>322</v>
      </c>
      <c r="P16" s="353">
        <v>-67769</v>
      </c>
      <c r="Q16" s="353">
        <v>-154781</v>
      </c>
      <c r="R16" s="353">
        <v>0</v>
      </c>
      <c r="S16" s="353">
        <v>0</v>
      </c>
      <c r="T16" s="353">
        <v>0</v>
      </c>
      <c r="U16" s="353">
        <v>0</v>
      </c>
      <c r="V16" s="353">
        <v>0</v>
      </c>
      <c r="W16" s="353">
        <v>0</v>
      </c>
      <c r="X16" s="353">
        <v>0</v>
      </c>
      <c r="Y16" s="353">
        <v>0</v>
      </c>
      <c r="Z16" s="353">
        <v>0</v>
      </c>
      <c r="AA16" s="353">
        <v>-222549</v>
      </c>
      <c r="AC16" s="352" t="s">
        <v>322</v>
      </c>
      <c r="AD16" s="353">
        <v>-82913</v>
      </c>
      <c r="AE16" s="353">
        <v>-70138</v>
      </c>
      <c r="AF16" s="353">
        <v>0</v>
      </c>
      <c r="AG16" s="353">
        <v>0</v>
      </c>
      <c r="AH16" s="353">
        <v>0</v>
      </c>
      <c r="AI16" s="353">
        <v>0</v>
      </c>
      <c r="AJ16" s="353">
        <v>0</v>
      </c>
      <c r="AK16" s="353">
        <v>0</v>
      </c>
      <c r="AL16" s="353">
        <v>0</v>
      </c>
      <c r="AM16" s="353">
        <v>0</v>
      </c>
      <c r="AN16" s="353">
        <v>0</v>
      </c>
      <c r="AO16" s="353">
        <v>-153050</v>
      </c>
      <c r="AP16" s="353"/>
      <c r="AQ16" s="352" t="s">
        <v>321</v>
      </c>
      <c r="AR16" s="354">
        <v>1360429</v>
      </c>
      <c r="AS16" s="354">
        <v>1384153</v>
      </c>
      <c r="AT16" s="354">
        <v>1408208</v>
      </c>
      <c r="AU16" s="354">
        <v>1432912</v>
      </c>
      <c r="AV16" s="354">
        <v>1457935</v>
      </c>
      <c r="AW16" s="354">
        <v>1483462</v>
      </c>
      <c r="AX16" s="354">
        <v>1509275</v>
      </c>
      <c r="AY16" s="354">
        <v>1535503</v>
      </c>
      <c r="AZ16" s="354">
        <v>1562884</v>
      </c>
      <c r="BA16" s="354">
        <v>1592114</v>
      </c>
      <c r="BB16" s="354">
        <v>1590976</v>
      </c>
      <c r="BC16" s="354">
        <v>16317852</v>
      </c>
      <c r="BE16" s="471" t="s">
        <v>323</v>
      </c>
      <c r="BF16" s="355">
        <v>584129</v>
      </c>
      <c r="BG16" s="355">
        <v>595812</v>
      </c>
      <c r="BH16" s="355">
        <v>607728</v>
      </c>
      <c r="BI16" s="355">
        <v>619882</v>
      </c>
      <c r="BJ16" s="355">
        <v>632280</v>
      </c>
      <c r="BK16" s="355">
        <v>644926</v>
      </c>
      <c r="BL16" s="355">
        <v>657824</v>
      </c>
      <c r="BM16" s="355">
        <v>670981</v>
      </c>
      <c r="BN16" s="355">
        <v>684400</v>
      </c>
      <c r="BO16" s="355">
        <v>698088</v>
      </c>
      <c r="BP16" s="355">
        <v>712050</v>
      </c>
      <c r="BQ16" s="355">
        <v>7108099</v>
      </c>
      <c r="BS16" s="471" t="s">
        <v>323</v>
      </c>
      <c r="BT16" s="355">
        <v>1318406</v>
      </c>
      <c r="BU16" s="355">
        <v>1344884</v>
      </c>
      <c r="BV16" s="355">
        <v>1371612</v>
      </c>
      <c r="BW16" s="355">
        <v>1399069</v>
      </c>
      <c r="BX16" s="355">
        <v>1427078</v>
      </c>
      <c r="BY16" s="355">
        <v>1455692</v>
      </c>
      <c r="BZ16" s="355">
        <v>1484679</v>
      </c>
      <c r="CA16" s="355">
        <v>1514574</v>
      </c>
      <c r="CB16" s="355">
        <v>1544718</v>
      </c>
      <c r="CC16" s="355">
        <v>1575592</v>
      </c>
      <c r="CD16" s="355">
        <v>1607017</v>
      </c>
      <c r="CE16" s="355">
        <v>16043321</v>
      </c>
    </row>
    <row r="17" spans="1:83" ht="8.15" customHeight="1" x14ac:dyDescent="0.35">
      <c r="A17" s="352" t="s">
        <v>321</v>
      </c>
      <c r="B17" s="354">
        <v>791664</v>
      </c>
      <c r="C17" s="354">
        <v>818634</v>
      </c>
      <c r="D17" s="354">
        <v>827183</v>
      </c>
      <c r="E17" s="354">
        <v>829363</v>
      </c>
      <c r="F17" s="354">
        <v>867088</v>
      </c>
      <c r="G17" s="354">
        <v>836911</v>
      </c>
      <c r="H17" s="354">
        <v>843681</v>
      </c>
      <c r="I17" s="354">
        <v>876043</v>
      </c>
      <c r="J17" s="354">
        <v>876312</v>
      </c>
      <c r="K17" s="354">
        <v>916198</v>
      </c>
      <c r="L17" s="354">
        <v>974087</v>
      </c>
      <c r="M17" s="354">
        <v>9457165</v>
      </c>
      <c r="O17" s="352" t="s">
        <v>321</v>
      </c>
      <c r="P17" s="354">
        <v>500261</v>
      </c>
      <c r="Q17" s="354">
        <v>569054</v>
      </c>
      <c r="R17" s="354">
        <v>741559</v>
      </c>
      <c r="S17" s="354">
        <v>759330</v>
      </c>
      <c r="T17" s="354">
        <v>777150</v>
      </c>
      <c r="U17" s="354">
        <v>785607</v>
      </c>
      <c r="V17" s="354">
        <v>794115</v>
      </c>
      <c r="W17" s="354">
        <v>802673</v>
      </c>
      <c r="X17" s="354">
        <v>806171</v>
      </c>
      <c r="Y17" s="354">
        <v>813565</v>
      </c>
      <c r="Z17" s="354">
        <v>858040</v>
      </c>
      <c r="AA17" s="354">
        <v>8207524</v>
      </c>
      <c r="AC17" s="352" t="s">
        <v>321</v>
      </c>
      <c r="AD17" s="354">
        <v>685997</v>
      </c>
      <c r="AE17" s="354">
        <v>820143</v>
      </c>
      <c r="AF17" s="354">
        <v>906738</v>
      </c>
      <c r="AG17" s="354">
        <v>914204</v>
      </c>
      <c r="AH17" s="354">
        <v>921733</v>
      </c>
      <c r="AI17" s="354">
        <v>929326</v>
      </c>
      <c r="AJ17" s="354">
        <v>987973</v>
      </c>
      <c r="AK17" s="354">
        <v>1005896</v>
      </c>
      <c r="AL17" s="354">
        <v>1013691</v>
      </c>
      <c r="AM17" s="354">
        <v>1021555</v>
      </c>
      <c r="AN17" s="354">
        <v>952819</v>
      </c>
      <c r="AO17" s="354">
        <v>10160075</v>
      </c>
      <c r="AP17" s="353"/>
      <c r="AQ17" s="471" t="s">
        <v>323</v>
      </c>
      <c r="AR17" s="355">
        <v>1360429</v>
      </c>
      <c r="AS17" s="355">
        <v>1384153</v>
      </c>
      <c r="AT17" s="355">
        <v>1408208</v>
      </c>
      <c r="AU17" s="355">
        <v>1432912</v>
      </c>
      <c r="AV17" s="355">
        <v>1457935</v>
      </c>
      <c r="AW17" s="355">
        <v>1483462</v>
      </c>
      <c r="AX17" s="355">
        <v>1509275</v>
      </c>
      <c r="AY17" s="355">
        <v>1535503</v>
      </c>
      <c r="AZ17" s="355">
        <v>1562884</v>
      </c>
      <c r="BA17" s="355">
        <v>1592114</v>
      </c>
      <c r="BB17" s="355">
        <v>1590976</v>
      </c>
      <c r="BC17" s="355">
        <v>16317852</v>
      </c>
    </row>
    <row r="18" spans="1:83" ht="8.15" customHeight="1" x14ac:dyDescent="0.35">
      <c r="A18" s="471" t="s">
        <v>323</v>
      </c>
      <c r="B18" s="355">
        <v>791664</v>
      </c>
      <c r="C18" s="355">
        <v>818634</v>
      </c>
      <c r="D18" s="355">
        <v>827183</v>
      </c>
      <c r="E18" s="355">
        <v>829363</v>
      </c>
      <c r="F18" s="355">
        <v>867088</v>
      </c>
      <c r="G18" s="355">
        <v>836911</v>
      </c>
      <c r="H18" s="355">
        <v>843681</v>
      </c>
      <c r="I18" s="355">
        <v>876043</v>
      </c>
      <c r="J18" s="355">
        <v>876312</v>
      </c>
      <c r="K18" s="355">
        <v>916198</v>
      </c>
      <c r="L18" s="355">
        <v>974087</v>
      </c>
      <c r="M18" s="355">
        <v>9457165</v>
      </c>
      <c r="O18" s="471" t="s">
        <v>323</v>
      </c>
      <c r="P18" s="355">
        <v>500261</v>
      </c>
      <c r="Q18" s="355">
        <v>569054</v>
      </c>
      <c r="R18" s="355">
        <v>741559</v>
      </c>
      <c r="S18" s="355">
        <v>759330</v>
      </c>
      <c r="T18" s="355">
        <v>777150</v>
      </c>
      <c r="U18" s="355">
        <v>785607</v>
      </c>
      <c r="V18" s="355">
        <v>794115</v>
      </c>
      <c r="W18" s="355">
        <v>802673</v>
      </c>
      <c r="X18" s="355">
        <v>806171</v>
      </c>
      <c r="Y18" s="355">
        <v>813565</v>
      </c>
      <c r="Z18" s="355">
        <v>858040</v>
      </c>
      <c r="AA18" s="355">
        <v>8207524</v>
      </c>
      <c r="AC18" s="471" t="s">
        <v>323</v>
      </c>
      <c r="AD18" s="355">
        <v>685997</v>
      </c>
      <c r="AE18" s="355">
        <v>820143</v>
      </c>
      <c r="AF18" s="355">
        <v>906738</v>
      </c>
      <c r="AG18" s="355">
        <v>914204</v>
      </c>
      <c r="AH18" s="355">
        <v>921733</v>
      </c>
      <c r="AI18" s="355">
        <v>929326</v>
      </c>
      <c r="AJ18" s="355">
        <v>987973</v>
      </c>
      <c r="AK18" s="355">
        <v>1005896</v>
      </c>
      <c r="AL18" s="355">
        <v>1013691</v>
      </c>
      <c r="AM18" s="355">
        <v>1021555</v>
      </c>
      <c r="AN18" s="355">
        <v>952819</v>
      </c>
      <c r="AO18" s="355">
        <v>10160075</v>
      </c>
      <c r="AP18" s="353"/>
      <c r="BE18" s="351" t="s">
        <v>324</v>
      </c>
      <c r="BS18" s="351" t="s">
        <v>324</v>
      </c>
    </row>
    <row r="19" spans="1:83" ht="8.15" customHeight="1" x14ac:dyDescent="0.35">
      <c r="AQ19" s="351" t="s">
        <v>324</v>
      </c>
      <c r="BE19" s="352" t="s">
        <v>325</v>
      </c>
      <c r="BF19" s="353">
        <v>225902</v>
      </c>
      <c r="BG19" s="353">
        <v>231453</v>
      </c>
      <c r="BH19" s="353">
        <v>237141</v>
      </c>
      <c r="BI19" s="353">
        <v>242970</v>
      </c>
      <c r="BJ19" s="353">
        <v>248942</v>
      </c>
      <c r="BK19" s="353">
        <v>255061</v>
      </c>
      <c r="BL19" s="353">
        <v>261331</v>
      </c>
      <c r="BM19" s="353">
        <v>267756</v>
      </c>
      <c r="BN19" s="353">
        <v>274340</v>
      </c>
      <c r="BO19" s="353">
        <v>281085</v>
      </c>
      <c r="BP19" s="353">
        <v>287997</v>
      </c>
      <c r="BQ19" s="353">
        <v>2813979</v>
      </c>
      <c r="BS19" s="352" t="s">
        <v>325</v>
      </c>
      <c r="BT19" s="353">
        <v>389546</v>
      </c>
      <c r="BU19" s="353">
        <v>399071</v>
      </c>
      <c r="BV19" s="353">
        <v>408820</v>
      </c>
      <c r="BW19" s="353">
        <v>418816</v>
      </c>
      <c r="BX19" s="353">
        <v>429056</v>
      </c>
      <c r="BY19" s="353">
        <v>439550</v>
      </c>
      <c r="BZ19" s="353">
        <v>450295</v>
      </c>
      <c r="CA19" s="353">
        <v>461314</v>
      </c>
      <c r="CB19" s="353">
        <v>472592</v>
      </c>
      <c r="CC19" s="353">
        <v>484152</v>
      </c>
      <c r="CD19" s="353">
        <v>495993</v>
      </c>
      <c r="CE19" s="353">
        <v>4849204</v>
      </c>
    </row>
    <row r="20" spans="1:83" ht="8.15" customHeight="1" x14ac:dyDescent="0.35">
      <c r="A20" s="351" t="s">
        <v>324</v>
      </c>
      <c r="O20" s="351" t="s">
        <v>324</v>
      </c>
      <c r="AC20" s="351" t="s">
        <v>324</v>
      </c>
      <c r="AQ20" s="352" t="s">
        <v>325</v>
      </c>
      <c r="AR20" s="353">
        <v>531119</v>
      </c>
      <c r="AS20" s="353">
        <v>544058</v>
      </c>
      <c r="AT20" s="353">
        <v>557312</v>
      </c>
      <c r="AU20" s="353">
        <v>570898</v>
      </c>
      <c r="AV20" s="353">
        <v>584815</v>
      </c>
      <c r="AW20" s="353">
        <v>599075</v>
      </c>
      <c r="AX20" s="353">
        <v>613681</v>
      </c>
      <c r="AY20" s="353">
        <v>628643</v>
      </c>
      <c r="AZ20" s="353">
        <v>643997</v>
      </c>
      <c r="BA20" s="353">
        <v>659772</v>
      </c>
      <c r="BB20" s="353">
        <v>666220</v>
      </c>
      <c r="BC20" s="353">
        <v>6599589</v>
      </c>
      <c r="BE20" s="471" t="s">
        <v>326</v>
      </c>
      <c r="BF20" s="355">
        <v>225902</v>
      </c>
      <c r="BG20" s="355">
        <v>231453</v>
      </c>
      <c r="BH20" s="355">
        <v>237141</v>
      </c>
      <c r="BI20" s="355">
        <v>242970</v>
      </c>
      <c r="BJ20" s="355">
        <v>248942</v>
      </c>
      <c r="BK20" s="355">
        <v>255061</v>
      </c>
      <c r="BL20" s="355">
        <v>261331</v>
      </c>
      <c r="BM20" s="355">
        <v>267756</v>
      </c>
      <c r="BN20" s="355">
        <v>274340</v>
      </c>
      <c r="BO20" s="355">
        <v>281085</v>
      </c>
      <c r="BP20" s="355">
        <v>287997</v>
      </c>
      <c r="BQ20" s="355">
        <v>2813979</v>
      </c>
      <c r="BS20" s="471" t="s">
        <v>326</v>
      </c>
      <c r="BT20" s="355">
        <v>389546</v>
      </c>
      <c r="BU20" s="355">
        <v>399071</v>
      </c>
      <c r="BV20" s="355">
        <v>408820</v>
      </c>
      <c r="BW20" s="355">
        <v>418816</v>
      </c>
      <c r="BX20" s="355">
        <v>429056</v>
      </c>
      <c r="BY20" s="355">
        <v>439550</v>
      </c>
      <c r="BZ20" s="355">
        <v>450295</v>
      </c>
      <c r="CA20" s="355">
        <v>461314</v>
      </c>
      <c r="CB20" s="355">
        <v>472592</v>
      </c>
      <c r="CC20" s="355">
        <v>484152</v>
      </c>
      <c r="CD20" s="355">
        <v>495993</v>
      </c>
      <c r="CE20" s="355">
        <v>4849204</v>
      </c>
    </row>
    <row r="21" spans="1:83" ht="8.15" customHeight="1" x14ac:dyDescent="0.35">
      <c r="A21" s="352" t="s">
        <v>325</v>
      </c>
      <c r="B21" s="353">
        <v>297193</v>
      </c>
      <c r="C21" s="353">
        <v>311528</v>
      </c>
      <c r="D21" s="353">
        <v>317669</v>
      </c>
      <c r="E21" s="353">
        <v>319903</v>
      </c>
      <c r="F21" s="353">
        <v>335265</v>
      </c>
      <c r="G21" s="353">
        <v>323364</v>
      </c>
      <c r="H21" s="353">
        <v>339567</v>
      </c>
      <c r="I21" s="353">
        <v>357352</v>
      </c>
      <c r="J21" s="353">
        <v>359740</v>
      </c>
      <c r="K21" s="353">
        <v>371942</v>
      </c>
      <c r="L21" s="353">
        <v>386243</v>
      </c>
      <c r="M21" s="353">
        <v>3719766</v>
      </c>
      <c r="O21" s="352" t="s">
        <v>325</v>
      </c>
      <c r="P21" s="353">
        <v>260217</v>
      </c>
      <c r="Q21" s="353">
        <v>345689</v>
      </c>
      <c r="R21" s="353">
        <v>358291</v>
      </c>
      <c r="S21" s="353">
        <v>368057</v>
      </c>
      <c r="T21" s="353">
        <v>377142</v>
      </c>
      <c r="U21" s="353">
        <v>386289</v>
      </c>
      <c r="V21" s="353">
        <v>395579</v>
      </c>
      <c r="W21" s="353">
        <v>405096</v>
      </c>
      <c r="X21" s="353">
        <v>411585</v>
      </c>
      <c r="Y21" s="353">
        <v>418328</v>
      </c>
      <c r="Z21" s="353">
        <v>435608</v>
      </c>
      <c r="AA21" s="353">
        <v>4161880</v>
      </c>
      <c r="AC21" s="352" t="s">
        <v>325</v>
      </c>
      <c r="AD21" s="353">
        <v>287921</v>
      </c>
      <c r="AE21" s="353">
        <v>329021</v>
      </c>
      <c r="AF21" s="353">
        <v>339763</v>
      </c>
      <c r="AG21" s="353">
        <v>347890</v>
      </c>
      <c r="AH21" s="353">
        <v>356083</v>
      </c>
      <c r="AI21" s="353">
        <v>364811</v>
      </c>
      <c r="AJ21" s="353">
        <v>374418</v>
      </c>
      <c r="AK21" s="353">
        <v>383900</v>
      </c>
      <c r="AL21" s="353">
        <v>392926</v>
      </c>
      <c r="AM21" s="353">
        <v>401092</v>
      </c>
      <c r="AN21" s="353">
        <v>382805</v>
      </c>
      <c r="AO21" s="353">
        <v>3960630</v>
      </c>
      <c r="AP21" s="353"/>
      <c r="AQ21" s="471" t="s">
        <v>326</v>
      </c>
      <c r="AR21" s="355">
        <v>531119</v>
      </c>
      <c r="AS21" s="355">
        <v>544058</v>
      </c>
      <c r="AT21" s="355">
        <v>557312</v>
      </c>
      <c r="AU21" s="355">
        <v>570898</v>
      </c>
      <c r="AV21" s="355">
        <v>584815</v>
      </c>
      <c r="AW21" s="355">
        <v>599075</v>
      </c>
      <c r="AX21" s="355">
        <v>613681</v>
      </c>
      <c r="AY21" s="355">
        <v>628643</v>
      </c>
      <c r="AZ21" s="355">
        <v>643997</v>
      </c>
      <c r="BA21" s="355">
        <v>659772</v>
      </c>
      <c r="BB21" s="355">
        <v>666220</v>
      </c>
      <c r="BC21" s="355">
        <v>6599589</v>
      </c>
    </row>
    <row r="22" spans="1:83" ht="8.15" customHeight="1" x14ac:dyDescent="0.35">
      <c r="A22" s="471" t="s">
        <v>326</v>
      </c>
      <c r="B22" s="355">
        <v>297193</v>
      </c>
      <c r="C22" s="355">
        <v>311528</v>
      </c>
      <c r="D22" s="355">
        <v>317669</v>
      </c>
      <c r="E22" s="355">
        <v>319903</v>
      </c>
      <c r="F22" s="355">
        <v>335265</v>
      </c>
      <c r="G22" s="355">
        <v>323364</v>
      </c>
      <c r="H22" s="355">
        <v>339567</v>
      </c>
      <c r="I22" s="355">
        <v>357352</v>
      </c>
      <c r="J22" s="355">
        <v>359740</v>
      </c>
      <c r="K22" s="355">
        <v>371942</v>
      </c>
      <c r="L22" s="355">
        <v>386243</v>
      </c>
      <c r="M22" s="355">
        <v>3719766</v>
      </c>
      <c r="O22" s="471" t="s">
        <v>326</v>
      </c>
      <c r="P22" s="355">
        <v>260217</v>
      </c>
      <c r="Q22" s="355">
        <v>345689</v>
      </c>
      <c r="R22" s="355">
        <v>358291</v>
      </c>
      <c r="S22" s="355">
        <v>368057</v>
      </c>
      <c r="T22" s="355">
        <v>377142</v>
      </c>
      <c r="U22" s="355">
        <v>386289</v>
      </c>
      <c r="V22" s="355">
        <v>395579</v>
      </c>
      <c r="W22" s="355">
        <v>405096</v>
      </c>
      <c r="X22" s="355">
        <v>411585</v>
      </c>
      <c r="Y22" s="355">
        <v>418328</v>
      </c>
      <c r="Z22" s="355">
        <v>435608</v>
      </c>
      <c r="AA22" s="355">
        <v>4161880</v>
      </c>
      <c r="AC22" s="471" t="s">
        <v>326</v>
      </c>
      <c r="AD22" s="355">
        <v>287921</v>
      </c>
      <c r="AE22" s="355">
        <v>329021</v>
      </c>
      <c r="AF22" s="355">
        <v>339763</v>
      </c>
      <c r="AG22" s="355">
        <v>347890</v>
      </c>
      <c r="AH22" s="355">
        <v>356083</v>
      </c>
      <c r="AI22" s="355">
        <v>364811</v>
      </c>
      <c r="AJ22" s="355">
        <v>374418</v>
      </c>
      <c r="AK22" s="355">
        <v>383900</v>
      </c>
      <c r="AL22" s="355">
        <v>392926</v>
      </c>
      <c r="AM22" s="355">
        <v>401092</v>
      </c>
      <c r="AN22" s="355">
        <v>382805</v>
      </c>
      <c r="AO22" s="355">
        <v>3960630</v>
      </c>
      <c r="AP22" s="353"/>
      <c r="BE22" s="471" t="s">
        <v>327</v>
      </c>
      <c r="BF22" s="356">
        <v>810031</v>
      </c>
      <c r="BG22" s="356">
        <v>827265</v>
      </c>
      <c r="BH22" s="356">
        <v>844869</v>
      </c>
      <c r="BI22" s="356">
        <v>862852</v>
      </c>
      <c r="BJ22" s="356">
        <v>881222</v>
      </c>
      <c r="BK22" s="356">
        <v>899987</v>
      </c>
      <c r="BL22" s="356">
        <v>919155</v>
      </c>
      <c r="BM22" s="356">
        <v>938737</v>
      </c>
      <c r="BN22" s="356">
        <v>958740</v>
      </c>
      <c r="BO22" s="356">
        <v>979173</v>
      </c>
      <c r="BP22" s="356">
        <v>1000047</v>
      </c>
      <c r="BQ22" s="356">
        <v>9922078</v>
      </c>
      <c r="BS22" s="471" t="s">
        <v>327</v>
      </c>
      <c r="BT22" s="356">
        <v>1707951</v>
      </c>
      <c r="BU22" s="356">
        <v>1743955</v>
      </c>
      <c r="BV22" s="356">
        <v>1780432</v>
      </c>
      <c r="BW22" s="356">
        <v>1817884</v>
      </c>
      <c r="BX22" s="356">
        <v>1856134</v>
      </c>
      <c r="BY22" s="356">
        <v>1895241</v>
      </c>
      <c r="BZ22" s="356">
        <v>1934974</v>
      </c>
      <c r="CA22" s="356">
        <v>1975888</v>
      </c>
      <c r="CB22" s="356">
        <v>2017311</v>
      </c>
      <c r="CC22" s="356">
        <v>2059744</v>
      </c>
      <c r="CD22" s="356">
        <v>2103011</v>
      </c>
      <c r="CE22" s="356">
        <v>20892525</v>
      </c>
    </row>
    <row r="23" spans="1:83" ht="8.15" customHeight="1" x14ac:dyDescent="0.35">
      <c r="AQ23" s="471" t="s">
        <v>327</v>
      </c>
      <c r="AR23" s="356">
        <v>1891548</v>
      </c>
      <c r="AS23" s="356">
        <v>1928210</v>
      </c>
      <c r="AT23" s="356">
        <v>1965520</v>
      </c>
      <c r="AU23" s="356">
        <v>2003811</v>
      </c>
      <c r="AV23" s="356">
        <v>2042750</v>
      </c>
      <c r="AW23" s="356">
        <v>2082537</v>
      </c>
      <c r="AX23" s="356">
        <v>2122956</v>
      </c>
      <c r="AY23" s="356">
        <v>2164146</v>
      </c>
      <c r="AZ23" s="356">
        <v>2206881</v>
      </c>
      <c r="BA23" s="356">
        <v>2251886</v>
      </c>
      <c r="BB23" s="356">
        <v>2257196</v>
      </c>
      <c r="BC23" s="356">
        <v>22917441</v>
      </c>
    </row>
    <row r="24" spans="1:83" ht="8.15" customHeight="1" x14ac:dyDescent="0.35">
      <c r="A24" s="471" t="s">
        <v>327</v>
      </c>
      <c r="B24" s="356">
        <v>1088856</v>
      </c>
      <c r="C24" s="356">
        <v>1130162</v>
      </c>
      <c r="D24" s="356">
        <v>1144852</v>
      </c>
      <c r="E24" s="356">
        <v>1149266</v>
      </c>
      <c r="F24" s="356">
        <v>1202354</v>
      </c>
      <c r="G24" s="356">
        <v>1160275</v>
      </c>
      <c r="H24" s="356">
        <v>1183249</v>
      </c>
      <c r="I24" s="356">
        <v>1233395</v>
      </c>
      <c r="J24" s="356">
        <v>1236053</v>
      </c>
      <c r="K24" s="356">
        <v>1288140</v>
      </c>
      <c r="L24" s="356">
        <v>1360330</v>
      </c>
      <c r="M24" s="356">
        <v>13176932</v>
      </c>
      <c r="O24" s="471" t="s">
        <v>327</v>
      </c>
      <c r="P24" s="356">
        <v>760478</v>
      </c>
      <c r="Q24" s="356">
        <v>914742</v>
      </c>
      <c r="R24" s="356">
        <v>1099849</v>
      </c>
      <c r="S24" s="356">
        <v>1127387</v>
      </c>
      <c r="T24" s="356">
        <v>1154292</v>
      </c>
      <c r="U24" s="356">
        <v>1171896</v>
      </c>
      <c r="V24" s="356">
        <v>1189694</v>
      </c>
      <c r="W24" s="356">
        <v>1207769</v>
      </c>
      <c r="X24" s="356">
        <v>1217756</v>
      </c>
      <c r="Y24" s="356">
        <v>1231892</v>
      </c>
      <c r="Z24" s="356">
        <v>1293648</v>
      </c>
      <c r="AA24" s="356">
        <v>12369404</v>
      </c>
      <c r="AC24" s="471" t="s">
        <v>327</v>
      </c>
      <c r="AD24" s="356">
        <v>973917</v>
      </c>
      <c r="AE24" s="356">
        <v>1149164</v>
      </c>
      <c r="AF24" s="356">
        <v>1246500</v>
      </c>
      <c r="AG24" s="356">
        <v>1262094</v>
      </c>
      <c r="AH24" s="356">
        <v>1277815</v>
      </c>
      <c r="AI24" s="356">
        <v>1294138</v>
      </c>
      <c r="AJ24" s="356">
        <v>1362391</v>
      </c>
      <c r="AK24" s="356">
        <v>1389796</v>
      </c>
      <c r="AL24" s="356">
        <v>1406616</v>
      </c>
      <c r="AM24" s="356">
        <v>1422648</v>
      </c>
      <c r="AN24" s="356">
        <v>1335624</v>
      </c>
      <c r="AO24" s="356">
        <v>14120705</v>
      </c>
      <c r="AP24" s="353"/>
      <c r="BE24" s="471" t="s">
        <v>328</v>
      </c>
      <c r="BF24" s="356">
        <v>810031</v>
      </c>
      <c r="BG24" s="356">
        <v>827265</v>
      </c>
      <c r="BH24" s="356">
        <v>844869</v>
      </c>
      <c r="BI24" s="356">
        <v>862852</v>
      </c>
      <c r="BJ24" s="356">
        <v>881222</v>
      </c>
      <c r="BK24" s="356">
        <v>899987</v>
      </c>
      <c r="BL24" s="356">
        <v>919155</v>
      </c>
      <c r="BM24" s="356">
        <v>938737</v>
      </c>
      <c r="BN24" s="356">
        <v>958740</v>
      </c>
      <c r="BO24" s="356">
        <v>979173</v>
      </c>
      <c r="BP24" s="356">
        <v>1000047</v>
      </c>
      <c r="BQ24" s="356">
        <v>9922078</v>
      </c>
      <c r="BS24" s="471" t="s">
        <v>328</v>
      </c>
      <c r="BT24" s="356">
        <v>1707951</v>
      </c>
      <c r="BU24" s="356">
        <v>1743955</v>
      </c>
      <c r="BV24" s="356">
        <v>1780432</v>
      </c>
      <c r="BW24" s="356">
        <v>1817884</v>
      </c>
      <c r="BX24" s="356">
        <v>1856134</v>
      </c>
      <c r="BY24" s="356">
        <v>1895241</v>
      </c>
      <c r="BZ24" s="356">
        <v>1934974</v>
      </c>
      <c r="CA24" s="356">
        <v>1975888</v>
      </c>
      <c r="CB24" s="356">
        <v>2017311</v>
      </c>
      <c r="CC24" s="356">
        <v>2059744</v>
      </c>
      <c r="CD24" s="356">
        <v>2103011</v>
      </c>
      <c r="CE24" s="356">
        <v>20892525</v>
      </c>
    </row>
    <row r="25" spans="1:83" ht="8.15" customHeight="1" x14ac:dyDescent="0.35">
      <c r="AQ25" s="471" t="s">
        <v>328</v>
      </c>
      <c r="AR25" s="356">
        <v>1891548</v>
      </c>
      <c r="AS25" s="356">
        <v>1928210</v>
      </c>
      <c r="AT25" s="356">
        <v>1965520</v>
      </c>
      <c r="AU25" s="356">
        <v>2003811</v>
      </c>
      <c r="AV25" s="356">
        <v>2042750</v>
      </c>
      <c r="AW25" s="356">
        <v>2082537</v>
      </c>
      <c r="AX25" s="356">
        <v>2122956</v>
      </c>
      <c r="AY25" s="356">
        <v>2164146</v>
      </c>
      <c r="AZ25" s="356">
        <v>2206881</v>
      </c>
      <c r="BA25" s="356">
        <v>2251886</v>
      </c>
      <c r="BB25" s="356">
        <v>2257196</v>
      </c>
      <c r="BC25" s="356">
        <v>22917441</v>
      </c>
    </row>
    <row r="26" spans="1:83" ht="8.15" customHeight="1" x14ac:dyDescent="0.35">
      <c r="A26" s="471" t="s">
        <v>328</v>
      </c>
      <c r="B26" s="356">
        <v>1088856</v>
      </c>
      <c r="C26" s="356">
        <v>1130162</v>
      </c>
      <c r="D26" s="356">
        <v>1144852</v>
      </c>
      <c r="E26" s="356">
        <v>1149266</v>
      </c>
      <c r="F26" s="356">
        <v>1202354</v>
      </c>
      <c r="G26" s="356">
        <v>1160275</v>
      </c>
      <c r="H26" s="356">
        <v>1183249</v>
      </c>
      <c r="I26" s="356">
        <v>1233395</v>
      </c>
      <c r="J26" s="356">
        <v>1236053</v>
      </c>
      <c r="K26" s="356">
        <v>1288140</v>
      </c>
      <c r="L26" s="356">
        <v>1360330</v>
      </c>
      <c r="M26" s="356">
        <v>13176932</v>
      </c>
      <c r="O26" s="471" t="s">
        <v>328</v>
      </c>
      <c r="P26" s="356">
        <v>760478</v>
      </c>
      <c r="Q26" s="356">
        <v>914742</v>
      </c>
      <c r="R26" s="356">
        <v>1099849</v>
      </c>
      <c r="S26" s="356">
        <v>1127387</v>
      </c>
      <c r="T26" s="356">
        <v>1154292</v>
      </c>
      <c r="U26" s="356">
        <v>1171896</v>
      </c>
      <c r="V26" s="356">
        <v>1189694</v>
      </c>
      <c r="W26" s="356">
        <v>1207769</v>
      </c>
      <c r="X26" s="356">
        <v>1217756</v>
      </c>
      <c r="Y26" s="356">
        <v>1231892</v>
      </c>
      <c r="Z26" s="356">
        <v>1293648</v>
      </c>
      <c r="AA26" s="356">
        <v>12369404</v>
      </c>
      <c r="AC26" s="471" t="s">
        <v>328</v>
      </c>
      <c r="AD26" s="356">
        <v>973917</v>
      </c>
      <c r="AE26" s="356">
        <v>1149164</v>
      </c>
      <c r="AF26" s="356">
        <v>1246500</v>
      </c>
      <c r="AG26" s="356">
        <v>1262094</v>
      </c>
      <c r="AH26" s="356">
        <v>1277815</v>
      </c>
      <c r="AI26" s="356">
        <v>1294138</v>
      </c>
      <c r="AJ26" s="356">
        <v>1362391</v>
      </c>
      <c r="AK26" s="356">
        <v>1389796</v>
      </c>
      <c r="AL26" s="356">
        <v>1406616</v>
      </c>
      <c r="AM26" s="356">
        <v>1422648</v>
      </c>
      <c r="AN26" s="356">
        <v>1335624</v>
      </c>
      <c r="AO26" s="356">
        <v>14120705</v>
      </c>
      <c r="AP26" s="353"/>
      <c r="BE26" s="471" t="s">
        <v>329</v>
      </c>
      <c r="BF26" s="356">
        <v>810031</v>
      </c>
      <c r="BG26" s="356">
        <v>827265</v>
      </c>
      <c r="BH26" s="356">
        <v>844869</v>
      </c>
      <c r="BI26" s="356">
        <v>862852</v>
      </c>
      <c r="BJ26" s="356">
        <v>881222</v>
      </c>
      <c r="BK26" s="356">
        <v>899987</v>
      </c>
      <c r="BL26" s="356">
        <v>919155</v>
      </c>
      <c r="BM26" s="356">
        <v>938737</v>
      </c>
      <c r="BN26" s="356">
        <v>958740</v>
      </c>
      <c r="BO26" s="356">
        <v>979173</v>
      </c>
      <c r="BP26" s="356">
        <v>1000047</v>
      </c>
      <c r="BQ26" s="356">
        <v>9922078</v>
      </c>
      <c r="BS26" s="351" t="s">
        <v>330</v>
      </c>
    </row>
    <row r="27" spans="1:83" ht="8.15" customHeight="1" x14ac:dyDescent="0.35">
      <c r="AQ27" s="351" t="s">
        <v>330</v>
      </c>
      <c r="BS27" s="352" t="s">
        <v>331</v>
      </c>
      <c r="BT27" s="353">
        <v>-6859</v>
      </c>
      <c r="BU27" s="353">
        <v>-7004</v>
      </c>
      <c r="BV27" s="353">
        <v>-7150</v>
      </c>
      <c r="BW27" s="353">
        <v>-7301</v>
      </c>
      <c r="BX27" s="353">
        <v>-7454</v>
      </c>
      <c r="BY27" s="353">
        <v>-7611</v>
      </c>
      <c r="BZ27" s="353">
        <v>-7771</v>
      </c>
      <c r="CA27" s="353">
        <v>-7935</v>
      </c>
      <c r="CB27" s="353">
        <v>-8102</v>
      </c>
      <c r="CC27" s="353">
        <v>-8272</v>
      </c>
      <c r="CD27" s="353">
        <v>-8446</v>
      </c>
      <c r="CE27" s="353">
        <v>-83905</v>
      </c>
    </row>
    <row r="28" spans="1:83" ht="8.15" customHeight="1" x14ac:dyDescent="0.35">
      <c r="A28" s="351" t="s">
        <v>330</v>
      </c>
      <c r="O28" s="351" t="s">
        <v>330</v>
      </c>
      <c r="AC28" s="351" t="s">
        <v>330</v>
      </c>
      <c r="AQ28" s="352" t="s">
        <v>331</v>
      </c>
      <c r="AR28" s="353">
        <v>-6201</v>
      </c>
      <c r="AS28" s="353">
        <v>-6333</v>
      </c>
      <c r="AT28" s="353">
        <v>-6467</v>
      </c>
      <c r="AU28" s="353">
        <v>-6604</v>
      </c>
      <c r="AV28" s="353">
        <v>-6744</v>
      </c>
      <c r="AW28" s="353">
        <v>-6887</v>
      </c>
      <c r="AX28" s="353">
        <v>-7033</v>
      </c>
      <c r="AY28" s="353">
        <v>-7182</v>
      </c>
      <c r="AZ28" s="353">
        <v>-7341</v>
      </c>
      <c r="BA28" s="353">
        <v>-7515</v>
      </c>
      <c r="BB28" s="353">
        <v>-7347</v>
      </c>
      <c r="BC28" s="353">
        <v>-75656</v>
      </c>
      <c r="BE28" s="351" t="s">
        <v>332</v>
      </c>
      <c r="BS28" s="471" t="s">
        <v>333</v>
      </c>
      <c r="BT28" s="355">
        <v>-6859</v>
      </c>
      <c r="BU28" s="355">
        <v>-7004</v>
      </c>
      <c r="BV28" s="355">
        <v>-7150</v>
      </c>
      <c r="BW28" s="355">
        <v>-7301</v>
      </c>
      <c r="BX28" s="355">
        <v>-7454</v>
      </c>
      <c r="BY28" s="355">
        <v>-7611</v>
      </c>
      <c r="BZ28" s="355">
        <v>-7771</v>
      </c>
      <c r="CA28" s="355">
        <v>-7935</v>
      </c>
      <c r="CB28" s="355">
        <v>-8102</v>
      </c>
      <c r="CC28" s="355">
        <v>-8272</v>
      </c>
      <c r="CD28" s="355">
        <v>-8446</v>
      </c>
      <c r="CE28" s="355">
        <v>-83905</v>
      </c>
    </row>
    <row r="29" spans="1:83" ht="8.15" customHeight="1" x14ac:dyDescent="0.35">
      <c r="A29" s="352" t="s">
        <v>334</v>
      </c>
      <c r="B29" s="353">
        <v>-8383</v>
      </c>
      <c r="C29" s="353">
        <v>-25780</v>
      </c>
      <c r="D29" s="353">
        <v>-24127</v>
      </c>
      <c r="E29" s="353">
        <v>-24942</v>
      </c>
      <c r="F29" s="353">
        <v>-27790</v>
      </c>
      <c r="G29" s="353">
        <v>-28336</v>
      </c>
      <c r="H29" s="353">
        <v>-27496</v>
      </c>
      <c r="I29" s="353">
        <v>-27093</v>
      </c>
      <c r="J29" s="353">
        <v>-27919</v>
      </c>
      <c r="K29" s="353">
        <v>-26374</v>
      </c>
      <c r="L29" s="353">
        <v>-32954</v>
      </c>
      <c r="M29" s="353">
        <v>-281195</v>
      </c>
      <c r="O29" s="352" t="s">
        <v>334</v>
      </c>
      <c r="P29" s="353">
        <v>-6548</v>
      </c>
      <c r="Q29" s="353">
        <v>-8493</v>
      </c>
      <c r="R29" s="353">
        <v>-14221</v>
      </c>
      <c r="S29" s="353">
        <v>-14531</v>
      </c>
      <c r="T29" s="353">
        <v>-14834</v>
      </c>
      <c r="U29" s="353">
        <v>-15140</v>
      </c>
      <c r="V29" s="353">
        <v>-15451</v>
      </c>
      <c r="W29" s="353">
        <v>-15767</v>
      </c>
      <c r="X29" s="353">
        <v>-16004</v>
      </c>
      <c r="Y29" s="353">
        <v>-16447</v>
      </c>
      <c r="Z29" s="353">
        <v>-17991</v>
      </c>
      <c r="AA29" s="353">
        <v>-155426</v>
      </c>
      <c r="AC29" s="352" t="s">
        <v>334</v>
      </c>
      <c r="AD29" s="353">
        <v>-18886</v>
      </c>
      <c r="AE29" s="353">
        <v>-25085</v>
      </c>
      <c r="AF29" s="353">
        <v>-29226</v>
      </c>
      <c r="AG29" s="353">
        <v>-29799</v>
      </c>
      <c r="AH29" s="353">
        <v>-30377</v>
      </c>
      <c r="AI29" s="353">
        <v>-30971</v>
      </c>
      <c r="AJ29" s="353">
        <v>-31590</v>
      </c>
      <c r="AK29" s="353">
        <v>-32209</v>
      </c>
      <c r="AL29" s="353">
        <v>-32821</v>
      </c>
      <c r="AM29" s="353">
        <v>-33415</v>
      </c>
      <c r="AN29" s="353">
        <v>-31251</v>
      </c>
      <c r="AO29" s="353">
        <v>-325632</v>
      </c>
      <c r="AP29" s="353"/>
      <c r="AQ29" s="471" t="s">
        <v>333</v>
      </c>
      <c r="AR29" s="355">
        <v>-6201</v>
      </c>
      <c r="AS29" s="355">
        <v>-6333</v>
      </c>
      <c r="AT29" s="355">
        <v>-6467</v>
      </c>
      <c r="AU29" s="355">
        <v>-6604</v>
      </c>
      <c r="AV29" s="355">
        <v>-6744</v>
      </c>
      <c r="AW29" s="355">
        <v>-6887</v>
      </c>
      <c r="AX29" s="355">
        <v>-7033</v>
      </c>
      <c r="AY29" s="355">
        <v>-7182</v>
      </c>
      <c r="AZ29" s="355">
        <v>-7341</v>
      </c>
      <c r="BA29" s="355">
        <v>-7515</v>
      </c>
      <c r="BB29" s="355">
        <v>-7347</v>
      </c>
      <c r="BC29" s="355">
        <v>-75656</v>
      </c>
      <c r="BE29" s="471" t="s">
        <v>335</v>
      </c>
      <c r="BF29" s="353">
        <v>19268</v>
      </c>
      <c r="BG29" s="353">
        <v>19750</v>
      </c>
      <c r="BH29" s="353">
        <v>20243</v>
      </c>
      <c r="BI29" s="353">
        <v>20749</v>
      </c>
      <c r="BJ29" s="353">
        <v>21268</v>
      </c>
      <c r="BK29" s="353">
        <v>21800</v>
      </c>
      <c r="BL29" s="353">
        <v>22345</v>
      </c>
      <c r="BM29" s="353">
        <v>22903</v>
      </c>
      <c r="BN29" s="353">
        <v>23476</v>
      </c>
      <c r="BO29" s="353">
        <v>24063</v>
      </c>
      <c r="BP29" s="353">
        <v>24665</v>
      </c>
      <c r="BQ29" s="353">
        <v>240530</v>
      </c>
    </row>
    <row r="30" spans="1:83" ht="8.15" customHeight="1" x14ac:dyDescent="0.35">
      <c r="A30" s="471" t="s">
        <v>333</v>
      </c>
      <c r="B30" s="355">
        <v>-8383</v>
      </c>
      <c r="C30" s="355">
        <v>-25780</v>
      </c>
      <c r="D30" s="355">
        <v>-24127</v>
      </c>
      <c r="E30" s="355">
        <v>-24942</v>
      </c>
      <c r="F30" s="355">
        <v>-27790</v>
      </c>
      <c r="G30" s="355">
        <v>-28336</v>
      </c>
      <c r="H30" s="355">
        <v>-27496</v>
      </c>
      <c r="I30" s="355">
        <v>-27093</v>
      </c>
      <c r="J30" s="355">
        <v>-27919</v>
      </c>
      <c r="K30" s="355">
        <v>-26374</v>
      </c>
      <c r="L30" s="355">
        <v>-32954</v>
      </c>
      <c r="M30" s="355">
        <v>-281195</v>
      </c>
      <c r="O30" s="471" t="s">
        <v>333</v>
      </c>
      <c r="P30" s="355">
        <v>-6548</v>
      </c>
      <c r="Q30" s="355">
        <v>-8493</v>
      </c>
      <c r="R30" s="355">
        <v>-14221</v>
      </c>
      <c r="S30" s="355">
        <v>-14531</v>
      </c>
      <c r="T30" s="355">
        <v>-14834</v>
      </c>
      <c r="U30" s="355">
        <v>-15140</v>
      </c>
      <c r="V30" s="355">
        <v>-15451</v>
      </c>
      <c r="W30" s="355">
        <v>-15767</v>
      </c>
      <c r="X30" s="355">
        <v>-16004</v>
      </c>
      <c r="Y30" s="355">
        <v>-16447</v>
      </c>
      <c r="Z30" s="355">
        <v>-17991</v>
      </c>
      <c r="AA30" s="355">
        <v>-155426</v>
      </c>
      <c r="AC30" s="471" t="s">
        <v>333</v>
      </c>
      <c r="AD30" s="355">
        <v>-18886</v>
      </c>
      <c r="AE30" s="355">
        <v>-25085</v>
      </c>
      <c r="AF30" s="355">
        <v>-29226</v>
      </c>
      <c r="AG30" s="355">
        <v>-29799</v>
      </c>
      <c r="AH30" s="355">
        <v>-30377</v>
      </c>
      <c r="AI30" s="355">
        <v>-30971</v>
      </c>
      <c r="AJ30" s="355">
        <v>-31590</v>
      </c>
      <c r="AK30" s="355">
        <v>-32209</v>
      </c>
      <c r="AL30" s="355">
        <v>-32821</v>
      </c>
      <c r="AM30" s="355">
        <v>-33415</v>
      </c>
      <c r="AN30" s="355">
        <v>-31251</v>
      </c>
      <c r="AO30" s="355">
        <v>-325632</v>
      </c>
      <c r="AP30" s="353"/>
      <c r="BE30" s="471" t="s">
        <v>336</v>
      </c>
      <c r="BF30" s="353">
        <v>12243</v>
      </c>
      <c r="BG30" s="353">
        <v>12549</v>
      </c>
      <c r="BH30" s="353">
        <v>12863</v>
      </c>
      <c r="BI30" s="353">
        <v>13185</v>
      </c>
      <c r="BJ30" s="353">
        <v>13514</v>
      </c>
      <c r="BK30" s="353">
        <v>13852</v>
      </c>
      <c r="BL30" s="353">
        <v>14198</v>
      </c>
      <c r="BM30" s="353">
        <v>14553</v>
      </c>
      <c r="BN30" s="353">
        <v>14917</v>
      </c>
      <c r="BO30" s="353">
        <v>15290</v>
      </c>
      <c r="BP30" s="353">
        <v>15672</v>
      </c>
      <c r="BQ30" s="353">
        <v>152837</v>
      </c>
      <c r="BS30" s="471" t="s">
        <v>329</v>
      </c>
      <c r="BT30" s="356">
        <v>1701092</v>
      </c>
      <c r="BU30" s="356">
        <v>1736951</v>
      </c>
      <c r="BV30" s="356">
        <v>1773282</v>
      </c>
      <c r="BW30" s="356">
        <v>1810584</v>
      </c>
      <c r="BX30" s="356">
        <v>1848680</v>
      </c>
      <c r="BY30" s="356">
        <v>1887630</v>
      </c>
      <c r="BZ30" s="356">
        <v>1927203</v>
      </c>
      <c r="CA30" s="356">
        <v>1967953</v>
      </c>
      <c r="CB30" s="356">
        <v>2009209</v>
      </c>
      <c r="CC30" s="356">
        <v>2051472</v>
      </c>
      <c r="CD30" s="356">
        <v>2094565</v>
      </c>
      <c r="CE30" s="356">
        <v>20808620</v>
      </c>
    </row>
    <row r="31" spans="1:83" ht="8.15" customHeight="1" x14ac:dyDescent="0.35">
      <c r="AQ31" s="471" t="s">
        <v>329</v>
      </c>
      <c r="AR31" s="356">
        <v>1885346</v>
      </c>
      <c r="AS31" s="356">
        <v>1921877</v>
      </c>
      <c r="AT31" s="356">
        <v>1959053</v>
      </c>
      <c r="AU31" s="356">
        <v>1997206</v>
      </c>
      <c r="AV31" s="356">
        <v>2036006</v>
      </c>
      <c r="AW31" s="356">
        <v>2075650</v>
      </c>
      <c r="AX31" s="356">
        <v>2115923</v>
      </c>
      <c r="AY31" s="356">
        <v>2156964</v>
      </c>
      <c r="AZ31" s="356">
        <v>2199540</v>
      </c>
      <c r="BA31" s="356">
        <v>2244371</v>
      </c>
      <c r="BB31" s="356">
        <v>2249849</v>
      </c>
      <c r="BC31" s="356">
        <v>22841785</v>
      </c>
      <c r="BE31" s="471" t="s">
        <v>337</v>
      </c>
      <c r="BF31" s="353">
        <v>729</v>
      </c>
      <c r="BG31" s="353">
        <v>747</v>
      </c>
      <c r="BH31" s="353">
        <v>766</v>
      </c>
      <c r="BI31" s="353">
        <v>785</v>
      </c>
      <c r="BJ31" s="353">
        <v>805</v>
      </c>
      <c r="BK31" s="353">
        <v>825</v>
      </c>
      <c r="BL31" s="353">
        <v>845</v>
      </c>
      <c r="BM31" s="353">
        <v>867</v>
      </c>
      <c r="BN31" s="353">
        <v>888</v>
      </c>
      <c r="BO31" s="353">
        <v>910</v>
      </c>
      <c r="BP31" s="353">
        <v>933</v>
      </c>
      <c r="BQ31" s="353">
        <v>9100</v>
      </c>
    </row>
    <row r="32" spans="1:83" ht="8.15" customHeight="1" x14ac:dyDescent="0.35">
      <c r="A32" s="471" t="s">
        <v>329</v>
      </c>
      <c r="B32" s="356">
        <v>1080474</v>
      </c>
      <c r="C32" s="356">
        <v>1104382</v>
      </c>
      <c r="D32" s="356">
        <v>1120725</v>
      </c>
      <c r="E32" s="356">
        <v>1124325</v>
      </c>
      <c r="F32" s="356">
        <v>1174564</v>
      </c>
      <c r="G32" s="356">
        <v>1131939</v>
      </c>
      <c r="H32" s="356">
        <v>1155752</v>
      </c>
      <c r="I32" s="356">
        <v>1206302</v>
      </c>
      <c r="J32" s="356">
        <v>1208133</v>
      </c>
      <c r="K32" s="356">
        <v>1261766</v>
      </c>
      <c r="L32" s="356">
        <v>1327376</v>
      </c>
      <c r="M32" s="356">
        <v>12895737</v>
      </c>
      <c r="O32" s="471" t="s">
        <v>329</v>
      </c>
      <c r="P32" s="356">
        <v>753930</v>
      </c>
      <c r="Q32" s="356">
        <v>906249</v>
      </c>
      <c r="R32" s="356">
        <v>1085628</v>
      </c>
      <c r="S32" s="356">
        <v>1112856</v>
      </c>
      <c r="T32" s="356">
        <v>1139458</v>
      </c>
      <c r="U32" s="356">
        <v>1156756</v>
      </c>
      <c r="V32" s="356">
        <v>1174243</v>
      </c>
      <c r="W32" s="356">
        <v>1192002</v>
      </c>
      <c r="X32" s="356">
        <v>1201752</v>
      </c>
      <c r="Y32" s="356">
        <v>1215445</v>
      </c>
      <c r="Z32" s="356">
        <v>1275657</v>
      </c>
      <c r="AA32" s="356">
        <v>12213978</v>
      </c>
      <c r="AC32" s="471" t="s">
        <v>329</v>
      </c>
      <c r="AD32" s="356">
        <v>955031</v>
      </c>
      <c r="AE32" s="356">
        <v>1124079</v>
      </c>
      <c r="AF32" s="356">
        <v>1217274</v>
      </c>
      <c r="AG32" s="356">
        <v>1232295</v>
      </c>
      <c r="AH32" s="356">
        <v>1247438</v>
      </c>
      <c r="AI32" s="356">
        <v>1263167</v>
      </c>
      <c r="AJ32" s="356">
        <v>1330801</v>
      </c>
      <c r="AK32" s="356">
        <v>1357587</v>
      </c>
      <c r="AL32" s="356">
        <v>1373796</v>
      </c>
      <c r="AM32" s="356">
        <v>1389233</v>
      </c>
      <c r="AN32" s="356">
        <v>1304374</v>
      </c>
      <c r="AO32" s="356">
        <v>13795073</v>
      </c>
      <c r="AP32" s="353"/>
      <c r="BE32" s="471" t="s">
        <v>338</v>
      </c>
      <c r="BF32" s="353">
        <v>24301</v>
      </c>
      <c r="BG32" s="353">
        <v>24818</v>
      </c>
      <c r="BH32" s="353">
        <v>25346</v>
      </c>
      <c r="BI32" s="353">
        <v>25886</v>
      </c>
      <c r="BJ32" s="353">
        <v>26437</v>
      </c>
      <c r="BK32" s="353">
        <v>27000</v>
      </c>
      <c r="BL32" s="353">
        <v>27575</v>
      </c>
      <c r="BM32" s="353">
        <v>28162</v>
      </c>
      <c r="BN32" s="353">
        <v>28762</v>
      </c>
      <c r="BO32" s="353">
        <v>29375</v>
      </c>
      <c r="BP32" s="353">
        <v>30001</v>
      </c>
      <c r="BQ32" s="353">
        <v>297662</v>
      </c>
      <c r="BS32" s="351" t="s">
        <v>332</v>
      </c>
    </row>
    <row r="33" spans="1:83" ht="8.15" customHeight="1" x14ac:dyDescent="0.35">
      <c r="AQ33" s="351" t="s">
        <v>332</v>
      </c>
      <c r="BE33" s="471" t="s">
        <v>339</v>
      </c>
      <c r="BF33" s="353">
        <v>99828</v>
      </c>
      <c r="BG33" s="353">
        <v>102324</v>
      </c>
      <c r="BH33" s="353">
        <v>104882</v>
      </c>
      <c r="BI33" s="353">
        <v>107504</v>
      </c>
      <c r="BJ33" s="353">
        <v>110192</v>
      </c>
      <c r="BK33" s="353">
        <v>112947</v>
      </c>
      <c r="BL33" s="353">
        <v>115770</v>
      </c>
      <c r="BM33" s="353">
        <v>118665</v>
      </c>
      <c r="BN33" s="353">
        <v>121631</v>
      </c>
      <c r="BO33" s="353">
        <v>124672</v>
      </c>
      <c r="BP33" s="353">
        <v>127789</v>
      </c>
      <c r="BQ33" s="353">
        <v>1246205</v>
      </c>
      <c r="BS33" s="471" t="s">
        <v>335</v>
      </c>
      <c r="BT33" s="353">
        <v>40994</v>
      </c>
      <c r="BU33" s="353">
        <v>42019</v>
      </c>
      <c r="BV33" s="353">
        <v>43069</v>
      </c>
      <c r="BW33" s="353">
        <v>44146</v>
      </c>
      <c r="BX33" s="353">
        <v>45250</v>
      </c>
      <c r="BY33" s="353">
        <v>46381</v>
      </c>
      <c r="BZ33" s="353">
        <v>47541</v>
      </c>
      <c r="CA33" s="353">
        <v>48729</v>
      </c>
      <c r="CB33" s="353">
        <v>49947</v>
      </c>
      <c r="CC33" s="353">
        <v>51196</v>
      </c>
      <c r="CD33" s="353">
        <v>52476</v>
      </c>
      <c r="CE33" s="353">
        <v>511748</v>
      </c>
    </row>
    <row r="34" spans="1:83" ht="8.15" customHeight="1" x14ac:dyDescent="0.35">
      <c r="A34" s="351" t="s">
        <v>332</v>
      </c>
      <c r="O34" s="351" t="s">
        <v>332</v>
      </c>
      <c r="AC34" s="351" t="s">
        <v>332</v>
      </c>
      <c r="AQ34" s="471" t="s">
        <v>335</v>
      </c>
      <c r="AR34" s="353">
        <v>42193</v>
      </c>
      <c r="AS34" s="353">
        <v>43248</v>
      </c>
      <c r="AT34" s="353">
        <v>44329</v>
      </c>
      <c r="AU34" s="353">
        <v>45437</v>
      </c>
      <c r="AV34" s="353">
        <v>46573</v>
      </c>
      <c r="AW34" s="353">
        <v>47737</v>
      </c>
      <c r="AX34" s="353">
        <v>48931</v>
      </c>
      <c r="AY34" s="353">
        <v>50154</v>
      </c>
      <c r="AZ34" s="353">
        <v>51408</v>
      </c>
      <c r="BA34" s="353">
        <v>52693</v>
      </c>
      <c r="BB34" s="353">
        <v>54010</v>
      </c>
      <c r="BC34" s="353">
        <v>526714</v>
      </c>
      <c r="BE34" s="471" t="s">
        <v>340</v>
      </c>
      <c r="BF34" s="353">
        <v>53900</v>
      </c>
      <c r="BG34" s="353">
        <v>55248</v>
      </c>
      <c r="BH34" s="353">
        <v>56629</v>
      </c>
      <c r="BI34" s="353">
        <v>58045</v>
      </c>
      <c r="BJ34" s="353">
        <v>59496</v>
      </c>
      <c r="BK34" s="353">
        <v>60983</v>
      </c>
      <c r="BL34" s="353">
        <v>62508</v>
      </c>
      <c r="BM34" s="353">
        <v>64071</v>
      </c>
      <c r="BN34" s="353">
        <v>65672</v>
      </c>
      <c r="BO34" s="353">
        <v>67314</v>
      </c>
      <c r="BP34" s="353">
        <v>68997</v>
      </c>
      <c r="BQ34" s="353">
        <v>672864</v>
      </c>
      <c r="BS34" s="471" t="s">
        <v>341</v>
      </c>
      <c r="BT34" s="353">
        <v>13676</v>
      </c>
      <c r="BU34" s="353">
        <v>14018</v>
      </c>
      <c r="BV34" s="353">
        <v>14368</v>
      </c>
      <c r="BW34" s="353">
        <v>14727</v>
      </c>
      <c r="BX34" s="353">
        <v>15096</v>
      </c>
      <c r="BY34" s="353">
        <v>15473</v>
      </c>
      <c r="BZ34" s="353">
        <v>15860</v>
      </c>
      <c r="CA34" s="353">
        <v>16256</v>
      </c>
      <c r="CB34" s="353">
        <v>16663</v>
      </c>
      <c r="CC34" s="353">
        <v>17079</v>
      </c>
      <c r="CD34" s="353">
        <v>17506</v>
      </c>
      <c r="CE34" s="353">
        <v>170722</v>
      </c>
    </row>
    <row r="35" spans="1:83" ht="8.15" customHeight="1" x14ac:dyDescent="0.35">
      <c r="A35" s="471" t="s">
        <v>335</v>
      </c>
      <c r="B35" s="353">
        <v>30601</v>
      </c>
      <c r="C35" s="353">
        <v>31366</v>
      </c>
      <c r="D35" s="353">
        <v>32150</v>
      </c>
      <c r="E35" s="353">
        <v>32954</v>
      </c>
      <c r="F35" s="353">
        <v>33778</v>
      </c>
      <c r="G35" s="353">
        <v>34622</v>
      </c>
      <c r="H35" s="353">
        <v>35488</v>
      </c>
      <c r="I35" s="353">
        <v>36375</v>
      </c>
      <c r="J35" s="353">
        <v>37284</v>
      </c>
      <c r="K35" s="353">
        <v>38216</v>
      </c>
      <c r="L35" s="353">
        <v>39172</v>
      </c>
      <c r="M35" s="353">
        <v>382004</v>
      </c>
      <c r="O35" s="471" t="s">
        <v>335</v>
      </c>
      <c r="P35" s="353">
        <v>27542</v>
      </c>
      <c r="Q35" s="353">
        <v>28231</v>
      </c>
      <c r="R35" s="353">
        <v>28936</v>
      </c>
      <c r="S35" s="353">
        <v>29660</v>
      </c>
      <c r="T35" s="353">
        <v>30401</v>
      </c>
      <c r="U35" s="353">
        <v>31161</v>
      </c>
      <c r="V35" s="353">
        <v>31940</v>
      </c>
      <c r="W35" s="353">
        <v>32739</v>
      </c>
      <c r="X35" s="353">
        <v>33557</v>
      </c>
      <c r="Y35" s="353">
        <v>34396</v>
      </c>
      <c r="Z35" s="353">
        <v>35256</v>
      </c>
      <c r="AA35" s="353">
        <v>343820</v>
      </c>
      <c r="AC35" s="471" t="s">
        <v>335</v>
      </c>
      <c r="AD35" s="353">
        <v>32114</v>
      </c>
      <c r="AE35" s="353">
        <v>32917</v>
      </c>
      <c r="AF35" s="353">
        <v>33740</v>
      </c>
      <c r="AG35" s="353">
        <v>34584</v>
      </c>
      <c r="AH35" s="353">
        <v>35448</v>
      </c>
      <c r="AI35" s="353">
        <v>36335</v>
      </c>
      <c r="AJ35" s="353">
        <v>37243</v>
      </c>
      <c r="AK35" s="353">
        <v>38174</v>
      </c>
      <c r="AL35" s="353">
        <v>39128</v>
      </c>
      <c r="AM35" s="353">
        <v>40107</v>
      </c>
      <c r="AN35" s="353">
        <v>41109</v>
      </c>
      <c r="AO35" s="353">
        <v>400900</v>
      </c>
      <c r="AP35" s="353"/>
      <c r="AQ35" s="471" t="s">
        <v>341</v>
      </c>
      <c r="AR35" s="353">
        <v>27306</v>
      </c>
      <c r="AS35" s="353">
        <v>27989</v>
      </c>
      <c r="AT35" s="353">
        <v>28688</v>
      </c>
      <c r="AU35" s="353">
        <v>29406</v>
      </c>
      <c r="AV35" s="353">
        <v>30141</v>
      </c>
      <c r="AW35" s="353">
        <v>30894</v>
      </c>
      <c r="AX35" s="353">
        <v>31667</v>
      </c>
      <c r="AY35" s="353">
        <v>32458</v>
      </c>
      <c r="AZ35" s="353">
        <v>33270</v>
      </c>
      <c r="BA35" s="353">
        <v>34102</v>
      </c>
      <c r="BB35" s="353">
        <v>34954</v>
      </c>
      <c r="BC35" s="353">
        <v>340875</v>
      </c>
      <c r="BE35" s="471" t="s">
        <v>342</v>
      </c>
      <c r="BF35" s="353">
        <v>14089</v>
      </c>
      <c r="BG35" s="353">
        <v>14441</v>
      </c>
      <c r="BH35" s="353">
        <v>14802</v>
      </c>
      <c r="BI35" s="353">
        <v>15172</v>
      </c>
      <c r="BJ35" s="353">
        <v>15552</v>
      </c>
      <c r="BK35" s="353">
        <v>15940</v>
      </c>
      <c r="BL35" s="353">
        <v>16339</v>
      </c>
      <c r="BM35" s="353">
        <v>16747</v>
      </c>
      <c r="BN35" s="353">
        <v>17166</v>
      </c>
      <c r="BO35" s="353">
        <v>17595</v>
      </c>
      <c r="BP35" s="353">
        <v>18035</v>
      </c>
      <c r="BQ35" s="353">
        <v>175879</v>
      </c>
      <c r="BS35" s="471" t="s">
        <v>336</v>
      </c>
      <c r="BT35" s="353">
        <v>21621</v>
      </c>
      <c r="BU35" s="353">
        <v>22161</v>
      </c>
      <c r="BV35" s="353">
        <v>22715</v>
      </c>
      <c r="BW35" s="353">
        <v>23283</v>
      </c>
      <c r="BX35" s="353">
        <v>23865</v>
      </c>
      <c r="BY35" s="353">
        <v>24462</v>
      </c>
      <c r="BZ35" s="353">
        <v>25074</v>
      </c>
      <c r="CA35" s="353">
        <v>25700</v>
      </c>
      <c r="CB35" s="353">
        <v>26343</v>
      </c>
      <c r="CC35" s="353">
        <v>27002</v>
      </c>
      <c r="CD35" s="353">
        <v>27677</v>
      </c>
      <c r="CE35" s="353">
        <v>269904</v>
      </c>
    </row>
    <row r="36" spans="1:83" ht="8.15" customHeight="1" x14ac:dyDescent="0.35">
      <c r="A36" s="471" t="s">
        <v>336</v>
      </c>
      <c r="B36" s="353">
        <v>20564</v>
      </c>
      <c r="C36" s="353">
        <v>21078</v>
      </c>
      <c r="D36" s="353">
        <v>21605</v>
      </c>
      <c r="E36" s="353">
        <v>22145</v>
      </c>
      <c r="F36" s="353">
        <v>22699</v>
      </c>
      <c r="G36" s="353">
        <v>23266</v>
      </c>
      <c r="H36" s="353">
        <v>23848</v>
      </c>
      <c r="I36" s="353">
        <v>24444</v>
      </c>
      <c r="J36" s="353">
        <v>25055</v>
      </c>
      <c r="K36" s="353">
        <v>25681</v>
      </c>
      <c r="L36" s="353">
        <v>26323</v>
      </c>
      <c r="M36" s="353">
        <v>256708</v>
      </c>
      <c r="O36" s="471" t="s">
        <v>336</v>
      </c>
      <c r="P36" s="353">
        <v>16680</v>
      </c>
      <c r="Q36" s="353">
        <v>17097</v>
      </c>
      <c r="R36" s="353">
        <v>17524</v>
      </c>
      <c r="S36" s="353">
        <v>17962</v>
      </c>
      <c r="T36" s="353">
        <v>18412</v>
      </c>
      <c r="U36" s="353">
        <v>18872</v>
      </c>
      <c r="V36" s="353">
        <v>19344</v>
      </c>
      <c r="W36" s="353">
        <v>19827</v>
      </c>
      <c r="X36" s="353">
        <v>20323</v>
      </c>
      <c r="Y36" s="353">
        <v>20831</v>
      </c>
      <c r="Z36" s="353">
        <v>21352</v>
      </c>
      <c r="AA36" s="353">
        <v>208223</v>
      </c>
      <c r="AC36" s="471" t="s">
        <v>336</v>
      </c>
      <c r="AD36" s="353">
        <v>19105</v>
      </c>
      <c r="AE36" s="353">
        <v>19582</v>
      </c>
      <c r="AF36" s="353">
        <v>20072</v>
      </c>
      <c r="AG36" s="353">
        <v>20574</v>
      </c>
      <c r="AH36" s="353">
        <v>21088</v>
      </c>
      <c r="AI36" s="353">
        <v>21615</v>
      </c>
      <c r="AJ36" s="353">
        <v>22156</v>
      </c>
      <c r="AK36" s="353">
        <v>22710</v>
      </c>
      <c r="AL36" s="353">
        <v>23277</v>
      </c>
      <c r="AM36" s="353">
        <v>23859</v>
      </c>
      <c r="AN36" s="353">
        <v>24456</v>
      </c>
      <c r="AO36" s="353">
        <v>238495</v>
      </c>
      <c r="AP36" s="353"/>
      <c r="AQ36" s="471" t="s">
        <v>336</v>
      </c>
      <c r="AR36" s="353">
        <v>21158</v>
      </c>
      <c r="AS36" s="353">
        <v>21687</v>
      </c>
      <c r="AT36" s="353">
        <v>22229</v>
      </c>
      <c r="AU36" s="353">
        <v>22785</v>
      </c>
      <c r="AV36" s="353">
        <v>23355</v>
      </c>
      <c r="AW36" s="353">
        <v>23939</v>
      </c>
      <c r="AX36" s="353">
        <v>24537</v>
      </c>
      <c r="AY36" s="353">
        <v>25150</v>
      </c>
      <c r="AZ36" s="353">
        <v>25779</v>
      </c>
      <c r="BA36" s="353">
        <v>26424</v>
      </c>
      <c r="BB36" s="353">
        <v>27084</v>
      </c>
      <c r="BC36" s="353">
        <v>264128</v>
      </c>
      <c r="BE36" s="471" t="s">
        <v>343</v>
      </c>
      <c r="BF36" s="353">
        <v>1543</v>
      </c>
      <c r="BG36" s="353">
        <v>1576</v>
      </c>
      <c r="BH36" s="353">
        <v>1609</v>
      </c>
      <c r="BI36" s="353">
        <v>1644</v>
      </c>
      <c r="BJ36" s="353">
        <v>1679</v>
      </c>
      <c r="BK36" s="353">
        <v>1714</v>
      </c>
      <c r="BL36" s="353">
        <v>1751</v>
      </c>
      <c r="BM36" s="353">
        <v>1788</v>
      </c>
      <c r="BN36" s="353">
        <v>1826</v>
      </c>
      <c r="BO36" s="353">
        <v>1865</v>
      </c>
      <c r="BP36" s="353">
        <v>1905</v>
      </c>
      <c r="BQ36" s="353">
        <v>18901</v>
      </c>
      <c r="BS36" s="471" t="s">
        <v>337</v>
      </c>
      <c r="BT36" s="353">
        <v>4233</v>
      </c>
      <c r="BU36" s="353">
        <v>4339</v>
      </c>
      <c r="BV36" s="353">
        <v>4448</v>
      </c>
      <c r="BW36" s="353">
        <v>4559</v>
      </c>
      <c r="BX36" s="353">
        <v>4673</v>
      </c>
      <c r="BY36" s="353">
        <v>4790</v>
      </c>
      <c r="BZ36" s="353">
        <v>4909</v>
      </c>
      <c r="CA36" s="353">
        <v>5032</v>
      </c>
      <c r="CB36" s="353">
        <v>5158</v>
      </c>
      <c r="CC36" s="353">
        <v>5287</v>
      </c>
      <c r="CD36" s="353">
        <v>5419</v>
      </c>
      <c r="CE36" s="353">
        <v>52846</v>
      </c>
    </row>
    <row r="37" spans="1:83" ht="8.15" customHeight="1" x14ac:dyDescent="0.35">
      <c r="A37" s="471" t="s">
        <v>337</v>
      </c>
      <c r="B37" s="353">
        <v>2513</v>
      </c>
      <c r="C37" s="353">
        <v>2576</v>
      </c>
      <c r="D37" s="353">
        <v>2640</v>
      </c>
      <c r="E37" s="353">
        <v>2706</v>
      </c>
      <c r="F37" s="353">
        <v>2774</v>
      </c>
      <c r="G37" s="353">
        <v>2843</v>
      </c>
      <c r="H37" s="353">
        <v>2914</v>
      </c>
      <c r="I37" s="353">
        <v>2987</v>
      </c>
      <c r="J37" s="353">
        <v>3062</v>
      </c>
      <c r="K37" s="353">
        <v>3138</v>
      </c>
      <c r="L37" s="353">
        <v>3217</v>
      </c>
      <c r="M37" s="353">
        <v>31371</v>
      </c>
      <c r="O37" s="471" t="s">
        <v>337</v>
      </c>
      <c r="P37" s="353">
        <v>4758</v>
      </c>
      <c r="Q37" s="353">
        <v>4877</v>
      </c>
      <c r="R37" s="353">
        <v>4999</v>
      </c>
      <c r="S37" s="353">
        <v>5124</v>
      </c>
      <c r="T37" s="353">
        <v>5252</v>
      </c>
      <c r="U37" s="353">
        <v>5383</v>
      </c>
      <c r="V37" s="353">
        <v>5518</v>
      </c>
      <c r="W37" s="353">
        <v>5655</v>
      </c>
      <c r="X37" s="353">
        <v>5797</v>
      </c>
      <c r="Y37" s="353">
        <v>5942</v>
      </c>
      <c r="Z37" s="353">
        <v>6090</v>
      </c>
      <c r="AA37" s="353">
        <v>59393</v>
      </c>
      <c r="AC37" s="471" t="s">
        <v>337</v>
      </c>
      <c r="AD37" s="353">
        <v>2944</v>
      </c>
      <c r="AE37" s="353">
        <v>3018</v>
      </c>
      <c r="AF37" s="353">
        <v>3093</v>
      </c>
      <c r="AG37" s="353">
        <v>3171</v>
      </c>
      <c r="AH37" s="353">
        <v>3250</v>
      </c>
      <c r="AI37" s="353">
        <v>3331</v>
      </c>
      <c r="AJ37" s="353">
        <v>3415</v>
      </c>
      <c r="AK37" s="353">
        <v>3500</v>
      </c>
      <c r="AL37" s="353">
        <v>3587</v>
      </c>
      <c r="AM37" s="353">
        <v>3677</v>
      </c>
      <c r="AN37" s="353">
        <v>3769</v>
      </c>
      <c r="AO37" s="353">
        <v>36756</v>
      </c>
      <c r="AP37" s="353"/>
      <c r="AQ37" s="471" t="s">
        <v>337</v>
      </c>
      <c r="AR37" s="353">
        <v>3276</v>
      </c>
      <c r="AS37" s="353">
        <v>3358</v>
      </c>
      <c r="AT37" s="353">
        <v>3442</v>
      </c>
      <c r="AU37" s="353">
        <v>3528</v>
      </c>
      <c r="AV37" s="353">
        <v>3617</v>
      </c>
      <c r="AW37" s="353">
        <v>3707</v>
      </c>
      <c r="AX37" s="353">
        <v>3800</v>
      </c>
      <c r="AY37" s="353">
        <v>3895</v>
      </c>
      <c r="AZ37" s="353">
        <v>3992</v>
      </c>
      <c r="BA37" s="353">
        <v>4092</v>
      </c>
      <c r="BB37" s="353">
        <v>4194</v>
      </c>
      <c r="BC37" s="353">
        <v>40901</v>
      </c>
      <c r="BE37" s="471" t="s">
        <v>344</v>
      </c>
      <c r="BF37" s="355">
        <v>225902</v>
      </c>
      <c r="BG37" s="355">
        <v>231453</v>
      </c>
      <c r="BH37" s="355">
        <v>237141</v>
      </c>
      <c r="BI37" s="355">
        <v>242970</v>
      </c>
      <c r="BJ37" s="355">
        <v>248942</v>
      </c>
      <c r="BK37" s="355">
        <v>255061</v>
      </c>
      <c r="BL37" s="355">
        <v>261331</v>
      </c>
      <c r="BM37" s="355">
        <v>267756</v>
      </c>
      <c r="BN37" s="355">
        <v>274340</v>
      </c>
      <c r="BO37" s="355">
        <v>281085</v>
      </c>
      <c r="BP37" s="355">
        <v>287997</v>
      </c>
      <c r="BQ37" s="355">
        <v>2813979</v>
      </c>
      <c r="BS37" s="471" t="s">
        <v>338</v>
      </c>
      <c r="BT37" s="353">
        <v>51239</v>
      </c>
      <c r="BU37" s="353">
        <v>52319</v>
      </c>
      <c r="BV37" s="353">
        <v>53413</v>
      </c>
      <c r="BW37" s="353">
        <v>54537</v>
      </c>
      <c r="BX37" s="353">
        <v>55684</v>
      </c>
      <c r="BY37" s="353">
        <v>56857</v>
      </c>
      <c r="BZ37" s="353">
        <v>58049</v>
      </c>
      <c r="CA37" s="353">
        <v>59277</v>
      </c>
      <c r="CB37" s="353">
        <v>60519</v>
      </c>
      <c r="CC37" s="353">
        <v>61792</v>
      </c>
      <c r="CD37" s="353">
        <v>63090</v>
      </c>
      <c r="CE37" s="353">
        <v>626776</v>
      </c>
    </row>
    <row r="38" spans="1:83" ht="8.15" customHeight="1" x14ac:dyDescent="0.35">
      <c r="A38" s="471" t="s">
        <v>338</v>
      </c>
      <c r="B38" s="353">
        <v>32666</v>
      </c>
      <c r="C38" s="353">
        <v>33905</v>
      </c>
      <c r="D38" s="353">
        <v>34346</v>
      </c>
      <c r="E38" s="353">
        <v>34478</v>
      </c>
      <c r="F38" s="353">
        <v>36071</v>
      </c>
      <c r="G38" s="353">
        <v>34808</v>
      </c>
      <c r="H38" s="353">
        <v>35497</v>
      </c>
      <c r="I38" s="353">
        <v>37002</v>
      </c>
      <c r="J38" s="353">
        <v>37082</v>
      </c>
      <c r="K38" s="353">
        <v>38644</v>
      </c>
      <c r="L38" s="353">
        <v>40810</v>
      </c>
      <c r="M38" s="353">
        <v>395308</v>
      </c>
      <c r="O38" s="471" t="s">
        <v>338</v>
      </c>
      <c r="P38" s="353">
        <v>22814</v>
      </c>
      <c r="Q38" s="353">
        <v>27442</v>
      </c>
      <c r="R38" s="353">
        <v>32995</v>
      </c>
      <c r="S38" s="353">
        <v>33822</v>
      </c>
      <c r="T38" s="353">
        <v>34629</v>
      </c>
      <c r="U38" s="353">
        <v>35157</v>
      </c>
      <c r="V38" s="353">
        <v>35691</v>
      </c>
      <c r="W38" s="353">
        <v>36233</v>
      </c>
      <c r="X38" s="353">
        <v>36533</v>
      </c>
      <c r="Y38" s="353">
        <v>36957</v>
      </c>
      <c r="Z38" s="353">
        <v>38809</v>
      </c>
      <c r="AA38" s="353">
        <v>371082</v>
      </c>
      <c r="AC38" s="471" t="s">
        <v>338</v>
      </c>
      <c r="AD38" s="353">
        <v>29218</v>
      </c>
      <c r="AE38" s="353">
        <v>34475</v>
      </c>
      <c r="AF38" s="353">
        <v>37395</v>
      </c>
      <c r="AG38" s="353">
        <v>37863</v>
      </c>
      <c r="AH38" s="353">
        <v>38334</v>
      </c>
      <c r="AI38" s="353">
        <v>38824</v>
      </c>
      <c r="AJ38" s="353">
        <v>40872</v>
      </c>
      <c r="AK38" s="353">
        <v>41694</v>
      </c>
      <c r="AL38" s="353">
        <v>42198</v>
      </c>
      <c r="AM38" s="353">
        <v>42679</v>
      </c>
      <c r="AN38" s="353">
        <v>40069</v>
      </c>
      <c r="AO38" s="353">
        <v>423621</v>
      </c>
      <c r="AP38" s="353"/>
      <c r="AQ38" s="471" t="s">
        <v>338</v>
      </c>
      <c r="AR38" s="353">
        <v>56746</v>
      </c>
      <c r="AS38" s="353">
        <v>57846</v>
      </c>
      <c r="AT38" s="353">
        <v>58966</v>
      </c>
      <c r="AU38" s="353">
        <v>60114</v>
      </c>
      <c r="AV38" s="353">
        <v>61282</v>
      </c>
      <c r="AW38" s="353">
        <v>62476</v>
      </c>
      <c r="AX38" s="353">
        <v>63689</v>
      </c>
      <c r="AY38" s="353">
        <v>64924</v>
      </c>
      <c r="AZ38" s="353">
        <v>66206</v>
      </c>
      <c r="BA38" s="353">
        <v>67557</v>
      </c>
      <c r="BB38" s="353">
        <v>67716</v>
      </c>
      <c r="BC38" s="353">
        <v>687523</v>
      </c>
      <c r="BS38" s="471" t="s">
        <v>345</v>
      </c>
      <c r="BT38" s="353">
        <v>1721</v>
      </c>
      <c r="BU38" s="353">
        <v>1764</v>
      </c>
      <c r="BV38" s="353">
        <v>1808</v>
      </c>
      <c r="BW38" s="353">
        <v>1854</v>
      </c>
      <c r="BX38" s="353">
        <v>1900</v>
      </c>
      <c r="BY38" s="353">
        <v>1947</v>
      </c>
      <c r="BZ38" s="353">
        <v>1996</v>
      </c>
      <c r="CA38" s="353">
        <v>2046</v>
      </c>
      <c r="CB38" s="353">
        <v>2097</v>
      </c>
      <c r="CC38" s="353">
        <v>2150</v>
      </c>
      <c r="CD38" s="353">
        <v>2203</v>
      </c>
      <c r="CE38" s="353">
        <v>21487</v>
      </c>
    </row>
    <row r="39" spans="1:83" ht="8.15" customHeight="1" x14ac:dyDescent="0.35">
      <c r="A39" s="471" t="s">
        <v>345</v>
      </c>
      <c r="B39" s="353">
        <v>899</v>
      </c>
      <c r="C39" s="353">
        <v>922</v>
      </c>
      <c r="D39" s="353">
        <v>945</v>
      </c>
      <c r="E39" s="353">
        <v>968</v>
      </c>
      <c r="F39" s="353">
        <v>992</v>
      </c>
      <c r="G39" s="353">
        <v>1017</v>
      </c>
      <c r="H39" s="353">
        <v>1043</v>
      </c>
      <c r="I39" s="353">
        <v>1069</v>
      </c>
      <c r="J39" s="353">
        <v>1095</v>
      </c>
      <c r="K39" s="353">
        <v>1123</v>
      </c>
      <c r="L39" s="353">
        <v>1151</v>
      </c>
      <c r="M39" s="353">
        <v>11224</v>
      </c>
      <c r="O39" s="471" t="s">
        <v>345</v>
      </c>
      <c r="P39" s="353">
        <v>899</v>
      </c>
      <c r="Q39" s="353">
        <v>922</v>
      </c>
      <c r="R39" s="353">
        <v>945</v>
      </c>
      <c r="S39" s="353">
        <v>968</v>
      </c>
      <c r="T39" s="353">
        <v>992</v>
      </c>
      <c r="U39" s="353">
        <v>1017</v>
      </c>
      <c r="V39" s="353">
        <v>1043</v>
      </c>
      <c r="W39" s="353">
        <v>1069</v>
      </c>
      <c r="X39" s="353">
        <v>1095</v>
      </c>
      <c r="Y39" s="353">
        <v>1123</v>
      </c>
      <c r="Z39" s="353">
        <v>1151</v>
      </c>
      <c r="AA39" s="353">
        <v>11224</v>
      </c>
      <c r="AC39" s="471" t="s">
        <v>345</v>
      </c>
      <c r="AD39" s="353">
        <v>784</v>
      </c>
      <c r="AE39" s="353">
        <v>803</v>
      </c>
      <c r="AF39" s="353">
        <v>823</v>
      </c>
      <c r="AG39" s="353">
        <v>844</v>
      </c>
      <c r="AH39" s="353">
        <v>865</v>
      </c>
      <c r="AI39" s="353">
        <v>887</v>
      </c>
      <c r="AJ39" s="353">
        <v>909</v>
      </c>
      <c r="AK39" s="353">
        <v>932</v>
      </c>
      <c r="AL39" s="353">
        <v>955</v>
      </c>
      <c r="AM39" s="353">
        <v>979</v>
      </c>
      <c r="AN39" s="353">
        <v>1003</v>
      </c>
      <c r="AO39" s="353">
        <v>9783</v>
      </c>
      <c r="AP39" s="353"/>
      <c r="AQ39" s="471" t="s">
        <v>345</v>
      </c>
      <c r="AR39" s="353">
        <v>453</v>
      </c>
      <c r="AS39" s="353">
        <v>464</v>
      </c>
      <c r="AT39" s="353">
        <v>475</v>
      </c>
      <c r="AU39" s="353">
        <v>487</v>
      </c>
      <c r="AV39" s="353">
        <v>500</v>
      </c>
      <c r="AW39" s="353">
        <v>512</v>
      </c>
      <c r="AX39" s="353">
        <v>525</v>
      </c>
      <c r="AY39" s="353">
        <v>538</v>
      </c>
      <c r="AZ39" s="353">
        <v>551</v>
      </c>
      <c r="BA39" s="353">
        <v>565</v>
      </c>
      <c r="BB39" s="353">
        <v>579</v>
      </c>
      <c r="BC39" s="353">
        <v>5650</v>
      </c>
      <c r="BE39" s="471" t="s">
        <v>133</v>
      </c>
      <c r="BF39" s="356">
        <v>584129</v>
      </c>
      <c r="BG39" s="356">
        <v>595812</v>
      </c>
      <c r="BH39" s="356">
        <v>607728</v>
      </c>
      <c r="BI39" s="356">
        <v>619882</v>
      </c>
      <c r="BJ39" s="356">
        <v>632280</v>
      </c>
      <c r="BK39" s="356">
        <v>644926</v>
      </c>
      <c r="BL39" s="356">
        <v>657824</v>
      </c>
      <c r="BM39" s="356">
        <v>670981</v>
      </c>
      <c r="BN39" s="356">
        <v>684400</v>
      </c>
      <c r="BO39" s="356">
        <v>698088</v>
      </c>
      <c r="BP39" s="356">
        <v>712050</v>
      </c>
      <c r="BQ39" s="356">
        <v>7108099</v>
      </c>
      <c r="BS39" s="471" t="s">
        <v>339</v>
      </c>
      <c r="BT39" s="353">
        <v>79187</v>
      </c>
      <c r="BU39" s="353">
        <v>81166</v>
      </c>
      <c r="BV39" s="353">
        <v>83195</v>
      </c>
      <c r="BW39" s="353">
        <v>85275</v>
      </c>
      <c r="BX39" s="353">
        <v>87407</v>
      </c>
      <c r="BY39" s="353">
        <v>89592</v>
      </c>
      <c r="BZ39" s="353">
        <v>91832</v>
      </c>
      <c r="CA39" s="353">
        <v>94128</v>
      </c>
      <c r="CB39" s="353">
        <v>96481</v>
      </c>
      <c r="CC39" s="353">
        <v>98893</v>
      </c>
      <c r="CD39" s="353">
        <v>101366</v>
      </c>
      <c r="CE39" s="353">
        <v>988523</v>
      </c>
    </row>
    <row r="40" spans="1:83" ht="8.15" customHeight="1" x14ac:dyDescent="0.35">
      <c r="A40" s="471" t="s">
        <v>339</v>
      </c>
      <c r="B40" s="353">
        <v>73623</v>
      </c>
      <c r="C40" s="353">
        <v>75463</v>
      </c>
      <c r="D40" s="353">
        <v>77350</v>
      </c>
      <c r="E40" s="353">
        <v>79284</v>
      </c>
      <c r="F40" s="353">
        <v>81266</v>
      </c>
      <c r="G40" s="353">
        <v>83298</v>
      </c>
      <c r="H40" s="353">
        <v>85380</v>
      </c>
      <c r="I40" s="353">
        <v>87515</v>
      </c>
      <c r="J40" s="353">
        <v>89702</v>
      </c>
      <c r="K40" s="353">
        <v>91945</v>
      </c>
      <c r="L40" s="353">
        <v>94244</v>
      </c>
      <c r="M40" s="353">
        <v>919069</v>
      </c>
      <c r="O40" s="471" t="s">
        <v>339</v>
      </c>
      <c r="P40" s="353">
        <v>120166</v>
      </c>
      <c r="Q40" s="353">
        <v>123170</v>
      </c>
      <c r="R40" s="353">
        <v>126249</v>
      </c>
      <c r="S40" s="353">
        <v>129405</v>
      </c>
      <c r="T40" s="353">
        <v>132640</v>
      </c>
      <c r="U40" s="353">
        <v>135956</v>
      </c>
      <c r="V40" s="353">
        <v>139355</v>
      </c>
      <c r="W40" s="353">
        <v>142839</v>
      </c>
      <c r="X40" s="353">
        <v>146410</v>
      </c>
      <c r="Y40" s="353">
        <v>150070</v>
      </c>
      <c r="Z40" s="353">
        <v>153822</v>
      </c>
      <c r="AA40" s="353">
        <v>1500082</v>
      </c>
      <c r="AC40" s="471" t="s">
        <v>339</v>
      </c>
      <c r="AD40" s="353">
        <v>106547</v>
      </c>
      <c r="AE40" s="353">
        <v>109211</v>
      </c>
      <c r="AF40" s="353">
        <v>111941</v>
      </c>
      <c r="AG40" s="353">
        <v>114740</v>
      </c>
      <c r="AH40" s="353">
        <v>117608</v>
      </c>
      <c r="AI40" s="353">
        <v>120549</v>
      </c>
      <c r="AJ40" s="353">
        <v>123562</v>
      </c>
      <c r="AK40" s="353">
        <v>126651</v>
      </c>
      <c r="AL40" s="353">
        <v>129818</v>
      </c>
      <c r="AM40" s="353">
        <v>133063</v>
      </c>
      <c r="AN40" s="353">
        <v>136390</v>
      </c>
      <c r="AO40" s="353">
        <v>1330081</v>
      </c>
      <c r="AP40" s="353"/>
      <c r="AQ40" s="471" t="s">
        <v>339</v>
      </c>
      <c r="AR40" s="353">
        <v>187822</v>
      </c>
      <c r="AS40" s="353">
        <v>192517</v>
      </c>
      <c r="AT40" s="353">
        <v>197330</v>
      </c>
      <c r="AU40" s="353">
        <v>202264</v>
      </c>
      <c r="AV40" s="353">
        <v>207320</v>
      </c>
      <c r="AW40" s="353">
        <v>212503</v>
      </c>
      <c r="AX40" s="353">
        <v>217816</v>
      </c>
      <c r="AY40" s="353">
        <v>223261</v>
      </c>
      <c r="AZ40" s="353">
        <v>228843</v>
      </c>
      <c r="BA40" s="353">
        <v>234564</v>
      </c>
      <c r="BB40" s="353">
        <v>240428</v>
      </c>
      <c r="BC40" s="353">
        <v>2344667</v>
      </c>
      <c r="BS40" s="471" t="s">
        <v>340</v>
      </c>
      <c r="BT40" s="353">
        <v>133478</v>
      </c>
      <c r="BU40" s="353">
        <v>136815</v>
      </c>
      <c r="BV40" s="353">
        <v>140235</v>
      </c>
      <c r="BW40" s="353">
        <v>143741</v>
      </c>
      <c r="BX40" s="353">
        <v>147335</v>
      </c>
      <c r="BY40" s="353">
        <v>151018</v>
      </c>
      <c r="BZ40" s="353">
        <v>154793</v>
      </c>
      <c r="CA40" s="353">
        <v>158663</v>
      </c>
      <c r="CB40" s="353">
        <v>162630</v>
      </c>
      <c r="CC40" s="353">
        <v>166696</v>
      </c>
      <c r="CD40" s="353">
        <v>170863</v>
      </c>
      <c r="CE40" s="353">
        <v>1666267</v>
      </c>
    </row>
    <row r="41" spans="1:83" ht="8.15" customHeight="1" x14ac:dyDescent="0.35">
      <c r="A41" s="471" t="s">
        <v>340</v>
      </c>
      <c r="B41" s="353">
        <v>129018</v>
      </c>
      <c r="C41" s="353">
        <v>132243</v>
      </c>
      <c r="D41" s="353">
        <v>135549</v>
      </c>
      <c r="E41" s="353">
        <v>138938</v>
      </c>
      <c r="F41" s="353">
        <v>142412</v>
      </c>
      <c r="G41" s="353">
        <v>145972</v>
      </c>
      <c r="H41" s="353">
        <v>149621</v>
      </c>
      <c r="I41" s="353">
        <v>153362</v>
      </c>
      <c r="J41" s="353">
        <v>157196</v>
      </c>
      <c r="K41" s="353">
        <v>161126</v>
      </c>
      <c r="L41" s="353">
        <v>165154</v>
      </c>
      <c r="M41" s="353">
        <v>1610590</v>
      </c>
      <c r="O41" s="471" t="s">
        <v>340</v>
      </c>
      <c r="P41" s="353">
        <v>105887</v>
      </c>
      <c r="Q41" s="353">
        <v>108534</v>
      </c>
      <c r="R41" s="353">
        <v>111248</v>
      </c>
      <c r="S41" s="353">
        <v>114029</v>
      </c>
      <c r="T41" s="353">
        <v>116880</v>
      </c>
      <c r="U41" s="353">
        <v>119802</v>
      </c>
      <c r="V41" s="353">
        <v>122797</v>
      </c>
      <c r="W41" s="353">
        <v>125867</v>
      </c>
      <c r="X41" s="353">
        <v>129013</v>
      </c>
      <c r="Y41" s="353">
        <v>132239</v>
      </c>
      <c r="Z41" s="353">
        <v>135545</v>
      </c>
      <c r="AA41" s="353">
        <v>1321840</v>
      </c>
      <c r="AC41" s="471" t="s">
        <v>340</v>
      </c>
      <c r="AD41" s="353">
        <v>68263</v>
      </c>
      <c r="AE41" s="353">
        <v>69969</v>
      </c>
      <c r="AF41" s="353">
        <v>71719</v>
      </c>
      <c r="AG41" s="353">
        <v>73512</v>
      </c>
      <c r="AH41" s="353">
        <v>75349</v>
      </c>
      <c r="AI41" s="353">
        <v>77233</v>
      </c>
      <c r="AJ41" s="353">
        <v>79164</v>
      </c>
      <c r="AK41" s="353">
        <v>81143</v>
      </c>
      <c r="AL41" s="353">
        <v>83172</v>
      </c>
      <c r="AM41" s="353">
        <v>85251</v>
      </c>
      <c r="AN41" s="353">
        <v>87382</v>
      </c>
      <c r="AO41" s="353">
        <v>852156</v>
      </c>
      <c r="AP41" s="353"/>
      <c r="AQ41" s="471" t="s">
        <v>340</v>
      </c>
      <c r="AR41" s="353">
        <v>163902</v>
      </c>
      <c r="AS41" s="353">
        <v>168000</v>
      </c>
      <c r="AT41" s="353">
        <v>172200</v>
      </c>
      <c r="AU41" s="353">
        <v>176505</v>
      </c>
      <c r="AV41" s="353">
        <v>180918</v>
      </c>
      <c r="AW41" s="353">
        <v>185441</v>
      </c>
      <c r="AX41" s="353">
        <v>190077</v>
      </c>
      <c r="AY41" s="353">
        <v>194829</v>
      </c>
      <c r="AZ41" s="353">
        <v>199699</v>
      </c>
      <c r="BA41" s="353">
        <v>204692</v>
      </c>
      <c r="BB41" s="353">
        <v>209809</v>
      </c>
      <c r="BC41" s="353">
        <v>2046071</v>
      </c>
      <c r="BE41" s="351" t="s">
        <v>346</v>
      </c>
      <c r="BS41" s="471" t="s">
        <v>342</v>
      </c>
      <c r="BT41" s="353">
        <v>40144</v>
      </c>
      <c r="BU41" s="353">
        <v>41147</v>
      </c>
      <c r="BV41" s="353">
        <v>42176</v>
      </c>
      <c r="BW41" s="353">
        <v>43230</v>
      </c>
      <c r="BX41" s="353">
        <v>44311</v>
      </c>
      <c r="BY41" s="353">
        <v>45419</v>
      </c>
      <c r="BZ41" s="353">
        <v>46554</v>
      </c>
      <c r="CA41" s="353">
        <v>47718</v>
      </c>
      <c r="CB41" s="353">
        <v>48911</v>
      </c>
      <c r="CC41" s="353">
        <v>50134</v>
      </c>
      <c r="CD41" s="353">
        <v>51387</v>
      </c>
      <c r="CE41" s="353">
        <v>501131</v>
      </c>
    </row>
    <row r="42" spans="1:83" ht="8.15" customHeight="1" x14ac:dyDescent="0.35">
      <c r="A42" s="471" t="s">
        <v>342</v>
      </c>
      <c r="B42" s="353">
        <v>11693</v>
      </c>
      <c r="C42" s="353">
        <v>11986</v>
      </c>
      <c r="D42" s="353">
        <v>12285</v>
      </c>
      <c r="E42" s="353">
        <v>12592</v>
      </c>
      <c r="F42" s="353">
        <v>12907</v>
      </c>
      <c r="G42" s="353">
        <v>13230</v>
      </c>
      <c r="H42" s="353">
        <v>13561</v>
      </c>
      <c r="I42" s="353">
        <v>13900</v>
      </c>
      <c r="J42" s="353">
        <v>14247</v>
      </c>
      <c r="K42" s="353">
        <v>14603</v>
      </c>
      <c r="L42" s="353">
        <v>14968</v>
      </c>
      <c r="M42" s="353">
        <v>145974</v>
      </c>
      <c r="O42" s="471" t="s">
        <v>342</v>
      </c>
      <c r="P42" s="353">
        <v>32445</v>
      </c>
      <c r="Q42" s="353">
        <v>33256</v>
      </c>
      <c r="R42" s="353">
        <v>34087</v>
      </c>
      <c r="S42" s="353">
        <v>34939</v>
      </c>
      <c r="T42" s="353">
        <v>35813</v>
      </c>
      <c r="U42" s="353">
        <v>36708</v>
      </c>
      <c r="V42" s="353">
        <v>37626</v>
      </c>
      <c r="W42" s="353">
        <v>38566</v>
      </c>
      <c r="X42" s="353">
        <v>39531</v>
      </c>
      <c r="Y42" s="353">
        <v>40519</v>
      </c>
      <c r="Z42" s="353">
        <v>41532</v>
      </c>
      <c r="AA42" s="353">
        <v>405020</v>
      </c>
      <c r="AC42" s="471" t="s">
        <v>342</v>
      </c>
      <c r="AD42" s="353">
        <v>25184</v>
      </c>
      <c r="AE42" s="353">
        <v>25814</v>
      </c>
      <c r="AF42" s="353">
        <v>26459</v>
      </c>
      <c r="AG42" s="353">
        <v>27120</v>
      </c>
      <c r="AH42" s="353">
        <v>27798</v>
      </c>
      <c r="AI42" s="353">
        <v>28493</v>
      </c>
      <c r="AJ42" s="353">
        <v>29206</v>
      </c>
      <c r="AK42" s="353">
        <v>29936</v>
      </c>
      <c r="AL42" s="353">
        <v>30684</v>
      </c>
      <c r="AM42" s="353">
        <v>31451</v>
      </c>
      <c r="AN42" s="353">
        <v>32238</v>
      </c>
      <c r="AO42" s="353">
        <v>314383</v>
      </c>
      <c r="AP42" s="353"/>
      <c r="AQ42" s="471" t="s">
        <v>342</v>
      </c>
      <c r="AR42" s="353">
        <v>24658</v>
      </c>
      <c r="AS42" s="353">
        <v>25275</v>
      </c>
      <c r="AT42" s="353">
        <v>25907</v>
      </c>
      <c r="AU42" s="353">
        <v>26554</v>
      </c>
      <c r="AV42" s="353">
        <v>27218</v>
      </c>
      <c r="AW42" s="353">
        <v>27899</v>
      </c>
      <c r="AX42" s="353">
        <v>28596</v>
      </c>
      <c r="AY42" s="353">
        <v>29311</v>
      </c>
      <c r="AZ42" s="353">
        <v>30044</v>
      </c>
      <c r="BA42" s="353">
        <v>30795</v>
      </c>
      <c r="BB42" s="353">
        <v>31565</v>
      </c>
      <c r="BC42" s="353">
        <v>307823</v>
      </c>
      <c r="BE42" s="352" t="s">
        <v>347</v>
      </c>
      <c r="BF42" s="353">
        <v>0</v>
      </c>
      <c r="BG42" s="353">
        <v>0</v>
      </c>
      <c r="BH42" s="353">
        <v>0</v>
      </c>
      <c r="BI42" s="353">
        <v>0</v>
      </c>
      <c r="BJ42" s="353">
        <v>0</v>
      </c>
      <c r="BK42" s="353">
        <v>0</v>
      </c>
      <c r="BL42" s="353">
        <v>0</v>
      </c>
      <c r="BM42" s="353">
        <v>0</v>
      </c>
      <c r="BN42" s="353">
        <v>0</v>
      </c>
      <c r="BO42" s="353">
        <v>0</v>
      </c>
      <c r="BP42" s="353">
        <v>0</v>
      </c>
      <c r="BQ42" s="353">
        <v>0</v>
      </c>
      <c r="BS42" s="471" t="s">
        <v>343</v>
      </c>
      <c r="BT42" s="353">
        <v>3254</v>
      </c>
      <c r="BU42" s="353">
        <v>3322</v>
      </c>
      <c r="BV42" s="353">
        <v>3392</v>
      </c>
      <c r="BW42" s="353">
        <v>3463</v>
      </c>
      <c r="BX42" s="353">
        <v>3536</v>
      </c>
      <c r="BY42" s="353">
        <v>3610</v>
      </c>
      <c r="BZ42" s="353">
        <v>3686</v>
      </c>
      <c r="CA42" s="353">
        <v>3764</v>
      </c>
      <c r="CB42" s="353">
        <v>3843</v>
      </c>
      <c r="CC42" s="353">
        <v>3924</v>
      </c>
      <c r="CD42" s="353">
        <v>4006</v>
      </c>
      <c r="CE42" s="353">
        <v>39800</v>
      </c>
    </row>
    <row r="43" spans="1:83" ht="8.15" customHeight="1" x14ac:dyDescent="0.35">
      <c r="A43" s="471" t="s">
        <v>343</v>
      </c>
      <c r="B43" s="353">
        <v>2074</v>
      </c>
      <c r="C43" s="353">
        <v>2153</v>
      </c>
      <c r="D43" s="353">
        <v>2181</v>
      </c>
      <c r="E43" s="353">
        <v>2189</v>
      </c>
      <c r="F43" s="353">
        <v>2290</v>
      </c>
      <c r="G43" s="353">
        <v>2210</v>
      </c>
      <c r="H43" s="353">
        <v>2254</v>
      </c>
      <c r="I43" s="353">
        <v>2350</v>
      </c>
      <c r="J43" s="353">
        <v>2355</v>
      </c>
      <c r="K43" s="353">
        <v>2454</v>
      </c>
      <c r="L43" s="353">
        <v>2591</v>
      </c>
      <c r="M43" s="353">
        <v>25102</v>
      </c>
      <c r="O43" s="471" t="s">
        <v>343</v>
      </c>
      <c r="P43" s="353">
        <v>1449</v>
      </c>
      <c r="Q43" s="353">
        <v>1743</v>
      </c>
      <c r="R43" s="353">
        <v>2095</v>
      </c>
      <c r="S43" s="353">
        <v>2148</v>
      </c>
      <c r="T43" s="353">
        <v>2199</v>
      </c>
      <c r="U43" s="353">
        <v>2232</v>
      </c>
      <c r="V43" s="353">
        <v>2266</v>
      </c>
      <c r="W43" s="353">
        <v>2301</v>
      </c>
      <c r="X43" s="353">
        <v>2320</v>
      </c>
      <c r="Y43" s="353">
        <v>2347</v>
      </c>
      <c r="Z43" s="353">
        <v>2464</v>
      </c>
      <c r="AA43" s="353">
        <v>23564</v>
      </c>
      <c r="AC43" s="471" t="s">
        <v>348</v>
      </c>
      <c r="AD43" s="353">
        <v>14580</v>
      </c>
      <c r="AE43" s="353">
        <v>14945</v>
      </c>
      <c r="AF43" s="353">
        <v>15318</v>
      </c>
      <c r="AG43" s="353">
        <v>15701</v>
      </c>
      <c r="AH43" s="353">
        <v>16094</v>
      </c>
      <c r="AI43" s="353">
        <v>16496</v>
      </c>
      <c r="AJ43" s="353">
        <v>16908</v>
      </c>
      <c r="AK43" s="353">
        <v>17331</v>
      </c>
      <c r="AL43" s="353">
        <v>17764</v>
      </c>
      <c r="AM43" s="353">
        <v>18208</v>
      </c>
      <c r="AN43" s="353">
        <v>18664</v>
      </c>
      <c r="AO43" s="353">
        <v>182009</v>
      </c>
      <c r="AP43" s="353"/>
      <c r="AQ43" s="471" t="s">
        <v>343</v>
      </c>
      <c r="AR43" s="353">
        <v>3603</v>
      </c>
      <c r="AS43" s="353">
        <v>3673</v>
      </c>
      <c r="AT43" s="353">
        <v>3744</v>
      </c>
      <c r="AU43" s="353">
        <v>3817</v>
      </c>
      <c r="AV43" s="353">
        <v>3891</v>
      </c>
      <c r="AW43" s="353">
        <v>3967</v>
      </c>
      <c r="AX43" s="353">
        <v>4044</v>
      </c>
      <c r="AY43" s="353">
        <v>4123</v>
      </c>
      <c r="AZ43" s="353">
        <v>4204</v>
      </c>
      <c r="BA43" s="353">
        <v>4290</v>
      </c>
      <c r="BB43" s="353">
        <v>4300</v>
      </c>
      <c r="BC43" s="353">
        <v>43657</v>
      </c>
      <c r="BE43" s="352" t="s">
        <v>349</v>
      </c>
      <c r="BF43" s="353">
        <v>0</v>
      </c>
      <c r="BG43" s="353">
        <v>0</v>
      </c>
      <c r="BH43" s="353">
        <v>0</v>
      </c>
      <c r="BI43" s="353">
        <v>0</v>
      </c>
      <c r="BJ43" s="353">
        <v>0</v>
      </c>
      <c r="BK43" s="353">
        <v>0</v>
      </c>
      <c r="BL43" s="353">
        <v>0</v>
      </c>
      <c r="BM43" s="353">
        <v>0</v>
      </c>
      <c r="BN43" s="353">
        <v>0</v>
      </c>
      <c r="BO43" s="353">
        <v>0</v>
      </c>
      <c r="BP43" s="353">
        <v>0</v>
      </c>
      <c r="BQ43" s="353">
        <v>0</v>
      </c>
      <c r="BS43" s="471" t="s">
        <v>344</v>
      </c>
      <c r="BT43" s="355">
        <v>389546</v>
      </c>
      <c r="BU43" s="355">
        <v>399071</v>
      </c>
      <c r="BV43" s="355">
        <v>408820</v>
      </c>
      <c r="BW43" s="355">
        <v>418816</v>
      </c>
      <c r="BX43" s="355">
        <v>429056</v>
      </c>
      <c r="BY43" s="355">
        <v>439550</v>
      </c>
      <c r="BZ43" s="355">
        <v>450295</v>
      </c>
      <c r="CA43" s="355">
        <v>461314</v>
      </c>
      <c r="CB43" s="355">
        <v>472592</v>
      </c>
      <c r="CC43" s="355">
        <v>484152</v>
      </c>
      <c r="CD43" s="355">
        <v>495993</v>
      </c>
      <c r="CE43" s="355">
        <v>4849204</v>
      </c>
    </row>
    <row r="44" spans="1:83" ht="8.15" customHeight="1" x14ac:dyDescent="0.35">
      <c r="A44" s="471" t="s">
        <v>344</v>
      </c>
      <c r="B44" s="355">
        <v>303651</v>
      </c>
      <c r="C44" s="355">
        <v>311691</v>
      </c>
      <c r="D44" s="355">
        <v>319051</v>
      </c>
      <c r="E44" s="355">
        <v>326255</v>
      </c>
      <c r="F44" s="355">
        <v>335188</v>
      </c>
      <c r="G44" s="355">
        <v>341267</v>
      </c>
      <c r="H44" s="355">
        <v>349606</v>
      </c>
      <c r="I44" s="355">
        <v>359002</v>
      </c>
      <c r="J44" s="355">
        <v>367078</v>
      </c>
      <c r="K44" s="355">
        <v>376931</v>
      </c>
      <c r="L44" s="355">
        <v>387630</v>
      </c>
      <c r="M44" s="355">
        <v>3777350</v>
      </c>
      <c r="O44" s="471" t="s">
        <v>344</v>
      </c>
      <c r="P44" s="355">
        <v>332639</v>
      </c>
      <c r="Q44" s="355">
        <v>345270</v>
      </c>
      <c r="R44" s="355">
        <v>359078</v>
      </c>
      <c r="S44" s="355">
        <v>368057</v>
      </c>
      <c r="T44" s="355">
        <v>377217</v>
      </c>
      <c r="U44" s="355">
        <v>386289</v>
      </c>
      <c r="V44" s="355">
        <v>395579</v>
      </c>
      <c r="W44" s="355">
        <v>405096</v>
      </c>
      <c r="X44" s="355">
        <v>414579</v>
      </c>
      <c r="Y44" s="355">
        <v>424423</v>
      </c>
      <c r="Z44" s="355">
        <v>436021</v>
      </c>
      <c r="AA44" s="355">
        <v>4244248</v>
      </c>
      <c r="AC44" s="471" t="s">
        <v>350</v>
      </c>
      <c r="AD44" s="353">
        <v>16137</v>
      </c>
      <c r="AE44" s="353">
        <v>16541</v>
      </c>
      <c r="AF44" s="353">
        <v>16954</v>
      </c>
      <c r="AG44" s="353">
        <v>17378</v>
      </c>
      <c r="AH44" s="353">
        <v>17812</v>
      </c>
      <c r="AI44" s="353">
        <v>18258</v>
      </c>
      <c r="AJ44" s="353">
        <v>18714</v>
      </c>
      <c r="AK44" s="353">
        <v>19182</v>
      </c>
      <c r="AL44" s="353">
        <v>19662</v>
      </c>
      <c r="AM44" s="353">
        <v>20153</v>
      </c>
      <c r="AN44" s="353">
        <v>20657</v>
      </c>
      <c r="AO44" s="353">
        <v>201449</v>
      </c>
      <c r="AP44" s="353"/>
      <c r="AQ44" s="471" t="s">
        <v>344</v>
      </c>
      <c r="AR44" s="355">
        <v>531119</v>
      </c>
      <c r="AS44" s="355">
        <v>544058</v>
      </c>
      <c r="AT44" s="355">
        <v>557312</v>
      </c>
      <c r="AU44" s="355">
        <v>570898</v>
      </c>
      <c r="AV44" s="355">
        <v>584815</v>
      </c>
      <c r="AW44" s="355">
        <v>599075</v>
      </c>
      <c r="AX44" s="355">
        <v>613681</v>
      </c>
      <c r="AY44" s="355">
        <v>628643</v>
      </c>
      <c r="AZ44" s="355">
        <v>643997</v>
      </c>
      <c r="BA44" s="355">
        <v>659772</v>
      </c>
      <c r="BB44" s="355">
        <v>674640</v>
      </c>
      <c r="BC44" s="355">
        <v>6608009</v>
      </c>
      <c r="BE44" s="471" t="s">
        <v>351</v>
      </c>
      <c r="BF44" s="355">
        <v>0</v>
      </c>
      <c r="BG44" s="355">
        <v>0</v>
      </c>
      <c r="BH44" s="355">
        <v>0</v>
      </c>
      <c r="BI44" s="355">
        <v>0</v>
      </c>
      <c r="BJ44" s="355">
        <v>0</v>
      </c>
      <c r="BK44" s="355">
        <v>0</v>
      </c>
      <c r="BL44" s="355">
        <v>0</v>
      </c>
      <c r="BM44" s="355">
        <v>0</v>
      </c>
      <c r="BN44" s="355">
        <v>0</v>
      </c>
      <c r="BO44" s="355">
        <v>0</v>
      </c>
      <c r="BP44" s="355">
        <v>0</v>
      </c>
      <c r="BQ44" s="355">
        <v>0</v>
      </c>
    </row>
    <row r="45" spans="1:83" ht="8.15" customHeight="1" x14ac:dyDescent="0.35">
      <c r="AC45" s="471" t="s">
        <v>343</v>
      </c>
      <c r="AD45" s="353">
        <v>1855</v>
      </c>
      <c r="AE45" s="353">
        <v>2189</v>
      </c>
      <c r="AF45" s="353">
        <v>2375</v>
      </c>
      <c r="AG45" s="353">
        <v>2404</v>
      </c>
      <c r="AH45" s="353">
        <v>2434</v>
      </c>
      <c r="AI45" s="353">
        <v>2465</v>
      </c>
      <c r="AJ45" s="353">
        <v>2595</v>
      </c>
      <c r="AK45" s="353">
        <v>2648</v>
      </c>
      <c r="AL45" s="353">
        <v>2680</v>
      </c>
      <c r="AM45" s="353">
        <v>2710</v>
      </c>
      <c r="AN45" s="353">
        <v>2544</v>
      </c>
      <c r="AO45" s="353">
        <v>26900</v>
      </c>
      <c r="AP45" s="353"/>
      <c r="BS45" s="471" t="s">
        <v>133</v>
      </c>
      <c r="BT45" s="356">
        <v>1311547</v>
      </c>
      <c r="BU45" s="356">
        <v>1337880</v>
      </c>
      <c r="BV45" s="356">
        <v>1364462</v>
      </c>
      <c r="BW45" s="356">
        <v>1391768</v>
      </c>
      <c r="BX45" s="356">
        <v>1419623</v>
      </c>
      <c r="BY45" s="356">
        <v>1448080</v>
      </c>
      <c r="BZ45" s="356">
        <v>1476908</v>
      </c>
      <c r="CA45" s="356">
        <v>1506639</v>
      </c>
      <c r="CB45" s="356">
        <v>1536617</v>
      </c>
      <c r="CC45" s="356">
        <v>1567320</v>
      </c>
      <c r="CD45" s="356">
        <v>1598572</v>
      </c>
      <c r="CE45" s="356">
        <v>15959415</v>
      </c>
    </row>
    <row r="46" spans="1:83" ht="8.15" customHeight="1" x14ac:dyDescent="0.35">
      <c r="A46" s="471" t="s">
        <v>133</v>
      </c>
      <c r="B46" s="356">
        <v>776823</v>
      </c>
      <c r="C46" s="356">
        <v>792690</v>
      </c>
      <c r="D46" s="356">
        <v>801674</v>
      </c>
      <c r="E46" s="356">
        <v>798070</v>
      </c>
      <c r="F46" s="356">
        <v>839376</v>
      </c>
      <c r="G46" s="356">
        <v>790672</v>
      </c>
      <c r="H46" s="356">
        <v>806147</v>
      </c>
      <c r="I46" s="356">
        <v>847300</v>
      </c>
      <c r="J46" s="356">
        <v>841055</v>
      </c>
      <c r="K46" s="356">
        <v>884835</v>
      </c>
      <c r="L46" s="356">
        <v>939746</v>
      </c>
      <c r="M46" s="356">
        <v>9118387</v>
      </c>
      <c r="O46" s="471" t="s">
        <v>133</v>
      </c>
      <c r="P46" s="356">
        <v>421291</v>
      </c>
      <c r="Q46" s="356">
        <v>560979</v>
      </c>
      <c r="R46" s="356">
        <v>726550</v>
      </c>
      <c r="S46" s="356">
        <v>744800</v>
      </c>
      <c r="T46" s="356">
        <v>762241</v>
      </c>
      <c r="U46" s="356">
        <v>770468</v>
      </c>
      <c r="V46" s="356">
        <v>778664</v>
      </c>
      <c r="W46" s="356">
        <v>786906</v>
      </c>
      <c r="X46" s="356">
        <v>787173</v>
      </c>
      <c r="Y46" s="356">
        <v>791022</v>
      </c>
      <c r="Z46" s="356">
        <v>839635</v>
      </c>
      <c r="AA46" s="356">
        <v>7969729</v>
      </c>
      <c r="AC46" s="471" t="s">
        <v>344</v>
      </c>
      <c r="AD46" s="355">
        <v>316731</v>
      </c>
      <c r="AE46" s="355">
        <v>329464</v>
      </c>
      <c r="AF46" s="355">
        <v>339890</v>
      </c>
      <c r="AG46" s="355">
        <v>347890</v>
      </c>
      <c r="AH46" s="355">
        <v>356082</v>
      </c>
      <c r="AI46" s="355">
        <v>364486</v>
      </c>
      <c r="AJ46" s="355">
        <v>374744</v>
      </c>
      <c r="AK46" s="355">
        <v>383900</v>
      </c>
      <c r="AL46" s="355">
        <v>392925</v>
      </c>
      <c r="AM46" s="355">
        <v>402138</v>
      </c>
      <c r="AN46" s="355">
        <v>408280</v>
      </c>
      <c r="AO46" s="355">
        <v>4016531</v>
      </c>
      <c r="AP46" s="353"/>
      <c r="AQ46" s="471" t="s">
        <v>133</v>
      </c>
      <c r="AR46" s="356">
        <v>1354228</v>
      </c>
      <c r="AS46" s="356">
        <v>1377820</v>
      </c>
      <c r="AT46" s="356">
        <v>1401741</v>
      </c>
      <c r="AU46" s="356">
        <v>1426308</v>
      </c>
      <c r="AV46" s="356">
        <v>1451191</v>
      </c>
      <c r="AW46" s="356">
        <v>1476575</v>
      </c>
      <c r="AX46" s="356">
        <v>1502242</v>
      </c>
      <c r="AY46" s="356">
        <v>1528321</v>
      </c>
      <c r="AZ46" s="356">
        <v>1555544</v>
      </c>
      <c r="BA46" s="356">
        <v>1584598</v>
      </c>
      <c r="BB46" s="356">
        <v>1575209</v>
      </c>
      <c r="BC46" s="356">
        <v>16233776</v>
      </c>
      <c r="BE46" s="351" t="s">
        <v>352</v>
      </c>
    </row>
    <row r="47" spans="1:83" ht="8.15" customHeight="1" x14ac:dyDescent="0.35">
      <c r="BE47" s="471" t="s">
        <v>353</v>
      </c>
      <c r="BF47" s="353">
        <v>13075</v>
      </c>
      <c r="BG47" s="353">
        <v>13075</v>
      </c>
      <c r="BH47" s="353">
        <v>13075</v>
      </c>
      <c r="BI47" s="353">
        <v>13075</v>
      </c>
      <c r="BJ47" s="353">
        <v>13075</v>
      </c>
      <c r="BK47" s="353">
        <v>13075</v>
      </c>
      <c r="BL47" s="353">
        <v>13075</v>
      </c>
      <c r="BM47" s="353">
        <v>13075</v>
      </c>
      <c r="BN47" s="353">
        <v>13075</v>
      </c>
      <c r="BO47" s="353">
        <v>13075</v>
      </c>
      <c r="BP47" s="353">
        <v>13075</v>
      </c>
      <c r="BQ47" s="353">
        <v>143825</v>
      </c>
      <c r="BS47" s="351" t="s">
        <v>346</v>
      </c>
    </row>
    <row r="48" spans="1:83" ht="8.15" customHeight="1" x14ac:dyDescent="0.35">
      <c r="A48" s="351" t="s">
        <v>346</v>
      </c>
      <c r="O48" s="351" t="s">
        <v>346</v>
      </c>
      <c r="AC48" s="471" t="s">
        <v>133</v>
      </c>
      <c r="AD48" s="356">
        <v>638299</v>
      </c>
      <c r="AE48" s="356">
        <v>794615</v>
      </c>
      <c r="AF48" s="356">
        <v>877384</v>
      </c>
      <c r="AG48" s="356">
        <v>884405</v>
      </c>
      <c r="AH48" s="356">
        <v>891356</v>
      </c>
      <c r="AI48" s="356">
        <v>898681</v>
      </c>
      <c r="AJ48" s="356">
        <v>956057</v>
      </c>
      <c r="AK48" s="356">
        <v>973687</v>
      </c>
      <c r="AL48" s="356">
        <v>980870</v>
      </c>
      <c r="AM48" s="356">
        <v>987095</v>
      </c>
      <c r="AN48" s="356">
        <v>896093</v>
      </c>
      <c r="AO48" s="356">
        <v>9778542</v>
      </c>
      <c r="AP48" s="353"/>
      <c r="AQ48" s="351" t="s">
        <v>346</v>
      </c>
      <c r="BE48" s="471" t="s">
        <v>354</v>
      </c>
      <c r="BF48" s="355">
        <v>13075</v>
      </c>
      <c r="BG48" s="355">
        <v>13075</v>
      </c>
      <c r="BH48" s="355">
        <v>13075</v>
      </c>
      <c r="BI48" s="355">
        <v>13075</v>
      </c>
      <c r="BJ48" s="355">
        <v>13075</v>
      </c>
      <c r="BK48" s="355">
        <v>13075</v>
      </c>
      <c r="BL48" s="355">
        <v>13075</v>
      </c>
      <c r="BM48" s="355">
        <v>13075</v>
      </c>
      <c r="BN48" s="355">
        <v>13075</v>
      </c>
      <c r="BO48" s="355">
        <v>13075</v>
      </c>
      <c r="BP48" s="355">
        <v>13075</v>
      </c>
      <c r="BQ48" s="355">
        <v>143825</v>
      </c>
      <c r="BS48" s="352" t="s">
        <v>347</v>
      </c>
      <c r="BT48" s="353">
        <v>0</v>
      </c>
      <c r="BU48" s="353">
        <v>0</v>
      </c>
      <c r="BV48" s="353">
        <v>0</v>
      </c>
      <c r="BW48" s="353">
        <v>0</v>
      </c>
      <c r="BX48" s="353">
        <v>0</v>
      </c>
      <c r="BY48" s="353">
        <v>0</v>
      </c>
      <c r="BZ48" s="353">
        <v>0</v>
      </c>
      <c r="CA48" s="353">
        <v>0</v>
      </c>
      <c r="CB48" s="353">
        <v>0</v>
      </c>
      <c r="CC48" s="353">
        <v>0</v>
      </c>
      <c r="CD48" s="353">
        <v>0</v>
      </c>
      <c r="CE48" s="353">
        <v>0</v>
      </c>
    </row>
    <row r="49" spans="1:83" ht="8.15" customHeight="1" x14ac:dyDescent="0.35">
      <c r="A49" s="352" t="s">
        <v>347</v>
      </c>
      <c r="B49" s="353">
        <v>0</v>
      </c>
      <c r="C49" s="353">
        <v>41850</v>
      </c>
      <c r="D49" s="353">
        <v>45149</v>
      </c>
      <c r="E49" s="353">
        <v>253532</v>
      </c>
      <c r="F49" s="353">
        <v>0</v>
      </c>
      <c r="G49" s="353">
        <v>0</v>
      </c>
      <c r="H49" s="353">
        <v>427040</v>
      </c>
      <c r="I49" s="353">
        <v>0</v>
      </c>
      <c r="J49" s="353">
        <v>337930</v>
      </c>
      <c r="K49" s="353">
        <v>209886</v>
      </c>
      <c r="L49" s="353">
        <v>0</v>
      </c>
      <c r="M49" s="353">
        <v>1315387</v>
      </c>
      <c r="O49" s="352" t="s">
        <v>347</v>
      </c>
      <c r="P49" s="353">
        <v>0</v>
      </c>
      <c r="Q49" s="353">
        <v>0</v>
      </c>
      <c r="R49" s="353">
        <v>0</v>
      </c>
      <c r="S49" s="353">
        <v>0</v>
      </c>
      <c r="T49" s="353">
        <v>0</v>
      </c>
      <c r="U49" s="353">
        <v>0</v>
      </c>
      <c r="V49" s="353">
        <v>0</v>
      </c>
      <c r="W49" s="353">
        <v>0</v>
      </c>
      <c r="X49" s="353">
        <v>95017</v>
      </c>
      <c r="Y49" s="353">
        <v>193328</v>
      </c>
      <c r="Z49" s="353">
        <v>0</v>
      </c>
      <c r="AA49" s="353">
        <v>288345</v>
      </c>
      <c r="AQ49" s="352" t="s">
        <v>347</v>
      </c>
      <c r="AR49" s="353">
        <v>0</v>
      </c>
      <c r="AS49" s="353">
        <v>0</v>
      </c>
      <c r="AT49" s="353">
        <v>0</v>
      </c>
      <c r="AU49" s="353">
        <v>0</v>
      </c>
      <c r="AV49" s="353">
        <v>0</v>
      </c>
      <c r="AW49" s="353">
        <v>0</v>
      </c>
      <c r="AX49" s="353">
        <v>0</v>
      </c>
      <c r="AY49" s="353">
        <v>0</v>
      </c>
      <c r="AZ49" s="353">
        <v>0</v>
      </c>
      <c r="BA49" s="353">
        <v>0</v>
      </c>
      <c r="BB49" s="353">
        <v>277306</v>
      </c>
      <c r="BC49" s="353">
        <v>277306</v>
      </c>
      <c r="BS49" s="352" t="s">
        <v>349</v>
      </c>
      <c r="BT49" s="353">
        <v>0</v>
      </c>
      <c r="BU49" s="353">
        <v>0</v>
      </c>
      <c r="BV49" s="353">
        <v>0</v>
      </c>
      <c r="BW49" s="353">
        <v>0</v>
      </c>
      <c r="BX49" s="353">
        <v>0</v>
      </c>
      <c r="BY49" s="353">
        <v>0</v>
      </c>
      <c r="BZ49" s="353">
        <v>0</v>
      </c>
      <c r="CA49" s="353">
        <v>0</v>
      </c>
      <c r="CB49" s="353">
        <v>0</v>
      </c>
      <c r="CC49" s="353">
        <v>0</v>
      </c>
      <c r="CD49" s="353">
        <v>0</v>
      </c>
      <c r="CE49" s="353">
        <v>0</v>
      </c>
    </row>
    <row r="50" spans="1:83" ht="8.15" customHeight="1" x14ac:dyDescent="0.35">
      <c r="A50" s="352" t="s">
        <v>349</v>
      </c>
      <c r="B50" s="353">
        <v>1020</v>
      </c>
      <c r="C50" s="353">
        <v>4701</v>
      </c>
      <c r="D50" s="353">
        <v>9514</v>
      </c>
      <c r="E50" s="353">
        <v>53427</v>
      </c>
      <c r="F50" s="353">
        <v>0</v>
      </c>
      <c r="G50" s="353">
        <v>0</v>
      </c>
      <c r="H50" s="353">
        <v>20753</v>
      </c>
      <c r="I50" s="353">
        <v>0</v>
      </c>
      <c r="J50" s="353">
        <v>35606</v>
      </c>
      <c r="K50" s="353">
        <v>22115</v>
      </c>
      <c r="L50" s="353">
        <v>0</v>
      </c>
      <c r="M50" s="353">
        <v>147136</v>
      </c>
      <c r="O50" s="352" t="s">
        <v>349</v>
      </c>
      <c r="P50" s="353">
        <v>0</v>
      </c>
      <c r="Q50" s="353">
        <v>0</v>
      </c>
      <c r="R50" s="353">
        <v>0</v>
      </c>
      <c r="S50" s="353">
        <v>0</v>
      </c>
      <c r="T50" s="353">
        <v>0</v>
      </c>
      <c r="U50" s="353">
        <v>0</v>
      </c>
      <c r="V50" s="353">
        <v>0</v>
      </c>
      <c r="W50" s="353">
        <v>0</v>
      </c>
      <c r="X50" s="353">
        <v>10301</v>
      </c>
      <c r="Y50" s="353">
        <v>20960</v>
      </c>
      <c r="Z50" s="353">
        <v>0</v>
      </c>
      <c r="AA50" s="353">
        <v>31261</v>
      </c>
      <c r="AC50" s="351" t="s">
        <v>346</v>
      </c>
      <c r="AQ50" s="352" t="s">
        <v>349</v>
      </c>
      <c r="AR50" s="353">
        <v>0</v>
      </c>
      <c r="AS50" s="353">
        <v>0</v>
      </c>
      <c r="AT50" s="353">
        <v>0</v>
      </c>
      <c r="AU50" s="353">
        <v>0</v>
      </c>
      <c r="AV50" s="353">
        <v>0</v>
      </c>
      <c r="AW50" s="353">
        <v>0</v>
      </c>
      <c r="AX50" s="353">
        <v>0</v>
      </c>
      <c r="AY50" s="353">
        <v>0</v>
      </c>
      <c r="AZ50" s="353">
        <v>0</v>
      </c>
      <c r="BA50" s="353">
        <v>0</v>
      </c>
      <c r="BB50" s="353">
        <v>34297</v>
      </c>
      <c r="BC50" s="353">
        <v>34297</v>
      </c>
      <c r="BE50" s="471" t="s">
        <v>355</v>
      </c>
      <c r="BF50" s="356">
        <v>5230</v>
      </c>
      <c r="BG50" s="356">
        <v>5230</v>
      </c>
      <c r="BH50" s="356">
        <v>5230</v>
      </c>
      <c r="BI50" s="356">
        <v>5230</v>
      </c>
      <c r="BJ50" s="356">
        <v>5230</v>
      </c>
      <c r="BK50" s="356">
        <v>5230</v>
      </c>
      <c r="BL50" s="356">
        <v>5230</v>
      </c>
      <c r="BM50" s="356">
        <v>5230</v>
      </c>
      <c r="BN50" s="356">
        <v>5230</v>
      </c>
      <c r="BO50" s="356">
        <v>5230</v>
      </c>
      <c r="BP50" s="356">
        <v>5230</v>
      </c>
      <c r="BQ50" s="356">
        <v>57530</v>
      </c>
      <c r="BS50" s="471" t="s">
        <v>351</v>
      </c>
      <c r="BT50" s="355">
        <v>0</v>
      </c>
      <c r="BU50" s="355">
        <v>0</v>
      </c>
      <c r="BV50" s="355">
        <v>0</v>
      </c>
      <c r="BW50" s="355">
        <v>0</v>
      </c>
      <c r="BX50" s="355">
        <v>0</v>
      </c>
      <c r="BY50" s="355">
        <v>0</v>
      </c>
      <c r="BZ50" s="355">
        <v>0</v>
      </c>
      <c r="CA50" s="355">
        <v>0</v>
      </c>
      <c r="CB50" s="355">
        <v>0</v>
      </c>
      <c r="CC50" s="355">
        <v>0</v>
      </c>
      <c r="CD50" s="355">
        <v>0</v>
      </c>
      <c r="CE50" s="355">
        <v>0</v>
      </c>
    </row>
    <row r="51" spans="1:83" ht="8.15" customHeight="1" x14ac:dyDescent="0.35">
      <c r="A51" s="471" t="s">
        <v>351</v>
      </c>
      <c r="B51" s="355">
        <v>1020</v>
      </c>
      <c r="C51" s="355">
        <v>46551</v>
      </c>
      <c r="D51" s="355">
        <v>54663</v>
      </c>
      <c r="E51" s="355">
        <v>306959</v>
      </c>
      <c r="F51" s="355">
        <v>0</v>
      </c>
      <c r="G51" s="355">
        <v>0</v>
      </c>
      <c r="H51" s="355">
        <v>447793</v>
      </c>
      <c r="I51" s="355">
        <v>0</v>
      </c>
      <c r="J51" s="355">
        <v>373536</v>
      </c>
      <c r="K51" s="355">
        <v>232000</v>
      </c>
      <c r="L51" s="355">
        <v>0</v>
      </c>
      <c r="M51" s="355">
        <v>1462522</v>
      </c>
      <c r="O51" s="471" t="s">
        <v>351</v>
      </c>
      <c r="P51" s="355">
        <v>0</v>
      </c>
      <c r="Q51" s="355">
        <v>0</v>
      </c>
      <c r="R51" s="355">
        <v>0</v>
      </c>
      <c r="S51" s="355">
        <v>0</v>
      </c>
      <c r="T51" s="355">
        <v>0</v>
      </c>
      <c r="U51" s="355">
        <v>0</v>
      </c>
      <c r="V51" s="355">
        <v>0</v>
      </c>
      <c r="W51" s="355">
        <v>0</v>
      </c>
      <c r="X51" s="355">
        <v>105318</v>
      </c>
      <c r="Y51" s="355">
        <v>214288</v>
      </c>
      <c r="Z51" s="355">
        <v>0</v>
      </c>
      <c r="AA51" s="355">
        <v>319606</v>
      </c>
      <c r="AC51" s="352" t="s">
        <v>347</v>
      </c>
      <c r="AD51" s="353">
        <v>0</v>
      </c>
      <c r="AE51" s="353">
        <v>0</v>
      </c>
      <c r="AF51" s="353">
        <v>0</v>
      </c>
      <c r="AG51" s="353">
        <v>0</v>
      </c>
      <c r="AH51" s="353">
        <v>0</v>
      </c>
      <c r="AI51" s="353">
        <v>0</v>
      </c>
      <c r="AJ51" s="353">
        <v>0</v>
      </c>
      <c r="AK51" s="353">
        <v>0</v>
      </c>
      <c r="AL51" s="353">
        <v>0</v>
      </c>
      <c r="AM51" s="353">
        <v>0</v>
      </c>
      <c r="AN51" s="353">
        <v>1002356</v>
      </c>
      <c r="AO51" s="353">
        <v>1002356</v>
      </c>
      <c r="AP51" s="353"/>
      <c r="AQ51" s="471" t="s">
        <v>351</v>
      </c>
      <c r="AR51" s="355">
        <v>0</v>
      </c>
      <c r="AS51" s="355">
        <v>0</v>
      </c>
      <c r="AT51" s="355">
        <v>0</v>
      </c>
      <c r="AU51" s="355">
        <v>0</v>
      </c>
      <c r="AV51" s="355">
        <v>0</v>
      </c>
      <c r="AW51" s="355">
        <v>0</v>
      </c>
      <c r="AX51" s="355">
        <v>0</v>
      </c>
      <c r="AY51" s="355">
        <v>0</v>
      </c>
      <c r="AZ51" s="355">
        <v>0</v>
      </c>
      <c r="BA51" s="355">
        <v>0</v>
      </c>
      <c r="BB51" s="355">
        <v>311603</v>
      </c>
      <c r="BC51" s="355">
        <v>311603</v>
      </c>
    </row>
    <row r="52" spans="1:83" ht="8.15" customHeight="1" x14ac:dyDescent="0.35">
      <c r="AC52" s="352" t="s">
        <v>349</v>
      </c>
      <c r="AD52" s="353">
        <v>0</v>
      </c>
      <c r="AE52" s="353">
        <v>0</v>
      </c>
      <c r="AF52" s="353">
        <v>0</v>
      </c>
      <c r="AG52" s="353">
        <v>0</v>
      </c>
      <c r="AH52" s="353">
        <v>0</v>
      </c>
      <c r="AI52" s="353">
        <v>0</v>
      </c>
      <c r="AJ52" s="353">
        <v>0</v>
      </c>
      <c r="AK52" s="353">
        <v>0</v>
      </c>
      <c r="AL52" s="353">
        <v>0</v>
      </c>
      <c r="AM52" s="353">
        <v>0</v>
      </c>
      <c r="AN52" s="353">
        <v>110977</v>
      </c>
      <c r="AO52" s="353">
        <v>110977</v>
      </c>
      <c r="AP52" s="353"/>
      <c r="BE52" s="471" t="s">
        <v>356</v>
      </c>
      <c r="BF52" s="356">
        <v>578899</v>
      </c>
      <c r="BG52" s="356">
        <v>590582</v>
      </c>
      <c r="BH52" s="356">
        <v>602498</v>
      </c>
      <c r="BI52" s="356">
        <v>614652</v>
      </c>
      <c r="BJ52" s="356">
        <v>627050</v>
      </c>
      <c r="BK52" s="356">
        <v>639696</v>
      </c>
      <c r="BL52" s="356">
        <v>652594</v>
      </c>
      <c r="BM52" s="356">
        <v>665751</v>
      </c>
      <c r="BN52" s="356">
        <v>679170</v>
      </c>
      <c r="BO52" s="356">
        <v>692858</v>
      </c>
      <c r="BP52" s="356">
        <v>706820</v>
      </c>
      <c r="BQ52" s="356">
        <v>7050569</v>
      </c>
      <c r="BS52" s="351" t="s">
        <v>352</v>
      </c>
    </row>
    <row r="53" spans="1:83" ht="8.15" customHeight="1" x14ac:dyDescent="0.35">
      <c r="A53" s="351" t="s">
        <v>352</v>
      </c>
      <c r="O53" s="351" t="s">
        <v>352</v>
      </c>
      <c r="AC53" s="471" t="s">
        <v>351</v>
      </c>
      <c r="AD53" s="355">
        <v>0</v>
      </c>
      <c r="AE53" s="355">
        <v>0</v>
      </c>
      <c r="AF53" s="355">
        <v>0</v>
      </c>
      <c r="AG53" s="355">
        <v>0</v>
      </c>
      <c r="AH53" s="355">
        <v>0</v>
      </c>
      <c r="AI53" s="355">
        <v>0</v>
      </c>
      <c r="AJ53" s="355">
        <v>0</v>
      </c>
      <c r="AK53" s="355">
        <v>0</v>
      </c>
      <c r="AL53" s="355">
        <v>0</v>
      </c>
      <c r="AM53" s="355">
        <v>0</v>
      </c>
      <c r="AN53" s="355">
        <v>1113333</v>
      </c>
      <c r="AO53" s="355">
        <v>1113333</v>
      </c>
      <c r="AP53" s="353"/>
      <c r="AQ53" s="351" t="s">
        <v>352</v>
      </c>
      <c r="BS53" s="471" t="s">
        <v>353</v>
      </c>
      <c r="BT53" s="353">
        <v>21354</v>
      </c>
      <c r="BU53" s="353">
        <v>21354</v>
      </c>
      <c r="BV53" s="353">
        <v>21354</v>
      </c>
      <c r="BW53" s="353">
        <v>21354</v>
      </c>
      <c r="BX53" s="353">
        <v>21354</v>
      </c>
      <c r="BY53" s="353">
        <v>21354</v>
      </c>
      <c r="BZ53" s="353">
        <v>21354</v>
      </c>
      <c r="CA53" s="353">
        <v>21354</v>
      </c>
      <c r="CB53" s="353">
        <v>21354</v>
      </c>
      <c r="CC53" s="353">
        <v>21354</v>
      </c>
      <c r="CD53" s="353">
        <v>21354</v>
      </c>
      <c r="CE53" s="353">
        <v>234889</v>
      </c>
    </row>
    <row r="54" spans="1:83" ht="8.15" customHeight="1" thickBot="1" x14ac:dyDescent="0.4">
      <c r="A54" s="471" t="s">
        <v>353</v>
      </c>
      <c r="B54" s="353">
        <v>14671</v>
      </c>
      <c r="C54" s="353">
        <v>14671</v>
      </c>
      <c r="D54" s="353">
        <v>14671</v>
      </c>
      <c r="E54" s="353">
        <v>14671</v>
      </c>
      <c r="F54" s="353">
        <v>14671</v>
      </c>
      <c r="G54" s="353">
        <v>14671</v>
      </c>
      <c r="H54" s="353">
        <v>14671</v>
      </c>
      <c r="I54" s="353">
        <v>14671</v>
      </c>
      <c r="J54" s="353">
        <v>14671</v>
      </c>
      <c r="K54" s="353">
        <v>14671</v>
      </c>
      <c r="L54" s="353">
        <v>14671</v>
      </c>
      <c r="M54" s="353">
        <v>161376</v>
      </c>
      <c r="O54" s="471" t="s">
        <v>353</v>
      </c>
      <c r="P54" s="353">
        <v>12992</v>
      </c>
      <c r="Q54" s="353">
        <v>12992</v>
      </c>
      <c r="R54" s="353">
        <v>12992</v>
      </c>
      <c r="S54" s="353">
        <v>12992</v>
      </c>
      <c r="T54" s="353">
        <v>12992</v>
      </c>
      <c r="U54" s="353">
        <v>12992</v>
      </c>
      <c r="V54" s="353">
        <v>12992</v>
      </c>
      <c r="W54" s="353">
        <v>12992</v>
      </c>
      <c r="X54" s="353">
        <v>12992</v>
      </c>
      <c r="Y54" s="353">
        <v>12992</v>
      </c>
      <c r="Z54" s="353">
        <v>12992</v>
      </c>
      <c r="AA54" s="353">
        <v>142912</v>
      </c>
      <c r="AQ54" s="471" t="s">
        <v>353</v>
      </c>
      <c r="AR54" s="353">
        <v>21601</v>
      </c>
      <c r="AS54" s="353">
        <v>21601</v>
      </c>
      <c r="AT54" s="353">
        <v>21601</v>
      </c>
      <c r="AU54" s="353">
        <v>21601</v>
      </c>
      <c r="AV54" s="353">
        <v>21601</v>
      </c>
      <c r="AW54" s="353">
        <v>21601</v>
      </c>
      <c r="AX54" s="353">
        <v>21601</v>
      </c>
      <c r="AY54" s="353">
        <v>21601</v>
      </c>
      <c r="AZ54" s="353">
        <v>21601</v>
      </c>
      <c r="BA54" s="353">
        <v>21601</v>
      </c>
      <c r="BB54" s="353">
        <v>21601</v>
      </c>
      <c r="BC54" s="353">
        <v>237606</v>
      </c>
      <c r="BE54" s="471" t="s">
        <v>357</v>
      </c>
      <c r="BF54" s="470">
        <v>578899</v>
      </c>
      <c r="BG54" s="470">
        <v>590582</v>
      </c>
      <c r="BH54" s="470">
        <v>602498</v>
      </c>
      <c r="BI54" s="470">
        <v>614652</v>
      </c>
      <c r="BJ54" s="470">
        <v>627050</v>
      </c>
      <c r="BK54" s="470">
        <v>639696</v>
      </c>
      <c r="BL54" s="470">
        <v>652594</v>
      </c>
      <c r="BM54" s="470">
        <v>665751</v>
      </c>
      <c r="BN54" s="470">
        <v>679170</v>
      </c>
      <c r="BO54" s="470">
        <v>692858</v>
      </c>
      <c r="BP54" s="470">
        <v>706820</v>
      </c>
      <c r="BQ54" s="470">
        <v>7050569</v>
      </c>
      <c r="BS54" s="471" t="s">
        <v>354</v>
      </c>
      <c r="BT54" s="355">
        <v>21354</v>
      </c>
      <c r="BU54" s="355">
        <v>21354</v>
      </c>
      <c r="BV54" s="355">
        <v>21354</v>
      </c>
      <c r="BW54" s="355">
        <v>21354</v>
      </c>
      <c r="BX54" s="355">
        <v>21354</v>
      </c>
      <c r="BY54" s="355">
        <v>21354</v>
      </c>
      <c r="BZ54" s="355">
        <v>21354</v>
      </c>
      <c r="CA54" s="355">
        <v>21354</v>
      </c>
      <c r="CB54" s="355">
        <v>21354</v>
      </c>
      <c r="CC54" s="355">
        <v>21354</v>
      </c>
      <c r="CD54" s="355">
        <v>21354</v>
      </c>
      <c r="CE54" s="355">
        <v>234889</v>
      </c>
    </row>
    <row r="55" spans="1:83" ht="8.15" customHeight="1" thickBot="1" x14ac:dyDescent="0.4">
      <c r="A55" s="471" t="s">
        <v>354</v>
      </c>
      <c r="B55" s="355">
        <v>14671</v>
      </c>
      <c r="C55" s="355">
        <v>14671</v>
      </c>
      <c r="D55" s="355">
        <v>14671</v>
      </c>
      <c r="E55" s="355">
        <v>14671</v>
      </c>
      <c r="F55" s="355">
        <v>14671</v>
      </c>
      <c r="G55" s="355">
        <v>14671</v>
      </c>
      <c r="H55" s="355">
        <v>14671</v>
      </c>
      <c r="I55" s="355">
        <v>14671</v>
      </c>
      <c r="J55" s="355">
        <v>14671</v>
      </c>
      <c r="K55" s="355">
        <v>14671</v>
      </c>
      <c r="L55" s="355">
        <v>14671</v>
      </c>
      <c r="M55" s="355">
        <v>161376</v>
      </c>
      <c r="O55" s="471" t="s">
        <v>354</v>
      </c>
      <c r="P55" s="355">
        <v>12992</v>
      </c>
      <c r="Q55" s="355">
        <v>12992</v>
      </c>
      <c r="R55" s="355">
        <v>12992</v>
      </c>
      <c r="S55" s="355">
        <v>12992</v>
      </c>
      <c r="T55" s="355">
        <v>12992</v>
      </c>
      <c r="U55" s="355">
        <v>12992</v>
      </c>
      <c r="V55" s="355">
        <v>12992</v>
      </c>
      <c r="W55" s="355">
        <v>12992</v>
      </c>
      <c r="X55" s="355">
        <v>12992</v>
      </c>
      <c r="Y55" s="355">
        <v>12992</v>
      </c>
      <c r="Z55" s="355">
        <v>12992</v>
      </c>
      <c r="AA55" s="355">
        <v>142912</v>
      </c>
      <c r="AC55" s="351" t="s">
        <v>352</v>
      </c>
      <c r="AQ55" s="471" t="s">
        <v>354</v>
      </c>
      <c r="AR55" s="355">
        <v>21601</v>
      </c>
      <c r="AS55" s="355">
        <v>21601</v>
      </c>
      <c r="AT55" s="355">
        <v>21601</v>
      </c>
      <c r="AU55" s="355">
        <v>21601</v>
      </c>
      <c r="AV55" s="355">
        <v>21601</v>
      </c>
      <c r="AW55" s="355">
        <v>21601</v>
      </c>
      <c r="AX55" s="355">
        <v>21601</v>
      </c>
      <c r="AY55" s="355">
        <v>21601</v>
      </c>
      <c r="AZ55" s="355">
        <v>21601</v>
      </c>
      <c r="BA55" s="355">
        <v>21601</v>
      </c>
      <c r="BB55" s="355">
        <v>21601</v>
      </c>
      <c r="BC55" s="355">
        <v>237606</v>
      </c>
      <c r="BF55" s="470"/>
      <c r="BG55" s="470"/>
      <c r="BH55" s="470"/>
      <c r="BI55" s="470"/>
      <c r="BJ55" s="470"/>
      <c r="BK55" s="470"/>
      <c r="BL55" s="470"/>
      <c r="BM55" s="470"/>
      <c r="BN55" s="470"/>
      <c r="BO55" s="470"/>
      <c r="BP55" s="470"/>
      <c r="BQ55" s="470"/>
    </row>
    <row r="56" spans="1:83" ht="8.15" customHeight="1" x14ac:dyDescent="0.35">
      <c r="AC56" s="471" t="s">
        <v>353</v>
      </c>
      <c r="AD56" s="353">
        <v>15000</v>
      </c>
      <c r="AE56" s="353">
        <v>15000</v>
      </c>
      <c r="AF56" s="353">
        <v>15000</v>
      </c>
      <c r="AG56" s="353">
        <v>15000</v>
      </c>
      <c r="AH56" s="353">
        <v>15000</v>
      </c>
      <c r="AI56" s="353">
        <v>15000</v>
      </c>
      <c r="AJ56" s="353">
        <v>15000</v>
      </c>
      <c r="AK56" s="353">
        <v>15000</v>
      </c>
      <c r="AL56" s="353">
        <v>15000</v>
      </c>
      <c r="AM56" s="353">
        <v>15000</v>
      </c>
      <c r="AN56" s="353">
        <v>15000</v>
      </c>
      <c r="AO56" s="353">
        <v>165000</v>
      </c>
      <c r="AP56" s="353"/>
      <c r="BS56" s="471" t="s">
        <v>355</v>
      </c>
      <c r="BT56" s="356">
        <v>8541</v>
      </c>
      <c r="BU56" s="356">
        <v>8541</v>
      </c>
      <c r="BV56" s="356">
        <v>8541</v>
      </c>
      <c r="BW56" s="356">
        <v>8541</v>
      </c>
      <c r="BX56" s="356">
        <v>8541</v>
      </c>
      <c r="BY56" s="356">
        <v>8541</v>
      </c>
      <c r="BZ56" s="356">
        <v>8541</v>
      </c>
      <c r="CA56" s="356">
        <v>8541</v>
      </c>
      <c r="CB56" s="356">
        <v>8541</v>
      </c>
      <c r="CC56" s="356">
        <v>8541</v>
      </c>
      <c r="CD56" s="356">
        <v>8541</v>
      </c>
      <c r="CE56" s="356">
        <v>93955</v>
      </c>
    </row>
    <row r="57" spans="1:83" ht="8.15" customHeight="1" x14ac:dyDescent="0.35">
      <c r="A57" s="471" t="s">
        <v>355</v>
      </c>
      <c r="B57" s="356">
        <v>15691</v>
      </c>
      <c r="C57" s="356">
        <v>61221</v>
      </c>
      <c r="D57" s="356">
        <v>69333</v>
      </c>
      <c r="E57" s="356">
        <v>321629</v>
      </c>
      <c r="F57" s="356">
        <v>14671</v>
      </c>
      <c r="G57" s="356">
        <v>14671</v>
      </c>
      <c r="H57" s="356">
        <v>462464</v>
      </c>
      <c r="I57" s="356">
        <v>14671</v>
      </c>
      <c r="J57" s="356">
        <v>388206</v>
      </c>
      <c r="K57" s="356">
        <v>246671</v>
      </c>
      <c r="L57" s="356">
        <v>14671</v>
      </c>
      <c r="M57" s="356">
        <v>1623898</v>
      </c>
      <c r="O57" s="471" t="s">
        <v>355</v>
      </c>
      <c r="P57" s="356">
        <v>12992</v>
      </c>
      <c r="Q57" s="356">
        <v>12992</v>
      </c>
      <c r="R57" s="356">
        <v>12992</v>
      </c>
      <c r="S57" s="356">
        <v>12992</v>
      </c>
      <c r="T57" s="356">
        <v>12992</v>
      </c>
      <c r="U57" s="356">
        <v>12992</v>
      </c>
      <c r="V57" s="356">
        <v>12992</v>
      </c>
      <c r="W57" s="356">
        <v>12992</v>
      </c>
      <c r="X57" s="356">
        <v>118310</v>
      </c>
      <c r="Y57" s="356">
        <v>227280</v>
      </c>
      <c r="Z57" s="356">
        <v>12992</v>
      </c>
      <c r="AA57" s="356">
        <v>462518</v>
      </c>
      <c r="AC57" s="471" t="s">
        <v>354</v>
      </c>
      <c r="AD57" s="355">
        <v>15000</v>
      </c>
      <c r="AE57" s="355">
        <v>15000</v>
      </c>
      <c r="AF57" s="355">
        <v>15000</v>
      </c>
      <c r="AG57" s="355">
        <v>15000</v>
      </c>
      <c r="AH57" s="355">
        <v>15000</v>
      </c>
      <c r="AI57" s="355">
        <v>15000</v>
      </c>
      <c r="AJ57" s="355">
        <v>15000</v>
      </c>
      <c r="AK57" s="355">
        <v>15000</v>
      </c>
      <c r="AL57" s="355">
        <v>15000</v>
      </c>
      <c r="AM57" s="355">
        <v>15000</v>
      </c>
      <c r="AN57" s="355">
        <v>15000</v>
      </c>
      <c r="AO57" s="355">
        <v>165000</v>
      </c>
      <c r="AP57" s="353"/>
      <c r="AQ57" s="471" t="s">
        <v>355</v>
      </c>
      <c r="AR57" s="356">
        <v>21601</v>
      </c>
      <c r="AS57" s="356">
        <v>21601</v>
      </c>
      <c r="AT57" s="356">
        <v>21601</v>
      </c>
      <c r="AU57" s="356">
        <v>21601</v>
      </c>
      <c r="AV57" s="356">
        <v>21601</v>
      </c>
      <c r="AW57" s="356">
        <v>21601</v>
      </c>
      <c r="AX57" s="356">
        <v>21601</v>
      </c>
      <c r="AY57" s="356">
        <v>21601</v>
      </c>
      <c r="AZ57" s="356">
        <v>21601</v>
      </c>
      <c r="BA57" s="356">
        <v>21601</v>
      </c>
      <c r="BB57" s="356">
        <v>333204</v>
      </c>
      <c r="BC57" s="356">
        <v>549209</v>
      </c>
    </row>
    <row r="58" spans="1:83" ht="8.15" customHeight="1" x14ac:dyDescent="0.35">
      <c r="BS58" s="471" t="s">
        <v>356</v>
      </c>
      <c r="BT58" s="356">
        <v>1303005</v>
      </c>
      <c r="BU58" s="356">
        <v>1329339</v>
      </c>
      <c r="BV58" s="356">
        <v>1355920</v>
      </c>
      <c r="BW58" s="356">
        <v>1383227</v>
      </c>
      <c r="BX58" s="356">
        <v>1411082</v>
      </c>
      <c r="BY58" s="356">
        <v>1439539</v>
      </c>
      <c r="BZ58" s="356">
        <v>1468367</v>
      </c>
      <c r="CA58" s="356">
        <v>1498097</v>
      </c>
      <c r="CB58" s="356">
        <v>1528075</v>
      </c>
      <c r="CC58" s="356">
        <v>1558779</v>
      </c>
      <c r="CD58" s="356">
        <v>1590030</v>
      </c>
      <c r="CE58" s="356">
        <v>15865460</v>
      </c>
    </row>
    <row r="59" spans="1:83" ht="8.15" customHeight="1" x14ac:dyDescent="0.35">
      <c r="A59" s="471" t="s">
        <v>356</v>
      </c>
      <c r="B59" s="356">
        <v>761132</v>
      </c>
      <c r="C59" s="356">
        <v>731469</v>
      </c>
      <c r="D59" s="356">
        <v>732340</v>
      </c>
      <c r="E59" s="356">
        <v>476440</v>
      </c>
      <c r="F59" s="356">
        <v>824705</v>
      </c>
      <c r="G59" s="356">
        <v>776002</v>
      </c>
      <c r="H59" s="356">
        <v>343683</v>
      </c>
      <c r="I59" s="356">
        <v>832629</v>
      </c>
      <c r="J59" s="356">
        <v>452849</v>
      </c>
      <c r="K59" s="356">
        <v>638164</v>
      </c>
      <c r="L59" s="356">
        <v>925076</v>
      </c>
      <c r="M59" s="356">
        <v>7494489</v>
      </c>
      <c r="O59" s="471" t="s">
        <v>356</v>
      </c>
      <c r="P59" s="356">
        <v>408299</v>
      </c>
      <c r="Q59" s="356">
        <v>547987</v>
      </c>
      <c r="R59" s="356">
        <v>713558</v>
      </c>
      <c r="S59" s="356">
        <v>731808</v>
      </c>
      <c r="T59" s="356">
        <v>749249</v>
      </c>
      <c r="U59" s="356">
        <v>757476</v>
      </c>
      <c r="V59" s="356">
        <v>765672</v>
      </c>
      <c r="W59" s="356">
        <v>773914</v>
      </c>
      <c r="X59" s="356">
        <v>668863</v>
      </c>
      <c r="Y59" s="356">
        <v>563742</v>
      </c>
      <c r="Z59" s="356">
        <v>826643</v>
      </c>
      <c r="AA59" s="356">
        <v>7507211</v>
      </c>
      <c r="AC59" s="471" t="s">
        <v>355</v>
      </c>
      <c r="AD59" s="356">
        <v>15000</v>
      </c>
      <c r="AE59" s="356">
        <v>15000</v>
      </c>
      <c r="AF59" s="356">
        <v>15000</v>
      </c>
      <c r="AG59" s="356">
        <v>15000</v>
      </c>
      <c r="AH59" s="356">
        <v>15000</v>
      </c>
      <c r="AI59" s="356">
        <v>15000</v>
      </c>
      <c r="AJ59" s="356">
        <v>15000</v>
      </c>
      <c r="AK59" s="356">
        <v>15000</v>
      </c>
      <c r="AL59" s="356">
        <v>15000</v>
      </c>
      <c r="AM59" s="356">
        <v>15000</v>
      </c>
      <c r="AN59" s="356">
        <v>1128333</v>
      </c>
      <c r="AO59" s="356">
        <v>1278333</v>
      </c>
      <c r="AP59" s="353"/>
      <c r="AQ59" s="471" t="s">
        <v>356</v>
      </c>
      <c r="AR59" s="356">
        <v>1332627</v>
      </c>
      <c r="AS59" s="356">
        <v>1356219</v>
      </c>
      <c r="AT59" s="356">
        <v>1380141</v>
      </c>
      <c r="AU59" s="356">
        <v>1404708</v>
      </c>
      <c r="AV59" s="356">
        <v>1429591</v>
      </c>
      <c r="AW59" s="356">
        <v>1454974</v>
      </c>
      <c r="AX59" s="356">
        <v>1480642</v>
      </c>
      <c r="AY59" s="356">
        <v>1506720</v>
      </c>
      <c r="AZ59" s="356">
        <v>1533943</v>
      </c>
      <c r="BA59" s="356">
        <v>1562998</v>
      </c>
      <c r="BB59" s="356">
        <v>1242006</v>
      </c>
      <c r="BC59" s="356">
        <v>15684568</v>
      </c>
    </row>
    <row r="60" spans="1:83" ht="8.15" customHeight="1" thickBot="1" x14ac:dyDescent="0.4">
      <c r="BS60" s="471" t="s">
        <v>357</v>
      </c>
      <c r="BT60" s="470">
        <v>1303005</v>
      </c>
      <c r="BU60" s="470">
        <v>1329339</v>
      </c>
      <c r="BV60" s="470">
        <v>1355920</v>
      </c>
      <c r="BW60" s="470">
        <v>1383227</v>
      </c>
      <c r="BX60" s="470">
        <v>1411082</v>
      </c>
      <c r="BY60" s="470">
        <v>1439539</v>
      </c>
      <c r="BZ60" s="470">
        <v>1468367</v>
      </c>
      <c r="CA60" s="470">
        <v>1498097</v>
      </c>
      <c r="CB60" s="470">
        <v>1528075</v>
      </c>
      <c r="CC60" s="470">
        <v>1558779</v>
      </c>
      <c r="CD60" s="470">
        <v>1590030</v>
      </c>
      <c r="CE60" s="470">
        <v>15865460</v>
      </c>
    </row>
    <row r="61" spans="1:83" ht="8.15" customHeight="1" thickBot="1" x14ac:dyDescent="0.4">
      <c r="A61" s="471" t="s">
        <v>357</v>
      </c>
      <c r="B61" s="523">
        <v>761132</v>
      </c>
      <c r="C61" s="523">
        <v>731469</v>
      </c>
      <c r="D61" s="523">
        <v>732340</v>
      </c>
      <c r="E61" s="523">
        <v>476440</v>
      </c>
      <c r="F61" s="523">
        <v>824705</v>
      </c>
      <c r="G61" s="523">
        <v>776002</v>
      </c>
      <c r="H61" s="523">
        <v>343683</v>
      </c>
      <c r="I61" s="523">
        <v>832629</v>
      </c>
      <c r="J61" s="523">
        <v>452849</v>
      </c>
      <c r="K61" s="523">
        <v>638164</v>
      </c>
      <c r="L61" s="523">
        <v>925076</v>
      </c>
      <c r="M61" s="523">
        <v>7494489</v>
      </c>
      <c r="O61" s="471" t="s">
        <v>357</v>
      </c>
      <c r="P61" s="523">
        <v>408299</v>
      </c>
      <c r="Q61" s="523">
        <v>547987</v>
      </c>
      <c r="R61" s="523">
        <v>713558</v>
      </c>
      <c r="S61" s="523">
        <v>731808</v>
      </c>
      <c r="T61" s="523">
        <v>749249</v>
      </c>
      <c r="U61" s="523">
        <v>757476</v>
      </c>
      <c r="V61" s="523">
        <v>765672</v>
      </c>
      <c r="W61" s="523">
        <v>773914</v>
      </c>
      <c r="X61" s="523">
        <v>668863</v>
      </c>
      <c r="Y61" s="523">
        <v>563742</v>
      </c>
      <c r="Z61" s="523">
        <v>826643</v>
      </c>
      <c r="AA61" s="523">
        <v>7507211</v>
      </c>
      <c r="AC61" s="471" t="s">
        <v>356</v>
      </c>
      <c r="AD61" s="356">
        <v>623299</v>
      </c>
      <c r="AE61" s="356">
        <v>779615</v>
      </c>
      <c r="AF61" s="356">
        <v>862384</v>
      </c>
      <c r="AG61" s="356">
        <v>869405</v>
      </c>
      <c r="AH61" s="356">
        <v>876356</v>
      </c>
      <c r="AI61" s="356">
        <v>883681</v>
      </c>
      <c r="AJ61" s="356">
        <v>941057</v>
      </c>
      <c r="AK61" s="356">
        <v>958687</v>
      </c>
      <c r="AL61" s="356">
        <v>965870</v>
      </c>
      <c r="AM61" s="356">
        <v>972095</v>
      </c>
      <c r="AN61" s="356">
        <v>-232239</v>
      </c>
      <c r="AO61" s="356">
        <v>8500210</v>
      </c>
      <c r="AP61" s="353"/>
      <c r="AQ61" s="471" t="s">
        <v>357</v>
      </c>
      <c r="AR61" s="523">
        <v>1332627</v>
      </c>
      <c r="AS61" s="523">
        <v>1356219</v>
      </c>
      <c r="AT61" s="523">
        <v>1380141</v>
      </c>
      <c r="AU61" s="523">
        <v>1404708</v>
      </c>
      <c r="AV61" s="523">
        <v>1429591</v>
      </c>
      <c r="AW61" s="523">
        <v>1454974</v>
      </c>
      <c r="AX61" s="523">
        <v>1480642</v>
      </c>
      <c r="AY61" s="523">
        <v>1506720</v>
      </c>
      <c r="AZ61" s="523">
        <v>1533943</v>
      </c>
      <c r="BA61" s="523">
        <v>1562998</v>
      </c>
      <c r="BB61" s="523">
        <v>1242006</v>
      </c>
      <c r="BC61" s="523">
        <v>15684568</v>
      </c>
      <c r="BT61" s="470"/>
      <c r="BU61" s="470"/>
      <c r="BV61" s="470"/>
      <c r="BW61" s="470"/>
      <c r="BX61" s="470"/>
      <c r="BY61" s="470"/>
      <c r="BZ61" s="470"/>
      <c r="CA61" s="470"/>
      <c r="CB61" s="470"/>
      <c r="CC61" s="470"/>
      <c r="CD61" s="470"/>
      <c r="CE61" s="470"/>
    </row>
    <row r="62" spans="1:83" ht="8.15" customHeight="1" thickBot="1" x14ac:dyDescent="0.4">
      <c r="B62" s="523"/>
      <c r="C62" s="523"/>
      <c r="D62" s="523"/>
      <c r="E62" s="523"/>
      <c r="F62" s="523"/>
      <c r="G62" s="523"/>
      <c r="H62" s="523"/>
      <c r="I62" s="523"/>
      <c r="J62" s="523"/>
      <c r="K62" s="523"/>
      <c r="L62" s="523"/>
      <c r="M62" s="523"/>
      <c r="O62" s="471"/>
      <c r="P62" s="523"/>
      <c r="Q62" s="523"/>
      <c r="R62" s="523"/>
      <c r="S62" s="523"/>
      <c r="T62" s="523"/>
      <c r="U62" s="523"/>
      <c r="V62" s="523"/>
      <c r="W62" s="523"/>
      <c r="X62" s="523"/>
      <c r="Y62" s="523"/>
      <c r="Z62" s="523"/>
      <c r="AA62" s="523"/>
      <c r="AR62" s="523"/>
      <c r="AS62" s="523"/>
      <c r="AT62" s="523"/>
      <c r="AU62" s="523"/>
      <c r="AV62" s="523"/>
      <c r="AW62" s="523"/>
      <c r="AX62" s="523"/>
      <c r="AY62" s="523"/>
      <c r="AZ62" s="523"/>
      <c r="BA62" s="523"/>
      <c r="BB62" s="523"/>
      <c r="BC62" s="523"/>
    </row>
    <row r="63" spans="1:83" ht="8.15" customHeight="1" thickBot="1" x14ac:dyDescent="0.4">
      <c r="AC63" s="471" t="s">
        <v>357</v>
      </c>
      <c r="AD63" s="470">
        <v>623299</v>
      </c>
      <c r="AE63" s="470">
        <v>779615</v>
      </c>
      <c r="AF63" s="470">
        <v>862384</v>
      </c>
      <c r="AG63" s="470">
        <v>869405</v>
      </c>
      <c r="AH63" s="470">
        <v>876356</v>
      </c>
      <c r="AI63" s="470">
        <v>883681</v>
      </c>
      <c r="AJ63" s="470">
        <v>941057</v>
      </c>
      <c r="AK63" s="470">
        <v>958687</v>
      </c>
      <c r="AL63" s="470">
        <v>965870</v>
      </c>
      <c r="AM63" s="470">
        <v>972095</v>
      </c>
      <c r="AN63" s="470">
        <v>-232239</v>
      </c>
      <c r="AO63" s="470">
        <v>8500210</v>
      </c>
      <c r="AP63" s="353"/>
    </row>
    <row r="64" spans="1:83" x14ac:dyDescent="0.35">
      <c r="AP64" s="353"/>
    </row>
  </sheetData>
  <sheetProtection formatCells="0" formatColumns="0" formatRows="0" insertColumns="0" insertRows="0" insertHyperlinks="0" deleteColumns="0" deleteRows="0" sort="0" autoFilter="0" pivotTables="0"/>
  <mergeCells count="57">
    <mergeCell ref="AC2:AN2"/>
    <mergeCell ref="AC4:AN4"/>
    <mergeCell ref="AC5:AN5"/>
    <mergeCell ref="AC6:AN6"/>
    <mergeCell ref="AA61:AA62"/>
    <mergeCell ref="O4:Z4"/>
    <mergeCell ref="O5:Z5"/>
    <mergeCell ref="O6:Z6"/>
    <mergeCell ref="P61:P62"/>
    <mergeCell ref="Q61:Q62"/>
    <mergeCell ref="R61:R62"/>
    <mergeCell ref="S61:S62"/>
    <mergeCell ref="T61:T62"/>
    <mergeCell ref="U61:U62"/>
    <mergeCell ref="V61:V62"/>
    <mergeCell ref="W61:W62"/>
    <mergeCell ref="X61:X62"/>
    <mergeCell ref="Y61:Y62"/>
    <mergeCell ref="Z61:Z62"/>
    <mergeCell ref="M61:M62"/>
    <mergeCell ref="A2:L2"/>
    <mergeCell ref="B61:B62"/>
    <mergeCell ref="C61:C62"/>
    <mergeCell ref="D61:D62"/>
    <mergeCell ref="E61:E62"/>
    <mergeCell ref="F61:F62"/>
    <mergeCell ref="G61:G62"/>
    <mergeCell ref="H61:H62"/>
    <mergeCell ref="I61:I62"/>
    <mergeCell ref="J61:J62"/>
    <mergeCell ref="K61:K62"/>
    <mergeCell ref="L61:L62"/>
    <mergeCell ref="A4:L4"/>
    <mergeCell ref="AX61:AX62"/>
    <mergeCell ref="AY61:AY62"/>
    <mergeCell ref="AZ61:AZ62"/>
    <mergeCell ref="BA61:BA62"/>
    <mergeCell ref="BE2:BQ2"/>
    <mergeCell ref="BE4:BQ4"/>
    <mergeCell ref="BE5:BQ5"/>
    <mergeCell ref="BE6:BQ6"/>
    <mergeCell ref="BS2:CD2"/>
    <mergeCell ref="BS4:CD4"/>
    <mergeCell ref="BS5:CD5"/>
    <mergeCell ref="BS6:CD6"/>
    <mergeCell ref="BB61:BB62"/>
    <mergeCell ref="BC61:BC62"/>
    <mergeCell ref="AQ2:BB2"/>
    <mergeCell ref="AQ4:BB4"/>
    <mergeCell ref="AQ5:BB5"/>
    <mergeCell ref="AQ6:BB6"/>
    <mergeCell ref="AR61:AR62"/>
    <mergeCell ref="AS61:AS62"/>
    <mergeCell ref="AT61:AT62"/>
    <mergeCell ref="AU61:AU62"/>
    <mergeCell ref="AV61:AV62"/>
    <mergeCell ref="AW61:AW62"/>
  </mergeCells>
  <pageMargins left="0.15999999642372131" right="0.17000000178813934" top="0.40000000596046448" bottom="0.31999999284744263" header="0.3" footer="0.3"/>
  <pageSetup orientation="landscape" errors="blank"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AB14-9702-4CC3-80B2-66CD1BA3A1E2}">
  <sheetPr codeName="Sheet7">
    <tabColor theme="0" tint="-0.34998626667073579"/>
    <outlinePr summaryBelow="0"/>
  </sheetPr>
  <dimension ref="A2:AO176"/>
  <sheetViews>
    <sheetView showGridLines="0" topLeftCell="A12" zoomScale="80" zoomScaleNormal="80" workbookViewId="0">
      <selection activeCell="F26" sqref="F26"/>
    </sheetView>
  </sheetViews>
  <sheetFormatPr defaultColWidth="8.7265625" defaultRowHeight="10" customHeight="1" x14ac:dyDescent="0.25"/>
  <cols>
    <col min="1" max="1" width="22.81640625" style="387" customWidth="1"/>
    <col min="2" max="2" width="6.54296875" style="387" customWidth="1"/>
    <col min="3" max="3" width="8.54296875" style="387" customWidth="1"/>
    <col min="4" max="4" width="7.453125" style="387" customWidth="1"/>
    <col min="5" max="5" width="1.26953125" style="387" customWidth="1"/>
    <col min="6" max="6" width="6.7265625" style="387" customWidth="1"/>
    <col min="7" max="7" width="8.453125" style="387" customWidth="1"/>
    <col min="8" max="8" width="7.54296875" style="387" customWidth="1"/>
    <col min="9" max="9" width="1.1796875" style="387" customWidth="1"/>
    <col min="10" max="10" width="6.7265625" style="387" customWidth="1"/>
    <col min="11" max="11" width="8.453125" style="387" customWidth="1"/>
    <col min="12" max="12" width="7.54296875" style="387" customWidth="1"/>
    <col min="13" max="13" width="1.26953125" style="387" customWidth="1"/>
    <col min="14" max="14" width="6.54296875" style="387" customWidth="1"/>
    <col min="15" max="15" width="8.54296875" style="387" customWidth="1"/>
    <col min="16" max="16" width="7.453125" style="387" customWidth="1"/>
    <col min="17" max="17" width="1.26953125" style="387" customWidth="1"/>
    <col min="18" max="18" width="6.7265625" style="387" customWidth="1"/>
    <col min="19" max="19" width="8.453125" style="387" customWidth="1"/>
    <col min="20" max="20" width="7.54296875" style="387" customWidth="1"/>
    <col min="21" max="21" width="1.1796875" style="387" customWidth="1"/>
    <col min="22" max="22" width="6.7265625" style="387" customWidth="1"/>
    <col min="23" max="23" width="8.453125" style="387" customWidth="1"/>
    <col min="24" max="24" width="7.54296875" style="387" customWidth="1"/>
    <col min="25" max="25" width="1.26953125" style="387" customWidth="1"/>
    <col min="26" max="28" width="8.7265625" style="387"/>
    <col min="29" max="29" width="1.26953125" style="387" customWidth="1"/>
    <col min="30" max="32" width="8.7265625" style="387"/>
    <col min="33" max="33" width="1.26953125" style="387" customWidth="1"/>
    <col min="34" max="36" width="8.7265625" style="387"/>
    <col min="37" max="37" width="1.26953125" style="387" customWidth="1"/>
    <col min="38" max="40" width="8.7265625" style="387"/>
    <col min="41" max="41" width="1.26953125" style="387" customWidth="1"/>
    <col min="42" max="16384" width="8.7265625" style="387"/>
  </cols>
  <sheetData>
    <row r="2" spans="1:41" ht="10" customHeight="1" x14ac:dyDescent="0.25">
      <c r="A2" s="524" t="s">
        <v>358</v>
      </c>
      <c r="B2" s="524"/>
      <c r="C2" s="524"/>
      <c r="D2" s="524"/>
      <c r="E2" s="524"/>
      <c r="F2" s="524"/>
      <c r="G2" s="524"/>
      <c r="H2" s="524"/>
      <c r="I2" s="524"/>
      <c r="J2" s="524"/>
      <c r="K2" s="524"/>
      <c r="L2" s="524"/>
      <c r="M2" s="524"/>
      <c r="N2" s="524"/>
      <c r="O2" s="524"/>
      <c r="P2" s="524"/>
      <c r="Q2" s="524"/>
      <c r="R2" s="524"/>
    </row>
    <row r="3" spans="1:41" ht="10" customHeight="1" x14ac:dyDescent="0.25">
      <c r="A3" s="387" t="s">
        <v>359</v>
      </c>
      <c r="G3" s="406"/>
    </row>
    <row r="4" spans="1:41" ht="10" customHeight="1" x14ac:dyDescent="0.25">
      <c r="A4" s="525" t="s">
        <v>297</v>
      </c>
      <c r="B4" s="525"/>
      <c r="C4" s="525"/>
      <c r="D4" s="525"/>
      <c r="E4" s="525"/>
      <c r="F4" s="525"/>
      <c r="G4" s="525"/>
      <c r="H4" s="525"/>
      <c r="I4" s="525"/>
      <c r="J4" s="525"/>
      <c r="K4" s="525"/>
      <c r="L4" s="525"/>
      <c r="M4" s="525"/>
      <c r="N4" s="525"/>
      <c r="O4" s="525"/>
      <c r="P4" s="525"/>
      <c r="Q4" s="525"/>
      <c r="R4" s="525"/>
    </row>
    <row r="5" spans="1:41" ht="10" customHeight="1" x14ac:dyDescent="0.25">
      <c r="A5" s="526">
        <v>44354.66165509259</v>
      </c>
      <c r="B5" s="525"/>
      <c r="C5" s="525"/>
      <c r="D5" s="525"/>
      <c r="E5" s="525"/>
      <c r="F5" s="525"/>
      <c r="G5" s="525"/>
      <c r="H5" s="525"/>
      <c r="I5" s="525"/>
      <c r="J5" s="525"/>
      <c r="K5" s="525"/>
      <c r="L5" s="525"/>
      <c r="M5" s="525"/>
      <c r="N5" s="525"/>
      <c r="O5" s="525"/>
      <c r="P5" s="525"/>
      <c r="Q5" s="525"/>
      <c r="R5" s="525"/>
    </row>
    <row r="7" spans="1:41" ht="10" customHeight="1" x14ac:dyDescent="0.25">
      <c r="A7" s="359"/>
      <c r="B7" s="360" t="s">
        <v>360</v>
      </c>
      <c r="C7" s="384" t="s">
        <v>361</v>
      </c>
      <c r="D7" s="384" t="s">
        <v>360</v>
      </c>
      <c r="E7" s="385" t="s">
        <v>360</v>
      </c>
      <c r="F7" s="386" t="s">
        <v>360</v>
      </c>
      <c r="G7" s="384" t="s">
        <v>362</v>
      </c>
      <c r="H7" s="384" t="s">
        <v>360</v>
      </c>
      <c r="I7" s="385" t="s">
        <v>360</v>
      </c>
      <c r="J7" s="386" t="s">
        <v>360</v>
      </c>
      <c r="K7" s="384" t="s">
        <v>363</v>
      </c>
      <c r="L7" s="384" t="s">
        <v>360</v>
      </c>
      <c r="M7" s="385" t="s">
        <v>360</v>
      </c>
      <c r="N7" s="386" t="s">
        <v>360</v>
      </c>
      <c r="O7" s="384" t="s">
        <v>364</v>
      </c>
      <c r="P7" s="384" t="s">
        <v>360</v>
      </c>
      <c r="Q7" s="385" t="s">
        <v>360</v>
      </c>
      <c r="R7" s="386" t="s">
        <v>360</v>
      </c>
      <c r="S7" s="384" t="s">
        <v>365</v>
      </c>
      <c r="T7" s="384" t="s">
        <v>360</v>
      </c>
      <c r="U7" s="385" t="s">
        <v>360</v>
      </c>
      <c r="V7" s="386" t="s">
        <v>360</v>
      </c>
      <c r="W7" s="384" t="s">
        <v>366</v>
      </c>
      <c r="X7" s="384" t="s">
        <v>360</v>
      </c>
      <c r="Y7" s="385" t="s">
        <v>360</v>
      </c>
      <c r="Z7" s="386" t="s">
        <v>360</v>
      </c>
      <c r="AA7" s="384" t="s">
        <v>367</v>
      </c>
      <c r="AB7" s="384" t="s">
        <v>360</v>
      </c>
      <c r="AC7" s="385" t="s">
        <v>360</v>
      </c>
      <c r="AD7" s="386" t="s">
        <v>360</v>
      </c>
      <c r="AE7" s="384" t="s">
        <v>368</v>
      </c>
      <c r="AF7" s="384" t="s">
        <v>360</v>
      </c>
      <c r="AG7" s="385" t="s">
        <v>360</v>
      </c>
      <c r="AH7" s="386" t="s">
        <v>360</v>
      </c>
      <c r="AI7" s="384" t="s">
        <v>369</v>
      </c>
      <c r="AJ7" s="384" t="s">
        <v>360</v>
      </c>
      <c r="AK7" s="385" t="s">
        <v>360</v>
      </c>
      <c r="AL7" s="386" t="s">
        <v>360</v>
      </c>
      <c r="AM7" s="384" t="s">
        <v>370</v>
      </c>
      <c r="AN7" s="384" t="s">
        <v>360</v>
      </c>
      <c r="AO7" s="385" t="s">
        <v>360</v>
      </c>
    </row>
    <row r="8" spans="1:41" ht="10" customHeight="1" x14ac:dyDescent="0.25">
      <c r="A8" s="383" t="s">
        <v>371</v>
      </c>
      <c r="B8" s="361" t="s">
        <v>360</v>
      </c>
      <c r="C8" s="362" t="s">
        <v>372</v>
      </c>
      <c r="D8" s="362" t="s">
        <v>360</v>
      </c>
      <c r="E8" s="363" t="s">
        <v>360</v>
      </c>
      <c r="F8" s="361" t="s">
        <v>360</v>
      </c>
      <c r="G8" s="362" t="s">
        <v>372</v>
      </c>
      <c r="H8" s="362" t="s">
        <v>360</v>
      </c>
      <c r="I8" s="363" t="s">
        <v>360</v>
      </c>
      <c r="J8" s="361" t="s">
        <v>360</v>
      </c>
      <c r="K8" s="362" t="s">
        <v>372</v>
      </c>
      <c r="L8" s="362" t="s">
        <v>360</v>
      </c>
      <c r="M8" s="363" t="s">
        <v>360</v>
      </c>
      <c r="N8" s="361" t="s">
        <v>360</v>
      </c>
      <c r="O8" s="362" t="s">
        <v>372</v>
      </c>
      <c r="P8" s="362" t="s">
        <v>360</v>
      </c>
      <c r="Q8" s="363" t="s">
        <v>360</v>
      </c>
      <c r="R8" s="361" t="s">
        <v>360</v>
      </c>
      <c r="S8" s="362" t="s">
        <v>372</v>
      </c>
      <c r="T8" s="362" t="s">
        <v>360</v>
      </c>
      <c r="U8" s="363" t="s">
        <v>360</v>
      </c>
      <c r="V8" s="361" t="s">
        <v>360</v>
      </c>
      <c r="W8" s="362" t="s">
        <v>372</v>
      </c>
      <c r="X8" s="362" t="s">
        <v>360</v>
      </c>
      <c r="Y8" s="363" t="s">
        <v>360</v>
      </c>
      <c r="Z8" s="361" t="s">
        <v>360</v>
      </c>
      <c r="AA8" s="362" t="s">
        <v>372</v>
      </c>
      <c r="AB8" s="362" t="s">
        <v>360</v>
      </c>
      <c r="AC8" s="363" t="s">
        <v>360</v>
      </c>
      <c r="AD8" s="361" t="s">
        <v>360</v>
      </c>
      <c r="AE8" s="362" t="s">
        <v>372</v>
      </c>
      <c r="AF8" s="362" t="s">
        <v>360</v>
      </c>
      <c r="AG8" s="363" t="s">
        <v>360</v>
      </c>
      <c r="AH8" s="361" t="s">
        <v>360</v>
      </c>
      <c r="AI8" s="362" t="s">
        <v>372</v>
      </c>
      <c r="AJ8" s="362" t="s">
        <v>360</v>
      </c>
      <c r="AK8" s="363" t="s">
        <v>360</v>
      </c>
      <c r="AL8" s="361" t="s">
        <v>360</v>
      </c>
      <c r="AM8" s="362" t="s">
        <v>372</v>
      </c>
      <c r="AN8" s="362" t="s">
        <v>360</v>
      </c>
      <c r="AO8" s="363" t="s">
        <v>360</v>
      </c>
    </row>
    <row r="9" spans="1:41" ht="10" customHeight="1" x14ac:dyDescent="0.25">
      <c r="A9" s="364"/>
      <c r="B9" s="365" t="s">
        <v>373</v>
      </c>
      <c r="C9" s="366"/>
      <c r="D9" s="367" t="s">
        <v>183</v>
      </c>
      <c r="E9" s="368"/>
      <c r="F9" s="365" t="s">
        <v>373</v>
      </c>
      <c r="G9" s="366"/>
      <c r="H9" s="367" t="s">
        <v>183</v>
      </c>
      <c r="I9" s="368"/>
      <c r="J9" s="365" t="s">
        <v>373</v>
      </c>
      <c r="K9" s="366"/>
      <c r="L9" s="367" t="s">
        <v>183</v>
      </c>
      <c r="M9" s="368"/>
      <c r="N9" s="365" t="s">
        <v>373</v>
      </c>
      <c r="O9" s="366"/>
      <c r="P9" s="367" t="s">
        <v>183</v>
      </c>
      <c r="Q9" s="368"/>
      <c r="R9" s="365" t="s">
        <v>373</v>
      </c>
      <c r="S9" s="366"/>
      <c r="T9" s="367" t="s">
        <v>183</v>
      </c>
      <c r="U9" s="368"/>
      <c r="V9" s="365" t="s">
        <v>373</v>
      </c>
      <c r="W9" s="366"/>
      <c r="X9" s="367" t="s">
        <v>183</v>
      </c>
      <c r="Y9" s="368"/>
      <c r="Z9" s="365" t="s">
        <v>373</v>
      </c>
      <c r="AA9" s="366"/>
      <c r="AB9" s="367" t="s">
        <v>183</v>
      </c>
      <c r="AC9" s="368"/>
      <c r="AD9" s="365" t="s">
        <v>373</v>
      </c>
      <c r="AE9" s="366"/>
      <c r="AF9" s="367" t="s">
        <v>183</v>
      </c>
      <c r="AG9" s="368"/>
      <c r="AH9" s="365" t="s">
        <v>373</v>
      </c>
      <c r="AI9" s="366"/>
      <c r="AJ9" s="367" t="s">
        <v>183</v>
      </c>
      <c r="AK9" s="368"/>
      <c r="AL9" s="365" t="s">
        <v>373</v>
      </c>
      <c r="AM9" s="366"/>
      <c r="AN9" s="367" t="s">
        <v>183</v>
      </c>
      <c r="AO9" s="368"/>
    </row>
    <row r="10" spans="1:41" ht="10" customHeight="1" x14ac:dyDescent="0.25">
      <c r="A10" s="369"/>
      <c r="B10" s="370"/>
      <c r="C10" s="371"/>
      <c r="D10" s="371"/>
      <c r="E10" s="372"/>
      <c r="F10" s="370"/>
      <c r="G10" s="371"/>
      <c r="H10" s="371"/>
      <c r="I10" s="372"/>
      <c r="J10" s="370"/>
      <c r="K10" s="371"/>
      <c r="L10" s="371"/>
      <c r="M10" s="372"/>
      <c r="N10" s="370"/>
      <c r="O10" s="371"/>
      <c r="P10" s="371"/>
      <c r="Q10" s="372"/>
      <c r="R10" s="370"/>
      <c r="S10" s="371"/>
      <c r="T10" s="371"/>
      <c r="U10" s="372"/>
      <c r="V10" s="370"/>
      <c r="W10" s="371"/>
      <c r="X10" s="371"/>
      <c r="Y10" s="372"/>
      <c r="Z10" s="370"/>
      <c r="AA10" s="371"/>
      <c r="AB10" s="371"/>
      <c r="AC10" s="372"/>
      <c r="AD10" s="370"/>
      <c r="AE10" s="371"/>
      <c r="AF10" s="371"/>
      <c r="AG10" s="372"/>
      <c r="AH10" s="370"/>
      <c r="AI10" s="371"/>
      <c r="AJ10" s="371"/>
      <c r="AK10" s="372"/>
      <c r="AL10" s="370"/>
      <c r="AM10" s="371"/>
      <c r="AN10" s="371"/>
      <c r="AO10" s="372"/>
    </row>
    <row r="11" spans="1:41" ht="10" customHeight="1" x14ac:dyDescent="0.25">
      <c r="A11" s="373" t="s">
        <v>374</v>
      </c>
      <c r="B11" s="388">
        <f>B36+B61+B86+B111+B136+B161</f>
        <v>181996</v>
      </c>
      <c r="D11" s="374">
        <f>B11/$B$26</f>
        <v>0.92204495827908184</v>
      </c>
      <c r="E11" s="375"/>
      <c r="F11" s="388">
        <f>F36+F61+F86+F111+F136+F161</f>
        <v>197383</v>
      </c>
      <c r="H11" s="374">
        <f>F11/$B$26</f>
        <v>1</v>
      </c>
      <c r="I11" s="375"/>
      <c r="J11" s="388">
        <f>J36+J61+J86+J111+J136+J161</f>
        <v>197383</v>
      </c>
      <c r="L11" s="374">
        <f>J11/$B$26</f>
        <v>1</v>
      </c>
      <c r="M11" s="375"/>
      <c r="N11" s="388">
        <f>N36+N61+N86+N111+N136+N161</f>
        <v>197383</v>
      </c>
      <c r="P11" s="374">
        <f>N11/$B$26</f>
        <v>1</v>
      </c>
      <c r="Q11" s="375"/>
      <c r="R11" s="388">
        <f>R36+R61+R86+R111+R136+R161</f>
        <v>197383</v>
      </c>
      <c r="T11" s="374">
        <f>R11/$B$26</f>
        <v>1</v>
      </c>
      <c r="U11" s="375"/>
      <c r="V11" s="388">
        <f>V36+V61+V86+V111+V136+V161</f>
        <v>197383</v>
      </c>
      <c r="X11" s="374">
        <f>V11/$B$26</f>
        <v>1</v>
      </c>
      <c r="Y11" s="375"/>
      <c r="Z11" s="388">
        <f>Z36+Z61+Z86+Z111+Z136+Z161</f>
        <v>192157</v>
      </c>
      <c r="AB11" s="374">
        <f>Z11/$B$26</f>
        <v>0.9735235557266837</v>
      </c>
      <c r="AC11" s="375"/>
      <c r="AD11" s="388">
        <f>AD36+AD61+AD86+AD111+AD136+AD161</f>
        <v>197383</v>
      </c>
      <c r="AF11" s="374">
        <f>AD11/$B$26</f>
        <v>1</v>
      </c>
      <c r="AG11" s="375"/>
      <c r="AH11" s="388">
        <f>AH36+AH61+AH86+AH111+AH136+AH161</f>
        <v>197383</v>
      </c>
      <c r="AJ11" s="374">
        <f>AH11/$B$26</f>
        <v>1</v>
      </c>
      <c r="AK11" s="375"/>
      <c r="AL11" s="388">
        <f>AL36+AL61+AL86+AL111+AL136+AL161</f>
        <v>197383</v>
      </c>
      <c r="AN11" s="374">
        <f>AL11/$B$26</f>
        <v>1</v>
      </c>
      <c r="AO11" s="375"/>
    </row>
    <row r="12" spans="1:41" ht="10" customHeight="1" x14ac:dyDescent="0.25">
      <c r="A12" s="373" t="s">
        <v>375</v>
      </c>
      <c r="B12" s="388">
        <f t="shared" ref="B12:B22" si="0">B37+B62+B87+B112+B137+B162</f>
        <v>181996</v>
      </c>
      <c r="D12" s="374">
        <f t="shared" ref="D12:D22" si="1">B12/$B$26</f>
        <v>0.92204495827908184</v>
      </c>
      <c r="E12" s="375"/>
      <c r="F12" s="388">
        <f t="shared" ref="F12:F22" si="2">F37+F62+F87+F112+F137+F162</f>
        <v>197383</v>
      </c>
      <c r="H12" s="374">
        <f t="shared" ref="H12:H22" si="3">F12/$B$26</f>
        <v>1</v>
      </c>
      <c r="I12" s="375"/>
      <c r="J12" s="388">
        <f t="shared" ref="J12:J22" si="4">J37+J62+J87+J112+J137+J162</f>
        <v>197383</v>
      </c>
      <c r="L12" s="374">
        <f t="shared" ref="L12:L22" si="5">J12/$B$26</f>
        <v>1</v>
      </c>
      <c r="M12" s="375"/>
      <c r="N12" s="388">
        <f t="shared" ref="N12:N22" si="6">N37+N62+N87+N112+N137+N162</f>
        <v>197383</v>
      </c>
      <c r="P12" s="374">
        <f t="shared" ref="P12:P22" si="7">N12/$B$26</f>
        <v>1</v>
      </c>
      <c r="Q12" s="375"/>
      <c r="R12" s="388">
        <f t="shared" ref="R12:R22" si="8">R37+R62+R87+R112+R137+R162</f>
        <v>197383</v>
      </c>
      <c r="T12" s="374">
        <f t="shared" ref="T12:T22" si="9">R12/$B$26</f>
        <v>1</v>
      </c>
      <c r="U12" s="375"/>
      <c r="V12" s="388">
        <f t="shared" ref="V12:V22" si="10">V37+V62+V87+V112+V137+V162</f>
        <v>197383</v>
      </c>
      <c r="X12" s="374">
        <f t="shared" ref="X12:X22" si="11">V12/$B$26</f>
        <v>1</v>
      </c>
      <c r="Y12" s="375"/>
      <c r="Z12" s="388">
        <f t="shared" ref="Z12:Z22" si="12">Z37+Z62+Z87+Z112+Z137+Z162</f>
        <v>192715</v>
      </c>
      <c r="AB12" s="374">
        <f t="shared" ref="AB12:AB22" si="13">Z12/$B$26</f>
        <v>0.97635054690626855</v>
      </c>
      <c r="AC12" s="375"/>
      <c r="AD12" s="388">
        <f t="shared" ref="AD12:AD22" si="14">AD37+AD62+AD87+AD112+AD137+AD162</f>
        <v>197383</v>
      </c>
      <c r="AF12" s="374">
        <f t="shared" ref="AF12:AF22" si="15">AD12/$B$26</f>
        <v>1</v>
      </c>
      <c r="AG12" s="375"/>
      <c r="AH12" s="388">
        <f t="shared" ref="AH12:AH22" si="16">AH37+AH62+AH87+AH112+AH137+AH162</f>
        <v>197383</v>
      </c>
      <c r="AJ12" s="374">
        <f t="shared" ref="AJ12:AJ22" si="17">AH12/$B$26</f>
        <v>1</v>
      </c>
      <c r="AK12" s="375"/>
      <c r="AL12" s="388">
        <f t="shared" ref="AL12:AL22" si="18">AL37+AL62+AL87+AL112+AL137+AL162</f>
        <v>197383</v>
      </c>
      <c r="AN12" s="374">
        <f t="shared" ref="AN12:AN22" si="19">AL12/$B$26</f>
        <v>1</v>
      </c>
      <c r="AO12" s="375"/>
    </row>
    <row r="13" spans="1:41" ht="10" customHeight="1" x14ac:dyDescent="0.25">
      <c r="A13" s="373" t="s">
        <v>376</v>
      </c>
      <c r="B13" s="388">
        <f t="shared" si="0"/>
        <v>182151</v>
      </c>
      <c r="D13" s="374">
        <f t="shared" si="1"/>
        <v>0.92283023360674421</v>
      </c>
      <c r="E13" s="375"/>
      <c r="F13" s="388">
        <f t="shared" si="2"/>
        <v>197383</v>
      </c>
      <c r="H13" s="374">
        <f t="shared" si="3"/>
        <v>1</v>
      </c>
      <c r="I13" s="375"/>
      <c r="J13" s="388">
        <f t="shared" si="4"/>
        <v>197383</v>
      </c>
      <c r="L13" s="374">
        <f t="shared" si="5"/>
        <v>1</v>
      </c>
      <c r="M13" s="375"/>
      <c r="N13" s="388">
        <f t="shared" si="6"/>
        <v>190139</v>
      </c>
      <c r="P13" s="374">
        <f t="shared" si="7"/>
        <v>0.96329977758976204</v>
      </c>
      <c r="Q13" s="375"/>
      <c r="R13" s="388">
        <f t="shared" si="8"/>
        <v>197383</v>
      </c>
      <c r="T13" s="374">
        <f t="shared" si="9"/>
        <v>1</v>
      </c>
      <c r="U13" s="375"/>
      <c r="V13" s="388">
        <f t="shared" si="10"/>
        <v>197383</v>
      </c>
      <c r="X13" s="374">
        <f t="shared" si="11"/>
        <v>1</v>
      </c>
      <c r="Y13" s="375"/>
      <c r="Z13" s="388">
        <f t="shared" si="12"/>
        <v>197383</v>
      </c>
      <c r="AB13" s="374">
        <f t="shared" si="13"/>
        <v>1</v>
      </c>
      <c r="AC13" s="375"/>
      <c r="AD13" s="388">
        <f t="shared" si="14"/>
        <v>197383</v>
      </c>
      <c r="AF13" s="374">
        <f t="shared" si="15"/>
        <v>1</v>
      </c>
      <c r="AG13" s="375"/>
      <c r="AH13" s="388">
        <f t="shared" si="16"/>
        <v>197383</v>
      </c>
      <c r="AJ13" s="374">
        <f t="shared" si="17"/>
        <v>1</v>
      </c>
      <c r="AK13" s="375"/>
      <c r="AL13" s="388">
        <f t="shared" si="18"/>
        <v>197383</v>
      </c>
      <c r="AN13" s="374">
        <f t="shared" si="19"/>
        <v>1</v>
      </c>
      <c r="AO13" s="375"/>
    </row>
    <row r="14" spans="1:41" ht="10" customHeight="1" x14ac:dyDescent="0.25">
      <c r="A14" s="373" t="s">
        <v>377</v>
      </c>
      <c r="B14" s="388">
        <f t="shared" si="0"/>
        <v>184583</v>
      </c>
      <c r="D14" s="374">
        <f t="shared" si="1"/>
        <v>0.93515145681239009</v>
      </c>
      <c r="E14" s="375"/>
      <c r="F14" s="388">
        <f t="shared" si="2"/>
        <v>197383</v>
      </c>
      <c r="H14" s="374">
        <f t="shared" si="3"/>
        <v>1</v>
      </c>
      <c r="I14" s="375"/>
      <c r="J14" s="388">
        <f t="shared" si="4"/>
        <v>197383</v>
      </c>
      <c r="L14" s="374">
        <f t="shared" si="5"/>
        <v>1</v>
      </c>
      <c r="M14" s="375"/>
      <c r="N14" s="388">
        <f t="shared" si="6"/>
        <v>197383</v>
      </c>
      <c r="P14" s="374">
        <f t="shared" si="7"/>
        <v>1</v>
      </c>
      <c r="Q14" s="375"/>
      <c r="R14" s="388">
        <f t="shared" si="8"/>
        <v>197383</v>
      </c>
      <c r="T14" s="374">
        <f t="shared" si="9"/>
        <v>1</v>
      </c>
      <c r="U14" s="375"/>
      <c r="V14" s="388">
        <f t="shared" si="10"/>
        <v>197383</v>
      </c>
      <c r="X14" s="374">
        <f t="shared" si="11"/>
        <v>1</v>
      </c>
      <c r="Y14" s="375"/>
      <c r="Z14" s="388">
        <f t="shared" si="12"/>
        <v>197383</v>
      </c>
      <c r="AB14" s="374">
        <f t="shared" si="13"/>
        <v>1</v>
      </c>
      <c r="AC14" s="375"/>
      <c r="AD14" s="388">
        <f t="shared" si="14"/>
        <v>197383</v>
      </c>
      <c r="AF14" s="374">
        <f t="shared" si="15"/>
        <v>1</v>
      </c>
      <c r="AG14" s="375"/>
      <c r="AH14" s="388">
        <f t="shared" si="16"/>
        <v>190139</v>
      </c>
      <c r="AJ14" s="374">
        <f t="shared" si="17"/>
        <v>0.96329977758976204</v>
      </c>
      <c r="AK14" s="375"/>
      <c r="AL14" s="388">
        <f t="shared" si="18"/>
        <v>197383</v>
      </c>
      <c r="AN14" s="374">
        <f t="shared" si="19"/>
        <v>1</v>
      </c>
      <c r="AO14" s="375"/>
    </row>
    <row r="15" spans="1:41" ht="10" customHeight="1" x14ac:dyDescent="0.25">
      <c r="A15" s="373" t="s">
        <v>378</v>
      </c>
      <c r="B15" s="388">
        <f t="shared" si="0"/>
        <v>188353</v>
      </c>
      <c r="D15" s="374">
        <f t="shared" si="1"/>
        <v>0.95425137929811588</v>
      </c>
      <c r="E15" s="375"/>
      <c r="F15" s="388">
        <f t="shared" si="2"/>
        <v>197383</v>
      </c>
      <c r="H15" s="374">
        <f t="shared" si="3"/>
        <v>1</v>
      </c>
      <c r="I15" s="375"/>
      <c r="J15" s="388">
        <f t="shared" si="4"/>
        <v>197383</v>
      </c>
      <c r="L15" s="374">
        <f t="shared" si="5"/>
        <v>1</v>
      </c>
      <c r="M15" s="375"/>
      <c r="N15" s="388">
        <f t="shared" si="6"/>
        <v>197383</v>
      </c>
      <c r="P15" s="374">
        <f t="shared" si="7"/>
        <v>1</v>
      </c>
      <c r="Q15" s="375"/>
      <c r="R15" s="388">
        <f t="shared" si="8"/>
        <v>197383</v>
      </c>
      <c r="T15" s="374">
        <f t="shared" si="9"/>
        <v>1</v>
      </c>
      <c r="U15" s="375"/>
      <c r="V15" s="388">
        <f t="shared" si="10"/>
        <v>197383</v>
      </c>
      <c r="X15" s="374">
        <f t="shared" si="11"/>
        <v>1</v>
      </c>
      <c r="Y15" s="375"/>
      <c r="Z15" s="388">
        <f t="shared" si="12"/>
        <v>197383</v>
      </c>
      <c r="AB15" s="374">
        <f t="shared" si="13"/>
        <v>1</v>
      </c>
      <c r="AC15" s="375"/>
      <c r="AD15" s="388">
        <f t="shared" si="14"/>
        <v>197383</v>
      </c>
      <c r="AF15" s="374">
        <f t="shared" si="15"/>
        <v>1</v>
      </c>
      <c r="AG15" s="375"/>
      <c r="AH15" s="388">
        <f t="shared" si="16"/>
        <v>197383</v>
      </c>
      <c r="AJ15" s="374">
        <f t="shared" si="17"/>
        <v>1</v>
      </c>
      <c r="AK15" s="375"/>
      <c r="AL15" s="388">
        <f t="shared" si="18"/>
        <v>197383</v>
      </c>
      <c r="AN15" s="374">
        <f t="shared" si="19"/>
        <v>1</v>
      </c>
      <c r="AO15" s="375"/>
    </row>
    <row r="16" spans="1:41" ht="10" customHeight="1" x14ac:dyDescent="0.25">
      <c r="A16" s="373" t="s">
        <v>379</v>
      </c>
      <c r="B16" s="388">
        <f t="shared" si="0"/>
        <v>189230</v>
      </c>
      <c r="D16" s="374">
        <f t="shared" si="1"/>
        <v>0.9586945177649544</v>
      </c>
      <c r="E16" s="375"/>
      <c r="F16" s="388">
        <f t="shared" si="2"/>
        <v>197383</v>
      </c>
      <c r="H16" s="374">
        <f t="shared" si="3"/>
        <v>1</v>
      </c>
      <c r="I16" s="375"/>
      <c r="J16" s="388">
        <f t="shared" si="4"/>
        <v>197383</v>
      </c>
      <c r="L16" s="374">
        <f t="shared" si="5"/>
        <v>1</v>
      </c>
      <c r="M16" s="375"/>
      <c r="N16" s="388">
        <f t="shared" si="6"/>
        <v>197383</v>
      </c>
      <c r="P16" s="374">
        <f t="shared" si="7"/>
        <v>1</v>
      </c>
      <c r="Q16" s="375"/>
      <c r="R16" s="388">
        <f t="shared" si="8"/>
        <v>197383</v>
      </c>
      <c r="T16" s="374">
        <f t="shared" si="9"/>
        <v>1</v>
      </c>
      <c r="U16" s="375"/>
      <c r="V16" s="388">
        <f t="shared" si="10"/>
        <v>197383</v>
      </c>
      <c r="X16" s="374">
        <f t="shared" si="11"/>
        <v>1</v>
      </c>
      <c r="Y16" s="375"/>
      <c r="Z16" s="388">
        <f t="shared" si="12"/>
        <v>197383</v>
      </c>
      <c r="AB16" s="374">
        <f t="shared" si="13"/>
        <v>1</v>
      </c>
      <c r="AC16" s="375"/>
      <c r="AD16" s="388">
        <f t="shared" si="14"/>
        <v>197383</v>
      </c>
      <c r="AF16" s="374">
        <f t="shared" si="15"/>
        <v>1</v>
      </c>
      <c r="AG16" s="375"/>
      <c r="AH16" s="388">
        <f t="shared" si="16"/>
        <v>197383</v>
      </c>
      <c r="AJ16" s="374">
        <f t="shared" si="17"/>
        <v>1</v>
      </c>
      <c r="AK16" s="375"/>
      <c r="AL16" s="388">
        <f t="shared" si="18"/>
        <v>193838</v>
      </c>
      <c r="AN16" s="374">
        <f t="shared" si="19"/>
        <v>0.98203999331249403</v>
      </c>
      <c r="AO16" s="375"/>
    </row>
    <row r="17" spans="1:41" ht="10" customHeight="1" x14ac:dyDescent="0.25">
      <c r="A17" s="373" t="s">
        <v>380</v>
      </c>
      <c r="B17" s="388">
        <f t="shared" si="0"/>
        <v>189230</v>
      </c>
      <c r="D17" s="374">
        <f t="shared" si="1"/>
        <v>0.9586945177649544</v>
      </c>
      <c r="E17" s="375"/>
      <c r="F17" s="388">
        <f t="shared" si="2"/>
        <v>197383</v>
      </c>
      <c r="H17" s="374">
        <f t="shared" si="3"/>
        <v>1</v>
      </c>
      <c r="I17" s="375"/>
      <c r="J17" s="388">
        <f t="shared" si="4"/>
        <v>197383</v>
      </c>
      <c r="L17" s="374">
        <f t="shared" si="5"/>
        <v>1</v>
      </c>
      <c r="M17" s="375"/>
      <c r="N17" s="388">
        <f t="shared" si="6"/>
        <v>197383</v>
      </c>
      <c r="P17" s="374">
        <f t="shared" si="7"/>
        <v>1</v>
      </c>
      <c r="Q17" s="375"/>
      <c r="R17" s="388">
        <f t="shared" si="8"/>
        <v>197383</v>
      </c>
      <c r="T17" s="374">
        <f t="shared" si="9"/>
        <v>1</v>
      </c>
      <c r="U17" s="375"/>
      <c r="V17" s="388">
        <f t="shared" si="10"/>
        <v>197383</v>
      </c>
      <c r="X17" s="374">
        <f t="shared" si="11"/>
        <v>1</v>
      </c>
      <c r="Y17" s="375"/>
      <c r="Z17" s="388">
        <f t="shared" si="12"/>
        <v>197383</v>
      </c>
      <c r="AB17" s="374">
        <f t="shared" si="13"/>
        <v>1</v>
      </c>
      <c r="AC17" s="375"/>
      <c r="AD17" s="388">
        <f t="shared" si="14"/>
        <v>197383</v>
      </c>
      <c r="AF17" s="374">
        <f t="shared" si="15"/>
        <v>1</v>
      </c>
      <c r="AG17" s="375"/>
      <c r="AH17" s="388">
        <f t="shared" si="16"/>
        <v>197383</v>
      </c>
      <c r="AJ17" s="374">
        <f t="shared" si="17"/>
        <v>1</v>
      </c>
      <c r="AK17" s="375"/>
      <c r="AL17" s="388">
        <f t="shared" si="18"/>
        <v>197383</v>
      </c>
      <c r="AN17" s="374">
        <f t="shared" si="19"/>
        <v>1</v>
      </c>
      <c r="AO17" s="375"/>
    </row>
    <row r="18" spans="1:41" ht="10" customHeight="1" x14ac:dyDescent="0.25">
      <c r="A18" s="373" t="s">
        <v>381</v>
      </c>
      <c r="B18" s="388">
        <f t="shared" si="0"/>
        <v>193055</v>
      </c>
      <c r="D18" s="374">
        <f t="shared" si="1"/>
        <v>0.97807308633468937</v>
      </c>
      <c r="E18" s="375"/>
      <c r="F18" s="388">
        <f t="shared" si="2"/>
        <v>197383</v>
      </c>
      <c r="H18" s="374">
        <f t="shared" si="3"/>
        <v>1</v>
      </c>
      <c r="I18" s="375"/>
      <c r="J18" s="388">
        <f t="shared" si="4"/>
        <v>197383</v>
      </c>
      <c r="L18" s="374">
        <f t="shared" si="5"/>
        <v>1</v>
      </c>
      <c r="M18" s="375"/>
      <c r="N18" s="388">
        <f t="shared" si="6"/>
        <v>197383</v>
      </c>
      <c r="P18" s="374">
        <f t="shared" si="7"/>
        <v>1</v>
      </c>
      <c r="Q18" s="375"/>
      <c r="R18" s="388">
        <f t="shared" si="8"/>
        <v>197383</v>
      </c>
      <c r="T18" s="374">
        <f t="shared" si="9"/>
        <v>1</v>
      </c>
      <c r="U18" s="375"/>
      <c r="V18" s="388">
        <f t="shared" si="10"/>
        <v>197383</v>
      </c>
      <c r="X18" s="374">
        <f t="shared" si="11"/>
        <v>1</v>
      </c>
      <c r="Y18" s="375"/>
      <c r="Z18" s="388">
        <f t="shared" si="12"/>
        <v>197383</v>
      </c>
      <c r="AB18" s="374">
        <f t="shared" si="13"/>
        <v>1</v>
      </c>
      <c r="AC18" s="375"/>
      <c r="AD18" s="388">
        <f t="shared" si="14"/>
        <v>197383</v>
      </c>
      <c r="AF18" s="374">
        <f t="shared" si="15"/>
        <v>1</v>
      </c>
      <c r="AG18" s="375"/>
      <c r="AH18" s="388">
        <f t="shared" si="16"/>
        <v>195042</v>
      </c>
      <c r="AJ18" s="374">
        <f t="shared" si="17"/>
        <v>0.98813980940607848</v>
      </c>
      <c r="AK18" s="375"/>
      <c r="AL18" s="388">
        <f t="shared" si="18"/>
        <v>197383</v>
      </c>
      <c r="AN18" s="374">
        <f t="shared" si="19"/>
        <v>1</v>
      </c>
      <c r="AO18" s="375"/>
    </row>
    <row r="19" spans="1:41" ht="10" customHeight="1" x14ac:dyDescent="0.25">
      <c r="A19" s="373" t="s">
        <v>382</v>
      </c>
      <c r="B19" s="388">
        <f t="shared" si="0"/>
        <v>193055</v>
      </c>
      <c r="D19" s="374">
        <f t="shared" si="1"/>
        <v>0.97807308633468937</v>
      </c>
      <c r="E19" s="375"/>
      <c r="F19" s="388">
        <f t="shared" si="2"/>
        <v>197383</v>
      </c>
      <c r="H19" s="374">
        <f t="shared" si="3"/>
        <v>1</v>
      </c>
      <c r="I19" s="375"/>
      <c r="J19" s="388">
        <f t="shared" si="4"/>
        <v>197383</v>
      </c>
      <c r="L19" s="374">
        <f t="shared" si="5"/>
        <v>1</v>
      </c>
      <c r="M19" s="375"/>
      <c r="N19" s="388">
        <f t="shared" si="6"/>
        <v>197383</v>
      </c>
      <c r="P19" s="374">
        <f t="shared" si="7"/>
        <v>1</v>
      </c>
      <c r="Q19" s="375"/>
      <c r="R19" s="388">
        <f t="shared" si="8"/>
        <v>197383</v>
      </c>
      <c r="T19" s="374">
        <f t="shared" si="9"/>
        <v>1</v>
      </c>
      <c r="U19" s="375"/>
      <c r="V19" s="388">
        <f t="shared" si="10"/>
        <v>192715</v>
      </c>
      <c r="X19" s="374">
        <f t="shared" si="11"/>
        <v>0.97635054690626855</v>
      </c>
      <c r="Y19" s="375"/>
      <c r="Z19" s="388">
        <f t="shared" si="12"/>
        <v>197383</v>
      </c>
      <c r="AB19" s="374">
        <f t="shared" si="13"/>
        <v>1</v>
      </c>
      <c r="AC19" s="375"/>
      <c r="AD19" s="388">
        <f t="shared" si="14"/>
        <v>197383</v>
      </c>
      <c r="AF19" s="374">
        <f t="shared" si="15"/>
        <v>1</v>
      </c>
      <c r="AG19" s="375"/>
      <c r="AH19" s="388">
        <f t="shared" si="16"/>
        <v>197383</v>
      </c>
      <c r="AJ19" s="374">
        <f t="shared" si="17"/>
        <v>1</v>
      </c>
      <c r="AK19" s="375"/>
      <c r="AL19" s="388">
        <f t="shared" si="18"/>
        <v>195883</v>
      </c>
      <c r="AN19" s="374">
        <f t="shared" si="19"/>
        <v>0.99240056134520194</v>
      </c>
      <c r="AO19" s="375"/>
    </row>
    <row r="20" spans="1:41" ht="10" customHeight="1" x14ac:dyDescent="0.25">
      <c r="A20" s="373" t="s">
        <v>383</v>
      </c>
      <c r="B20" s="388">
        <f t="shared" si="0"/>
        <v>193055</v>
      </c>
      <c r="D20" s="374">
        <f t="shared" si="1"/>
        <v>0.97807308633468937</v>
      </c>
      <c r="E20" s="375"/>
      <c r="F20" s="388">
        <f t="shared" si="2"/>
        <v>197383</v>
      </c>
      <c r="H20" s="374">
        <f t="shared" si="3"/>
        <v>1</v>
      </c>
      <c r="I20" s="375"/>
      <c r="J20" s="388">
        <f t="shared" si="4"/>
        <v>197383</v>
      </c>
      <c r="L20" s="374">
        <f t="shared" si="5"/>
        <v>1</v>
      </c>
      <c r="M20" s="375"/>
      <c r="N20" s="388">
        <f t="shared" si="6"/>
        <v>197383</v>
      </c>
      <c r="P20" s="374">
        <f t="shared" si="7"/>
        <v>1</v>
      </c>
      <c r="Q20" s="375"/>
      <c r="R20" s="388">
        <f t="shared" si="8"/>
        <v>197383</v>
      </c>
      <c r="T20" s="374">
        <f t="shared" si="9"/>
        <v>1</v>
      </c>
      <c r="U20" s="375"/>
      <c r="V20" s="388">
        <f t="shared" si="10"/>
        <v>192715</v>
      </c>
      <c r="X20" s="374">
        <f t="shared" si="11"/>
        <v>0.97635054690626855</v>
      </c>
      <c r="Y20" s="375"/>
      <c r="Z20" s="388">
        <f t="shared" si="12"/>
        <v>197383</v>
      </c>
      <c r="AB20" s="374">
        <f t="shared" si="13"/>
        <v>1</v>
      </c>
      <c r="AC20" s="375"/>
      <c r="AD20" s="388">
        <f t="shared" si="14"/>
        <v>197383</v>
      </c>
      <c r="AF20" s="374">
        <f t="shared" si="15"/>
        <v>1</v>
      </c>
      <c r="AG20" s="375"/>
      <c r="AH20" s="388">
        <f t="shared" si="16"/>
        <v>197383</v>
      </c>
      <c r="AJ20" s="374">
        <f t="shared" si="17"/>
        <v>1</v>
      </c>
      <c r="AK20" s="375"/>
      <c r="AL20" s="388">
        <f t="shared" si="18"/>
        <v>197383</v>
      </c>
      <c r="AN20" s="374">
        <f t="shared" si="19"/>
        <v>1</v>
      </c>
      <c r="AO20" s="375"/>
    </row>
    <row r="21" spans="1:41" ht="10" customHeight="1" x14ac:dyDescent="0.25">
      <c r="A21" s="373" t="s">
        <v>384</v>
      </c>
      <c r="B21" s="388">
        <f t="shared" si="0"/>
        <v>193055</v>
      </c>
      <c r="D21" s="374">
        <f t="shared" si="1"/>
        <v>0.97807308633468937</v>
      </c>
      <c r="E21" s="375"/>
      <c r="F21" s="388">
        <f t="shared" si="2"/>
        <v>197383</v>
      </c>
      <c r="H21" s="374">
        <f t="shared" si="3"/>
        <v>1</v>
      </c>
      <c r="I21" s="375"/>
      <c r="J21" s="388">
        <f t="shared" si="4"/>
        <v>196176</v>
      </c>
      <c r="L21" s="374">
        <f t="shared" si="5"/>
        <v>0.99388498502910583</v>
      </c>
      <c r="M21" s="375"/>
      <c r="N21" s="388">
        <f t="shared" si="6"/>
        <v>197383</v>
      </c>
      <c r="P21" s="374">
        <f t="shared" si="7"/>
        <v>1</v>
      </c>
      <c r="Q21" s="375"/>
      <c r="R21" s="388">
        <f t="shared" si="8"/>
        <v>197383</v>
      </c>
      <c r="T21" s="374">
        <f t="shared" si="9"/>
        <v>1</v>
      </c>
      <c r="U21" s="375"/>
      <c r="V21" s="388">
        <f t="shared" si="10"/>
        <v>192715</v>
      </c>
      <c r="X21" s="374">
        <f t="shared" si="11"/>
        <v>0.97635054690626855</v>
      </c>
      <c r="Y21" s="375"/>
      <c r="Z21" s="388">
        <f t="shared" si="12"/>
        <v>197383</v>
      </c>
      <c r="AB21" s="374">
        <f t="shared" si="13"/>
        <v>1</v>
      </c>
      <c r="AC21" s="375"/>
      <c r="AD21" s="388">
        <f t="shared" si="14"/>
        <v>197383</v>
      </c>
      <c r="AF21" s="374">
        <f t="shared" si="15"/>
        <v>1</v>
      </c>
      <c r="AG21" s="375"/>
      <c r="AH21" s="388">
        <f t="shared" si="16"/>
        <v>197383</v>
      </c>
      <c r="AJ21" s="374">
        <f t="shared" si="17"/>
        <v>1</v>
      </c>
      <c r="AK21" s="375"/>
      <c r="AL21" s="388">
        <f t="shared" si="18"/>
        <v>192736</v>
      </c>
      <c r="AN21" s="374">
        <f t="shared" si="19"/>
        <v>0.97645693904743569</v>
      </c>
      <c r="AO21" s="375"/>
    </row>
    <row r="22" spans="1:41" ht="10" customHeight="1" x14ac:dyDescent="0.25">
      <c r="A22" s="373" t="s">
        <v>385</v>
      </c>
      <c r="B22" s="388">
        <f t="shared" si="0"/>
        <v>193055</v>
      </c>
      <c r="D22" s="374">
        <f t="shared" si="1"/>
        <v>0.97807308633468937</v>
      </c>
      <c r="E22" s="375"/>
      <c r="F22" s="388">
        <f t="shared" si="2"/>
        <v>197383</v>
      </c>
      <c r="H22" s="374">
        <f t="shared" si="3"/>
        <v>1</v>
      </c>
      <c r="I22" s="375"/>
      <c r="J22" s="388">
        <f t="shared" si="4"/>
        <v>197383</v>
      </c>
      <c r="L22" s="374">
        <f t="shared" si="5"/>
        <v>1</v>
      </c>
      <c r="M22" s="375"/>
      <c r="N22" s="388">
        <f t="shared" si="6"/>
        <v>197383</v>
      </c>
      <c r="P22" s="374">
        <f t="shared" si="7"/>
        <v>1</v>
      </c>
      <c r="Q22" s="375"/>
      <c r="R22" s="388">
        <f t="shared" si="8"/>
        <v>197383</v>
      </c>
      <c r="T22" s="374">
        <f t="shared" si="9"/>
        <v>1</v>
      </c>
      <c r="U22" s="375"/>
      <c r="V22" s="388">
        <f t="shared" si="10"/>
        <v>192715</v>
      </c>
      <c r="X22" s="374">
        <f t="shared" si="11"/>
        <v>0.97635054690626855</v>
      </c>
      <c r="Y22" s="375"/>
      <c r="Z22" s="388">
        <f t="shared" si="12"/>
        <v>197383</v>
      </c>
      <c r="AB22" s="374">
        <f t="shared" si="13"/>
        <v>1</v>
      </c>
      <c r="AC22" s="375"/>
      <c r="AD22" s="388">
        <f t="shared" si="14"/>
        <v>196093</v>
      </c>
      <c r="AF22" s="374">
        <f t="shared" si="15"/>
        <v>0.99346448275687371</v>
      </c>
      <c r="AG22" s="375"/>
      <c r="AH22" s="388">
        <f t="shared" si="16"/>
        <v>197383</v>
      </c>
      <c r="AJ22" s="374">
        <f t="shared" si="17"/>
        <v>1</v>
      </c>
      <c r="AK22" s="375"/>
      <c r="AL22" s="388">
        <f t="shared" si="18"/>
        <v>197383</v>
      </c>
      <c r="AN22" s="374">
        <f t="shared" si="19"/>
        <v>1</v>
      </c>
      <c r="AO22" s="375"/>
    </row>
    <row r="23" spans="1:41" ht="10" customHeight="1" x14ac:dyDescent="0.25">
      <c r="A23" s="376"/>
      <c r="B23" s="377"/>
      <c r="E23" s="375"/>
      <c r="F23" s="377"/>
      <c r="I23" s="375"/>
      <c r="J23" s="377"/>
      <c r="M23" s="375"/>
      <c r="N23" s="377"/>
      <c r="Q23" s="375"/>
      <c r="R23" s="377"/>
      <c r="U23" s="375"/>
      <c r="V23" s="377"/>
      <c r="Y23" s="375"/>
      <c r="Z23" s="377"/>
      <c r="AC23" s="375"/>
      <c r="AD23" s="377"/>
      <c r="AG23" s="375"/>
      <c r="AH23" s="377"/>
      <c r="AK23" s="375"/>
      <c r="AL23" s="377"/>
      <c r="AO23" s="375"/>
    </row>
    <row r="24" spans="1:41" ht="10" customHeight="1" x14ac:dyDescent="0.25">
      <c r="A24" s="373" t="s">
        <v>386</v>
      </c>
      <c r="B24" s="378">
        <f>AVERAGE(B11:B22)</f>
        <v>188567.83333333334</v>
      </c>
      <c r="D24" s="389">
        <f>B24/B26</f>
        <v>0.95533978778989748</v>
      </c>
      <c r="E24" s="375"/>
      <c r="F24" s="378">
        <f>AVERAGE(F11:F22)</f>
        <v>197383</v>
      </c>
      <c r="H24" s="389">
        <f>F24/F26</f>
        <v>1</v>
      </c>
      <c r="I24" s="375"/>
      <c r="J24" s="378">
        <f>AVERAGE(J11:J22)</f>
        <v>197282.41666666666</v>
      </c>
      <c r="L24" s="389">
        <f>J24/J26</f>
        <v>0.99949041541909212</v>
      </c>
      <c r="M24" s="375"/>
      <c r="N24" s="378">
        <f>AVERAGE(N11:N22)</f>
        <v>196779.33333333334</v>
      </c>
      <c r="P24" s="389">
        <f>N24/N26</f>
        <v>0.99694164813248021</v>
      </c>
      <c r="Q24" s="375"/>
      <c r="R24" s="378">
        <f>AVERAGE(R11:R22)</f>
        <v>197383</v>
      </c>
      <c r="T24" s="389">
        <f>R24/R26</f>
        <v>1</v>
      </c>
      <c r="U24" s="375"/>
      <c r="V24" s="378">
        <f>AVERAGE(V11:V22)</f>
        <v>195827</v>
      </c>
      <c r="X24" s="389">
        <f>V24/V26</f>
        <v>0.99211684896875618</v>
      </c>
      <c r="Y24" s="375"/>
      <c r="Z24" s="378">
        <f>AVERAGE(Z11:Z22)</f>
        <v>196558.5</v>
      </c>
      <c r="AB24" s="389">
        <f>Z24/Z26</f>
        <v>0.99582284188607939</v>
      </c>
      <c r="AC24" s="375"/>
      <c r="AD24" s="378">
        <f>AVERAGE(AD11:AD22)</f>
        <v>197275.5</v>
      </c>
      <c r="AF24" s="389">
        <f>AD24/AD26</f>
        <v>0.99945537356307279</v>
      </c>
      <c r="AG24" s="375"/>
      <c r="AH24" s="378">
        <f>AVERAGE(AH11:AH22)</f>
        <v>196584.25</v>
      </c>
      <c r="AJ24" s="389">
        <f>AH24/AH26</f>
        <v>0.99595329891632001</v>
      </c>
      <c r="AK24" s="375"/>
      <c r="AL24" s="378">
        <f>AVERAGE(AL11:AL22)</f>
        <v>196575.33333333334</v>
      </c>
      <c r="AN24" s="389">
        <f>AL24/AL26</f>
        <v>0.99590812447542765</v>
      </c>
      <c r="AO24" s="375"/>
    </row>
    <row r="25" spans="1:41" ht="10" customHeight="1" x14ac:dyDescent="0.25">
      <c r="A25" s="376"/>
      <c r="B25" s="377"/>
      <c r="E25" s="375"/>
      <c r="F25" s="377"/>
      <c r="I25" s="375"/>
      <c r="J25" s="377"/>
      <c r="M25" s="375"/>
      <c r="N25" s="377"/>
      <c r="Q25" s="375"/>
      <c r="R25" s="377"/>
      <c r="U25" s="375"/>
      <c r="V25" s="377"/>
      <c r="Y25" s="375"/>
      <c r="Z25" s="377"/>
      <c r="AC25" s="375"/>
      <c r="AD25" s="377"/>
      <c r="AG25" s="375"/>
      <c r="AH25" s="377"/>
      <c r="AK25" s="375"/>
      <c r="AL25" s="377"/>
      <c r="AO25" s="375"/>
    </row>
    <row r="26" spans="1:41" ht="10" customHeight="1" x14ac:dyDescent="0.25">
      <c r="A26" s="379" t="s">
        <v>387</v>
      </c>
      <c r="B26" s="380">
        <f>B51+B76+B101+B126+B151+B176</f>
        <v>197383</v>
      </c>
      <c r="C26" s="381"/>
      <c r="D26" s="381"/>
      <c r="E26" s="382"/>
      <c r="F26" s="380">
        <f>F51+F76+F101+F126+F151+F176</f>
        <v>197383</v>
      </c>
      <c r="G26" s="381"/>
      <c r="H26" s="381"/>
      <c r="I26" s="382"/>
      <c r="J26" s="380">
        <f>J51+J76+J101+J126+J151+J176</f>
        <v>197383</v>
      </c>
      <c r="K26" s="381"/>
      <c r="L26" s="381"/>
      <c r="M26" s="382"/>
      <c r="N26" s="380">
        <f>N51+N76+N101+N126+N151+N176</f>
        <v>197383</v>
      </c>
      <c r="O26" s="381"/>
      <c r="P26" s="381"/>
      <c r="Q26" s="382"/>
      <c r="R26" s="380">
        <f>R51+R76+R101+R126+R151+R176</f>
        <v>197383</v>
      </c>
      <c r="S26" s="381"/>
      <c r="T26" s="381"/>
      <c r="U26" s="382"/>
      <c r="V26" s="380">
        <f>V51+V76+V101+V126+V151+V176</f>
        <v>197383</v>
      </c>
      <c r="W26" s="381"/>
      <c r="X26" s="381"/>
      <c r="Y26" s="382"/>
      <c r="Z26" s="380">
        <f>Z51+Z76+Z101+Z126+Z151+Z176</f>
        <v>197383</v>
      </c>
      <c r="AA26" s="381"/>
      <c r="AB26" s="381"/>
      <c r="AC26" s="382"/>
      <c r="AD26" s="380">
        <f>AD51+AD76+AD101+AD126+AD151+AD176</f>
        <v>197383</v>
      </c>
      <c r="AE26" s="381"/>
      <c r="AF26" s="381"/>
      <c r="AG26" s="382"/>
      <c r="AH26" s="380">
        <f>AH51+AH76+AH101+AH126+AH151+AH176</f>
        <v>197383</v>
      </c>
      <c r="AI26" s="381"/>
      <c r="AJ26" s="381"/>
      <c r="AK26" s="382"/>
      <c r="AL26" s="380">
        <f>AL51+AL76+AL101+AL126+AL151+AL176</f>
        <v>197383</v>
      </c>
      <c r="AM26" s="381"/>
      <c r="AN26" s="381"/>
      <c r="AO26" s="382"/>
    </row>
    <row r="28" spans="1:41" ht="10" customHeight="1" x14ac:dyDescent="0.25">
      <c r="A28" s="525" t="s">
        <v>388</v>
      </c>
      <c r="B28" s="525"/>
      <c r="C28" s="525"/>
      <c r="D28" s="525"/>
      <c r="E28" s="525"/>
      <c r="F28" s="525"/>
      <c r="G28" s="525"/>
      <c r="H28" s="525"/>
      <c r="I28" s="525"/>
      <c r="J28" s="525"/>
      <c r="K28" s="525"/>
      <c r="L28" s="525"/>
      <c r="M28" s="525"/>
      <c r="N28" s="525"/>
      <c r="O28" s="525"/>
      <c r="P28" s="525"/>
      <c r="Q28" s="525"/>
      <c r="R28" s="525"/>
    </row>
    <row r="29" spans="1:41" ht="10" customHeight="1" x14ac:dyDescent="0.25">
      <c r="A29" s="525" t="s">
        <v>297</v>
      </c>
      <c r="B29" s="525"/>
      <c r="C29" s="525"/>
      <c r="D29" s="525"/>
      <c r="E29" s="525"/>
      <c r="F29" s="525"/>
      <c r="G29" s="525"/>
      <c r="H29" s="525"/>
      <c r="I29" s="525"/>
      <c r="J29" s="525"/>
      <c r="K29" s="525"/>
      <c r="L29" s="525"/>
      <c r="M29" s="525"/>
      <c r="N29" s="525"/>
      <c r="O29" s="525"/>
      <c r="P29" s="525"/>
      <c r="Q29" s="525"/>
      <c r="R29" s="525"/>
    </row>
    <row r="30" spans="1:41" ht="10" customHeight="1" x14ac:dyDescent="0.25">
      <c r="A30" s="525" t="s">
        <v>389</v>
      </c>
      <c r="B30" s="525"/>
      <c r="C30" s="525"/>
      <c r="D30" s="525"/>
      <c r="E30" s="525"/>
      <c r="F30" s="525"/>
      <c r="G30" s="525"/>
      <c r="H30" s="525"/>
      <c r="I30" s="525"/>
      <c r="J30" s="525"/>
      <c r="K30" s="525"/>
      <c r="L30" s="525"/>
      <c r="M30" s="525"/>
      <c r="N30" s="525"/>
      <c r="O30" s="525"/>
      <c r="P30" s="525"/>
      <c r="Q30" s="525"/>
      <c r="R30" s="525"/>
    </row>
    <row r="32" spans="1:41" ht="10" customHeight="1" x14ac:dyDescent="0.25">
      <c r="A32" s="359"/>
      <c r="B32" s="360" t="s">
        <v>360</v>
      </c>
      <c r="C32" s="384" t="s">
        <v>361</v>
      </c>
      <c r="D32" s="384" t="s">
        <v>360</v>
      </c>
      <c r="E32" s="385" t="s">
        <v>360</v>
      </c>
      <c r="F32" s="386" t="s">
        <v>360</v>
      </c>
      <c r="G32" s="384" t="s">
        <v>362</v>
      </c>
      <c r="H32" s="384" t="s">
        <v>360</v>
      </c>
      <c r="I32" s="385" t="s">
        <v>360</v>
      </c>
      <c r="J32" s="386" t="s">
        <v>360</v>
      </c>
      <c r="K32" s="384" t="s">
        <v>363</v>
      </c>
      <c r="L32" s="384" t="s">
        <v>360</v>
      </c>
      <c r="M32" s="385" t="s">
        <v>360</v>
      </c>
      <c r="N32" s="386" t="s">
        <v>360</v>
      </c>
      <c r="O32" s="384" t="s">
        <v>364</v>
      </c>
      <c r="P32" s="384" t="s">
        <v>360</v>
      </c>
      <c r="Q32" s="385" t="s">
        <v>360</v>
      </c>
      <c r="R32" s="386" t="s">
        <v>360</v>
      </c>
      <c r="S32" s="384" t="s">
        <v>365</v>
      </c>
      <c r="T32" s="384" t="s">
        <v>360</v>
      </c>
      <c r="U32" s="385" t="s">
        <v>360</v>
      </c>
      <c r="V32" s="386" t="s">
        <v>360</v>
      </c>
      <c r="W32" s="384" t="s">
        <v>366</v>
      </c>
      <c r="X32" s="384" t="s">
        <v>360</v>
      </c>
      <c r="Y32" s="385" t="s">
        <v>360</v>
      </c>
      <c r="Z32" s="386" t="s">
        <v>360</v>
      </c>
      <c r="AA32" s="384" t="s">
        <v>367</v>
      </c>
      <c r="AB32" s="384" t="s">
        <v>360</v>
      </c>
      <c r="AC32" s="385" t="s">
        <v>360</v>
      </c>
      <c r="AD32" s="386" t="s">
        <v>360</v>
      </c>
      <c r="AE32" s="384" t="s">
        <v>368</v>
      </c>
      <c r="AF32" s="384" t="s">
        <v>360</v>
      </c>
      <c r="AG32" s="385" t="s">
        <v>360</v>
      </c>
      <c r="AH32" s="386" t="s">
        <v>360</v>
      </c>
      <c r="AI32" s="384" t="s">
        <v>369</v>
      </c>
      <c r="AJ32" s="384" t="s">
        <v>360</v>
      </c>
      <c r="AK32" s="385" t="s">
        <v>360</v>
      </c>
      <c r="AL32" s="386" t="s">
        <v>360</v>
      </c>
      <c r="AM32" s="384" t="s">
        <v>370</v>
      </c>
      <c r="AN32" s="384" t="s">
        <v>360</v>
      </c>
      <c r="AO32" s="385" t="s">
        <v>360</v>
      </c>
    </row>
    <row r="33" spans="1:41" ht="10" customHeight="1" x14ac:dyDescent="0.25">
      <c r="A33" s="383" t="s">
        <v>371</v>
      </c>
      <c r="B33" s="361" t="s">
        <v>360</v>
      </c>
      <c r="C33" s="362" t="s">
        <v>372</v>
      </c>
      <c r="D33" s="362" t="s">
        <v>360</v>
      </c>
      <c r="E33" s="363" t="s">
        <v>360</v>
      </c>
      <c r="F33" s="361" t="s">
        <v>360</v>
      </c>
      <c r="G33" s="362" t="s">
        <v>372</v>
      </c>
      <c r="H33" s="362" t="s">
        <v>360</v>
      </c>
      <c r="I33" s="363" t="s">
        <v>360</v>
      </c>
      <c r="J33" s="361" t="s">
        <v>360</v>
      </c>
      <c r="K33" s="362" t="s">
        <v>372</v>
      </c>
      <c r="L33" s="362" t="s">
        <v>360</v>
      </c>
      <c r="M33" s="363" t="s">
        <v>360</v>
      </c>
      <c r="N33" s="361" t="s">
        <v>360</v>
      </c>
      <c r="O33" s="362" t="s">
        <v>372</v>
      </c>
      <c r="P33" s="362" t="s">
        <v>360</v>
      </c>
      <c r="Q33" s="363" t="s">
        <v>360</v>
      </c>
      <c r="R33" s="361" t="s">
        <v>360</v>
      </c>
      <c r="S33" s="362" t="s">
        <v>372</v>
      </c>
      <c r="T33" s="362" t="s">
        <v>360</v>
      </c>
      <c r="U33" s="363" t="s">
        <v>360</v>
      </c>
      <c r="V33" s="361" t="s">
        <v>360</v>
      </c>
      <c r="W33" s="362" t="s">
        <v>372</v>
      </c>
      <c r="X33" s="362" t="s">
        <v>360</v>
      </c>
      <c r="Y33" s="363" t="s">
        <v>360</v>
      </c>
      <c r="Z33" s="361" t="s">
        <v>360</v>
      </c>
      <c r="AA33" s="362" t="s">
        <v>372</v>
      </c>
      <c r="AB33" s="362" t="s">
        <v>360</v>
      </c>
      <c r="AC33" s="363" t="s">
        <v>360</v>
      </c>
      <c r="AD33" s="361" t="s">
        <v>360</v>
      </c>
      <c r="AE33" s="362" t="s">
        <v>372</v>
      </c>
      <c r="AF33" s="362" t="s">
        <v>360</v>
      </c>
      <c r="AG33" s="363" t="s">
        <v>360</v>
      </c>
      <c r="AH33" s="361" t="s">
        <v>360</v>
      </c>
      <c r="AI33" s="362" t="s">
        <v>372</v>
      </c>
      <c r="AJ33" s="362" t="s">
        <v>360</v>
      </c>
      <c r="AK33" s="363" t="s">
        <v>360</v>
      </c>
      <c r="AL33" s="361" t="s">
        <v>360</v>
      </c>
      <c r="AM33" s="362" t="s">
        <v>372</v>
      </c>
      <c r="AN33" s="362" t="s">
        <v>360</v>
      </c>
      <c r="AO33" s="363" t="s">
        <v>360</v>
      </c>
    </row>
    <row r="34" spans="1:41" ht="10" customHeight="1" x14ac:dyDescent="0.25">
      <c r="A34" s="364"/>
      <c r="B34" s="365" t="s">
        <v>373</v>
      </c>
      <c r="C34" s="366"/>
      <c r="D34" s="367" t="s">
        <v>183</v>
      </c>
      <c r="E34" s="368"/>
      <c r="F34" s="365" t="s">
        <v>373</v>
      </c>
      <c r="G34" s="366"/>
      <c r="H34" s="367" t="s">
        <v>183</v>
      </c>
      <c r="I34" s="368"/>
      <c r="J34" s="365" t="s">
        <v>373</v>
      </c>
      <c r="K34" s="366"/>
      <c r="L34" s="367" t="s">
        <v>183</v>
      </c>
      <c r="M34" s="368"/>
      <c r="N34" s="365" t="s">
        <v>373</v>
      </c>
      <c r="O34" s="366"/>
      <c r="P34" s="367" t="s">
        <v>183</v>
      </c>
      <c r="Q34" s="368"/>
      <c r="R34" s="365" t="s">
        <v>373</v>
      </c>
      <c r="S34" s="366"/>
      <c r="T34" s="367" t="s">
        <v>183</v>
      </c>
      <c r="U34" s="368"/>
      <c r="V34" s="365" t="s">
        <v>373</v>
      </c>
      <c r="W34" s="366"/>
      <c r="X34" s="367" t="s">
        <v>183</v>
      </c>
      <c r="Y34" s="368"/>
      <c r="Z34" s="365" t="s">
        <v>373</v>
      </c>
      <c r="AA34" s="366"/>
      <c r="AB34" s="367" t="s">
        <v>183</v>
      </c>
      <c r="AC34" s="368"/>
      <c r="AD34" s="365" t="s">
        <v>373</v>
      </c>
      <c r="AE34" s="366"/>
      <c r="AF34" s="367" t="s">
        <v>183</v>
      </c>
      <c r="AG34" s="368"/>
      <c r="AH34" s="365" t="s">
        <v>373</v>
      </c>
      <c r="AI34" s="366"/>
      <c r="AJ34" s="367" t="s">
        <v>183</v>
      </c>
      <c r="AK34" s="368"/>
      <c r="AL34" s="365" t="s">
        <v>373</v>
      </c>
      <c r="AM34" s="366"/>
      <c r="AN34" s="367" t="s">
        <v>183</v>
      </c>
      <c r="AO34" s="368"/>
    </row>
    <row r="35" spans="1:41" ht="10" customHeight="1" x14ac:dyDescent="0.25">
      <c r="A35" s="369"/>
      <c r="B35" s="370"/>
      <c r="C35" s="371"/>
      <c r="D35" s="371"/>
      <c r="E35" s="372"/>
      <c r="F35" s="370"/>
      <c r="G35" s="371"/>
      <c r="H35" s="371"/>
      <c r="I35" s="372"/>
      <c r="J35" s="370"/>
      <c r="K35" s="371"/>
      <c r="L35" s="371"/>
      <c r="M35" s="372"/>
      <c r="N35" s="370"/>
      <c r="O35" s="371"/>
      <c r="P35" s="371"/>
      <c r="Q35" s="372"/>
      <c r="R35" s="370"/>
      <c r="S35" s="371"/>
      <c r="T35" s="371"/>
      <c r="U35" s="372"/>
      <c r="V35" s="370"/>
      <c r="W35" s="371"/>
      <c r="X35" s="371"/>
      <c r="Y35" s="372"/>
      <c r="Z35" s="370"/>
      <c r="AA35" s="371"/>
      <c r="AB35" s="371"/>
      <c r="AC35" s="372"/>
      <c r="AD35" s="370"/>
      <c r="AE35" s="371"/>
      <c r="AF35" s="371"/>
      <c r="AG35" s="372"/>
      <c r="AH35" s="370"/>
      <c r="AI35" s="371"/>
      <c r="AJ35" s="371"/>
      <c r="AK35" s="372"/>
      <c r="AL35" s="370"/>
      <c r="AM35" s="371"/>
      <c r="AN35" s="371"/>
      <c r="AO35" s="372"/>
    </row>
    <row r="36" spans="1:41" ht="10" customHeight="1" x14ac:dyDescent="0.25">
      <c r="A36" s="373" t="s">
        <v>374</v>
      </c>
      <c r="B36" s="408">
        <v>28493</v>
      </c>
      <c r="D36" s="374">
        <f>B36/$B$51</f>
        <v>0.97109846290174162</v>
      </c>
      <c r="E36" s="375"/>
      <c r="F36" s="408">
        <v>29341</v>
      </c>
      <c r="H36" s="374">
        <f>F36/$B$51</f>
        <v>1</v>
      </c>
      <c r="I36" s="375"/>
      <c r="J36" s="408">
        <v>29341</v>
      </c>
      <c r="L36" s="374">
        <f>J36/$B$51</f>
        <v>1</v>
      </c>
      <c r="M36" s="375"/>
      <c r="N36" s="408">
        <v>29341</v>
      </c>
      <c r="P36" s="374">
        <f>N36/$B$51</f>
        <v>1</v>
      </c>
      <c r="Q36" s="375"/>
      <c r="R36" s="408">
        <v>29341</v>
      </c>
      <c r="T36" s="374">
        <f>R36/$B$51</f>
        <v>1</v>
      </c>
      <c r="U36" s="375"/>
      <c r="V36" s="408">
        <v>29341</v>
      </c>
      <c r="X36" s="374">
        <f>V36/$B$51</f>
        <v>1</v>
      </c>
      <c r="Y36" s="375"/>
      <c r="Z36" s="408">
        <v>24115</v>
      </c>
      <c r="AB36" s="374">
        <f>Z36/$B$51</f>
        <v>0.82188746123172352</v>
      </c>
      <c r="AC36" s="375"/>
      <c r="AD36" s="408">
        <v>29341</v>
      </c>
      <c r="AF36" s="374">
        <f>AD36/$B$51</f>
        <v>1</v>
      </c>
      <c r="AG36" s="375"/>
      <c r="AH36" s="408">
        <v>29341</v>
      </c>
      <c r="AJ36" s="374">
        <f>AH36/$B$51</f>
        <v>1</v>
      </c>
      <c r="AK36" s="375"/>
      <c r="AL36" s="408">
        <v>29341</v>
      </c>
      <c r="AN36" s="374">
        <f>AL36/$B$51</f>
        <v>1</v>
      </c>
      <c r="AO36" s="375"/>
    </row>
    <row r="37" spans="1:41" ht="10" customHeight="1" x14ac:dyDescent="0.25">
      <c r="A37" s="373" t="s">
        <v>375</v>
      </c>
      <c r="B37" s="408">
        <v>28493</v>
      </c>
      <c r="D37" s="374">
        <f t="shared" ref="D37:D47" si="20">B37/$B$51</f>
        <v>0.97109846290174162</v>
      </c>
      <c r="E37" s="375"/>
      <c r="F37" s="408">
        <v>29341</v>
      </c>
      <c r="H37" s="374">
        <f t="shared" ref="H37:H47" si="21">F37/$B$51</f>
        <v>1</v>
      </c>
      <c r="I37" s="375"/>
      <c r="J37" s="408">
        <v>29341</v>
      </c>
      <c r="L37" s="374">
        <f t="shared" ref="L37:L47" si="22">J37/$B$51</f>
        <v>1</v>
      </c>
      <c r="M37" s="375"/>
      <c r="N37" s="408">
        <v>29341</v>
      </c>
      <c r="P37" s="374">
        <f t="shared" ref="P37:P47" si="23">N37/$B$51</f>
        <v>1</v>
      </c>
      <c r="Q37" s="375"/>
      <c r="R37" s="408">
        <v>29341</v>
      </c>
      <c r="T37" s="374">
        <f t="shared" ref="T37:T47" si="24">R37/$B$51</f>
        <v>1</v>
      </c>
      <c r="U37" s="375"/>
      <c r="V37" s="408">
        <v>29341</v>
      </c>
      <c r="X37" s="374">
        <f t="shared" ref="X37:X47" si="25">V37/$B$51</f>
        <v>1</v>
      </c>
      <c r="Y37" s="375"/>
      <c r="Z37" s="408">
        <v>24673</v>
      </c>
      <c r="AB37" s="374">
        <f t="shared" ref="AB37:AB47" si="26">Z37/$B$51</f>
        <v>0.84090521795439832</v>
      </c>
      <c r="AC37" s="375"/>
      <c r="AD37" s="408">
        <v>29341</v>
      </c>
      <c r="AF37" s="374">
        <f t="shared" ref="AF37:AF47" si="27">AD37/$B$51</f>
        <v>1</v>
      </c>
      <c r="AG37" s="375"/>
      <c r="AH37" s="408">
        <v>29341</v>
      </c>
      <c r="AJ37" s="374">
        <f t="shared" ref="AJ37:AJ47" si="28">AH37/$B$51</f>
        <v>1</v>
      </c>
      <c r="AK37" s="375"/>
      <c r="AL37" s="408">
        <v>29341</v>
      </c>
      <c r="AN37" s="374">
        <f t="shared" ref="AN37:AN47" si="29">AL37/$B$51</f>
        <v>1</v>
      </c>
      <c r="AO37" s="375"/>
    </row>
    <row r="38" spans="1:41" ht="10" customHeight="1" x14ac:dyDescent="0.25">
      <c r="A38" s="373" t="s">
        <v>376</v>
      </c>
      <c r="B38" s="408">
        <v>28648</v>
      </c>
      <c r="D38" s="374">
        <f t="shared" si="20"/>
        <v>0.97638117310248462</v>
      </c>
      <c r="E38" s="375"/>
      <c r="F38" s="408">
        <v>29341</v>
      </c>
      <c r="H38" s="374">
        <f t="shared" si="21"/>
        <v>1</v>
      </c>
      <c r="I38" s="375"/>
      <c r="J38" s="408">
        <v>29341</v>
      </c>
      <c r="L38" s="374">
        <f t="shared" si="22"/>
        <v>1</v>
      </c>
      <c r="M38" s="375"/>
      <c r="N38" s="408">
        <v>22097</v>
      </c>
      <c r="P38" s="374">
        <f t="shared" si="23"/>
        <v>0.7531099826181793</v>
      </c>
      <c r="Q38" s="375"/>
      <c r="R38" s="408">
        <v>29341</v>
      </c>
      <c r="T38" s="374">
        <f t="shared" si="24"/>
        <v>1</v>
      </c>
      <c r="U38" s="375"/>
      <c r="V38" s="408">
        <v>29341</v>
      </c>
      <c r="X38" s="374">
        <f t="shared" si="25"/>
        <v>1</v>
      </c>
      <c r="Y38" s="375"/>
      <c r="Z38" s="408">
        <v>29341</v>
      </c>
      <c r="AB38" s="374">
        <f t="shared" si="26"/>
        <v>1</v>
      </c>
      <c r="AC38" s="375"/>
      <c r="AD38" s="408">
        <v>29341</v>
      </c>
      <c r="AF38" s="374">
        <f t="shared" si="27"/>
        <v>1</v>
      </c>
      <c r="AG38" s="375"/>
      <c r="AH38" s="408">
        <v>29341</v>
      </c>
      <c r="AJ38" s="374">
        <f t="shared" si="28"/>
        <v>1</v>
      </c>
      <c r="AK38" s="375"/>
      <c r="AL38" s="408">
        <v>29341</v>
      </c>
      <c r="AN38" s="374">
        <f t="shared" si="29"/>
        <v>1</v>
      </c>
      <c r="AO38" s="375"/>
    </row>
    <row r="39" spans="1:41" ht="10" customHeight="1" x14ac:dyDescent="0.25">
      <c r="A39" s="373" t="s">
        <v>377</v>
      </c>
      <c r="B39" s="408">
        <v>28783</v>
      </c>
      <c r="D39" s="374">
        <f t="shared" si="20"/>
        <v>0.98098224327732519</v>
      </c>
      <c r="E39" s="375"/>
      <c r="F39" s="408">
        <v>29341</v>
      </c>
      <c r="H39" s="374">
        <f t="shared" si="21"/>
        <v>1</v>
      </c>
      <c r="I39" s="375"/>
      <c r="J39" s="408">
        <v>29341</v>
      </c>
      <c r="L39" s="374">
        <f t="shared" si="22"/>
        <v>1</v>
      </c>
      <c r="M39" s="375"/>
      <c r="N39" s="408">
        <v>29341</v>
      </c>
      <c r="P39" s="374">
        <f t="shared" si="23"/>
        <v>1</v>
      </c>
      <c r="Q39" s="375"/>
      <c r="R39" s="408">
        <v>29341</v>
      </c>
      <c r="T39" s="374">
        <f t="shared" si="24"/>
        <v>1</v>
      </c>
      <c r="U39" s="375"/>
      <c r="V39" s="408">
        <v>29341</v>
      </c>
      <c r="X39" s="374">
        <f t="shared" si="25"/>
        <v>1</v>
      </c>
      <c r="Y39" s="375"/>
      <c r="Z39" s="408">
        <v>29341</v>
      </c>
      <c r="AB39" s="374">
        <f t="shared" si="26"/>
        <v>1</v>
      </c>
      <c r="AC39" s="375"/>
      <c r="AD39" s="408">
        <v>29341</v>
      </c>
      <c r="AF39" s="374">
        <f t="shared" si="27"/>
        <v>1</v>
      </c>
      <c r="AG39" s="375"/>
      <c r="AH39" s="408">
        <v>22097</v>
      </c>
      <c r="AJ39" s="374">
        <f t="shared" si="28"/>
        <v>0.7531099826181793</v>
      </c>
      <c r="AK39" s="375"/>
      <c r="AL39" s="408">
        <v>29341</v>
      </c>
      <c r="AN39" s="374">
        <f t="shared" si="29"/>
        <v>1</v>
      </c>
      <c r="AO39" s="375"/>
    </row>
    <row r="40" spans="1:41" ht="10" customHeight="1" x14ac:dyDescent="0.25">
      <c r="A40" s="373" t="s">
        <v>378</v>
      </c>
      <c r="B40" s="408">
        <v>28783</v>
      </c>
      <c r="D40" s="374">
        <f t="shared" si="20"/>
        <v>0.98098224327732519</v>
      </c>
      <c r="E40" s="375"/>
      <c r="F40" s="408">
        <v>29341</v>
      </c>
      <c r="H40" s="374">
        <f t="shared" si="21"/>
        <v>1</v>
      </c>
      <c r="I40" s="375"/>
      <c r="J40" s="408">
        <v>29341</v>
      </c>
      <c r="L40" s="374">
        <f t="shared" si="22"/>
        <v>1</v>
      </c>
      <c r="M40" s="375"/>
      <c r="N40" s="408">
        <v>29341</v>
      </c>
      <c r="P40" s="374">
        <f t="shared" si="23"/>
        <v>1</v>
      </c>
      <c r="Q40" s="375"/>
      <c r="R40" s="408">
        <v>29341</v>
      </c>
      <c r="T40" s="374">
        <f t="shared" si="24"/>
        <v>1</v>
      </c>
      <c r="U40" s="375"/>
      <c r="V40" s="408">
        <v>29341</v>
      </c>
      <c r="X40" s="374">
        <f t="shared" si="25"/>
        <v>1</v>
      </c>
      <c r="Y40" s="375"/>
      <c r="Z40" s="408">
        <v>29341</v>
      </c>
      <c r="AB40" s="374">
        <f t="shared" si="26"/>
        <v>1</v>
      </c>
      <c r="AC40" s="375"/>
      <c r="AD40" s="408">
        <v>29341</v>
      </c>
      <c r="AF40" s="374">
        <f t="shared" si="27"/>
        <v>1</v>
      </c>
      <c r="AG40" s="375"/>
      <c r="AH40" s="408">
        <v>29341</v>
      </c>
      <c r="AJ40" s="374">
        <f t="shared" si="28"/>
        <v>1</v>
      </c>
      <c r="AK40" s="375"/>
      <c r="AL40" s="408">
        <v>29341</v>
      </c>
      <c r="AN40" s="374">
        <f t="shared" si="29"/>
        <v>1</v>
      </c>
      <c r="AO40" s="375"/>
    </row>
    <row r="41" spans="1:41" ht="10" customHeight="1" x14ac:dyDescent="0.25">
      <c r="A41" s="373" t="s">
        <v>379</v>
      </c>
      <c r="B41" s="408">
        <v>28783</v>
      </c>
      <c r="D41" s="374">
        <f t="shared" si="20"/>
        <v>0.98098224327732519</v>
      </c>
      <c r="E41" s="375"/>
      <c r="F41" s="408">
        <v>29341</v>
      </c>
      <c r="H41" s="374">
        <f t="shared" si="21"/>
        <v>1</v>
      </c>
      <c r="I41" s="375"/>
      <c r="J41" s="408">
        <v>29341</v>
      </c>
      <c r="L41" s="374">
        <f t="shared" si="22"/>
        <v>1</v>
      </c>
      <c r="M41" s="375"/>
      <c r="N41" s="408">
        <v>29341</v>
      </c>
      <c r="P41" s="374">
        <f t="shared" si="23"/>
        <v>1</v>
      </c>
      <c r="Q41" s="375"/>
      <c r="R41" s="408">
        <v>29341</v>
      </c>
      <c r="T41" s="374">
        <f t="shared" si="24"/>
        <v>1</v>
      </c>
      <c r="U41" s="375"/>
      <c r="V41" s="408">
        <v>29341</v>
      </c>
      <c r="X41" s="374">
        <f t="shared" si="25"/>
        <v>1</v>
      </c>
      <c r="Y41" s="375"/>
      <c r="Z41" s="408">
        <v>29341</v>
      </c>
      <c r="AB41" s="374">
        <f t="shared" si="26"/>
        <v>1</v>
      </c>
      <c r="AC41" s="375"/>
      <c r="AD41" s="408">
        <v>29341</v>
      </c>
      <c r="AF41" s="374">
        <f t="shared" si="27"/>
        <v>1</v>
      </c>
      <c r="AG41" s="375"/>
      <c r="AH41" s="408">
        <v>29341</v>
      </c>
      <c r="AJ41" s="374">
        <f t="shared" si="28"/>
        <v>1</v>
      </c>
      <c r="AK41" s="375"/>
      <c r="AL41" s="408">
        <v>25796</v>
      </c>
      <c r="AN41" s="374">
        <f t="shared" si="29"/>
        <v>0.87917930540881362</v>
      </c>
      <c r="AO41" s="375"/>
    </row>
    <row r="42" spans="1:41" ht="10" customHeight="1" x14ac:dyDescent="0.25">
      <c r="A42" s="373" t="s">
        <v>380</v>
      </c>
      <c r="B42" s="408">
        <v>28783</v>
      </c>
      <c r="D42" s="374">
        <f t="shared" si="20"/>
        <v>0.98098224327732519</v>
      </c>
      <c r="E42" s="375"/>
      <c r="F42" s="408">
        <v>29341</v>
      </c>
      <c r="H42" s="374">
        <f t="shared" si="21"/>
        <v>1</v>
      </c>
      <c r="I42" s="375"/>
      <c r="J42" s="408">
        <v>29341</v>
      </c>
      <c r="L42" s="374">
        <f t="shared" si="22"/>
        <v>1</v>
      </c>
      <c r="M42" s="375"/>
      <c r="N42" s="408">
        <v>29341</v>
      </c>
      <c r="P42" s="374">
        <f t="shared" si="23"/>
        <v>1</v>
      </c>
      <c r="Q42" s="375"/>
      <c r="R42" s="408">
        <v>29341</v>
      </c>
      <c r="T42" s="374">
        <f t="shared" si="24"/>
        <v>1</v>
      </c>
      <c r="U42" s="375"/>
      <c r="V42" s="408">
        <v>29341</v>
      </c>
      <c r="X42" s="374">
        <f t="shared" si="25"/>
        <v>1</v>
      </c>
      <c r="Y42" s="375"/>
      <c r="Z42" s="408">
        <v>29341</v>
      </c>
      <c r="AB42" s="374">
        <f t="shared" si="26"/>
        <v>1</v>
      </c>
      <c r="AC42" s="375"/>
      <c r="AD42" s="408">
        <v>29341</v>
      </c>
      <c r="AF42" s="374">
        <f t="shared" si="27"/>
        <v>1</v>
      </c>
      <c r="AG42" s="375"/>
      <c r="AH42" s="408">
        <v>29341</v>
      </c>
      <c r="AJ42" s="374">
        <f t="shared" si="28"/>
        <v>1</v>
      </c>
      <c r="AK42" s="375"/>
      <c r="AL42" s="408">
        <v>29341</v>
      </c>
      <c r="AN42" s="374">
        <f t="shared" si="29"/>
        <v>1</v>
      </c>
      <c r="AO42" s="375"/>
    </row>
    <row r="43" spans="1:41" ht="10" customHeight="1" x14ac:dyDescent="0.25">
      <c r="A43" s="373" t="s">
        <v>381</v>
      </c>
      <c r="B43" s="408">
        <v>28783</v>
      </c>
      <c r="D43" s="374">
        <f t="shared" si="20"/>
        <v>0.98098224327732519</v>
      </c>
      <c r="E43" s="375"/>
      <c r="F43" s="408">
        <v>29341</v>
      </c>
      <c r="H43" s="374">
        <f t="shared" si="21"/>
        <v>1</v>
      </c>
      <c r="I43" s="375"/>
      <c r="J43" s="408">
        <v>29341</v>
      </c>
      <c r="L43" s="374">
        <f t="shared" si="22"/>
        <v>1</v>
      </c>
      <c r="M43" s="375"/>
      <c r="N43" s="408">
        <v>29341</v>
      </c>
      <c r="P43" s="374">
        <f t="shared" si="23"/>
        <v>1</v>
      </c>
      <c r="Q43" s="375"/>
      <c r="R43" s="408">
        <v>29341</v>
      </c>
      <c r="T43" s="374">
        <f t="shared" si="24"/>
        <v>1</v>
      </c>
      <c r="U43" s="375"/>
      <c r="V43" s="408">
        <v>29341</v>
      </c>
      <c r="X43" s="374">
        <f t="shared" si="25"/>
        <v>1</v>
      </c>
      <c r="Y43" s="375"/>
      <c r="Z43" s="408">
        <v>29341</v>
      </c>
      <c r="AB43" s="374">
        <f t="shared" si="26"/>
        <v>1</v>
      </c>
      <c r="AC43" s="375"/>
      <c r="AD43" s="408">
        <v>29341</v>
      </c>
      <c r="AF43" s="374">
        <f t="shared" si="27"/>
        <v>1</v>
      </c>
      <c r="AG43" s="375"/>
      <c r="AH43" s="408">
        <v>29341</v>
      </c>
      <c r="AJ43" s="374">
        <f t="shared" si="28"/>
        <v>1</v>
      </c>
      <c r="AK43" s="375"/>
      <c r="AL43" s="408">
        <v>29341</v>
      </c>
      <c r="AN43" s="374">
        <f t="shared" si="29"/>
        <v>1</v>
      </c>
      <c r="AO43" s="375"/>
    </row>
    <row r="44" spans="1:41" ht="10" customHeight="1" x14ac:dyDescent="0.25">
      <c r="A44" s="373" t="s">
        <v>382</v>
      </c>
      <c r="B44" s="408">
        <v>28783</v>
      </c>
      <c r="D44" s="374">
        <f t="shared" si="20"/>
        <v>0.98098224327732519</v>
      </c>
      <c r="E44" s="375"/>
      <c r="F44" s="408">
        <v>29341</v>
      </c>
      <c r="H44" s="374">
        <f t="shared" si="21"/>
        <v>1</v>
      </c>
      <c r="I44" s="375"/>
      <c r="J44" s="408">
        <v>29341</v>
      </c>
      <c r="L44" s="374">
        <f t="shared" si="22"/>
        <v>1</v>
      </c>
      <c r="M44" s="375"/>
      <c r="N44" s="408">
        <v>29341</v>
      </c>
      <c r="P44" s="374">
        <f t="shared" si="23"/>
        <v>1</v>
      </c>
      <c r="Q44" s="375"/>
      <c r="R44" s="408">
        <v>29341</v>
      </c>
      <c r="T44" s="374">
        <f t="shared" si="24"/>
        <v>1</v>
      </c>
      <c r="U44" s="375"/>
      <c r="V44" s="408">
        <v>24673</v>
      </c>
      <c r="X44" s="374">
        <f t="shared" si="25"/>
        <v>0.84090521795439832</v>
      </c>
      <c r="Y44" s="375"/>
      <c r="Z44" s="408">
        <v>29341</v>
      </c>
      <c r="AB44" s="374">
        <f t="shared" si="26"/>
        <v>1</v>
      </c>
      <c r="AC44" s="375"/>
      <c r="AD44" s="408">
        <v>29341</v>
      </c>
      <c r="AF44" s="374">
        <f t="shared" si="27"/>
        <v>1</v>
      </c>
      <c r="AG44" s="375"/>
      <c r="AH44" s="408">
        <v>29341</v>
      </c>
      <c r="AJ44" s="374">
        <f t="shared" si="28"/>
        <v>1</v>
      </c>
      <c r="AK44" s="375"/>
      <c r="AL44" s="408">
        <v>27841</v>
      </c>
      <c r="AN44" s="374">
        <f t="shared" si="29"/>
        <v>0.94887699805732595</v>
      </c>
      <c r="AO44" s="375"/>
    </row>
    <row r="45" spans="1:41" ht="10" customHeight="1" x14ac:dyDescent="0.25">
      <c r="A45" s="373" t="s">
        <v>383</v>
      </c>
      <c r="B45" s="408">
        <v>28783</v>
      </c>
      <c r="D45" s="374">
        <f t="shared" si="20"/>
        <v>0.98098224327732519</v>
      </c>
      <c r="E45" s="375"/>
      <c r="F45" s="408">
        <v>29341</v>
      </c>
      <c r="H45" s="374">
        <f t="shared" si="21"/>
        <v>1</v>
      </c>
      <c r="I45" s="375"/>
      <c r="J45" s="408">
        <v>29341</v>
      </c>
      <c r="L45" s="374">
        <f t="shared" si="22"/>
        <v>1</v>
      </c>
      <c r="M45" s="375"/>
      <c r="N45" s="408">
        <v>29341</v>
      </c>
      <c r="P45" s="374">
        <f t="shared" si="23"/>
        <v>1</v>
      </c>
      <c r="Q45" s="375"/>
      <c r="R45" s="408">
        <v>29341</v>
      </c>
      <c r="T45" s="374">
        <f t="shared" si="24"/>
        <v>1</v>
      </c>
      <c r="U45" s="375"/>
      <c r="V45" s="408">
        <v>24673</v>
      </c>
      <c r="X45" s="374">
        <f t="shared" si="25"/>
        <v>0.84090521795439832</v>
      </c>
      <c r="Y45" s="375"/>
      <c r="Z45" s="408">
        <v>29341</v>
      </c>
      <c r="AB45" s="374">
        <f t="shared" si="26"/>
        <v>1</v>
      </c>
      <c r="AC45" s="375"/>
      <c r="AD45" s="408">
        <v>29341</v>
      </c>
      <c r="AF45" s="374">
        <f t="shared" si="27"/>
        <v>1</v>
      </c>
      <c r="AG45" s="375"/>
      <c r="AH45" s="408">
        <v>29341</v>
      </c>
      <c r="AJ45" s="374">
        <f t="shared" si="28"/>
        <v>1</v>
      </c>
      <c r="AK45" s="375"/>
      <c r="AL45" s="408">
        <v>29341</v>
      </c>
      <c r="AN45" s="374">
        <f t="shared" si="29"/>
        <v>1</v>
      </c>
      <c r="AO45" s="375"/>
    </row>
    <row r="46" spans="1:41" ht="10" customHeight="1" x14ac:dyDescent="0.25">
      <c r="A46" s="373" t="s">
        <v>384</v>
      </c>
      <c r="B46" s="408">
        <v>28783</v>
      </c>
      <c r="D46" s="374">
        <f t="shared" si="20"/>
        <v>0.98098224327732519</v>
      </c>
      <c r="E46" s="375"/>
      <c r="F46" s="408">
        <v>29341</v>
      </c>
      <c r="H46" s="374">
        <f t="shared" si="21"/>
        <v>1</v>
      </c>
      <c r="I46" s="375"/>
      <c r="J46" s="408">
        <v>28134</v>
      </c>
      <c r="L46" s="374">
        <f t="shared" si="22"/>
        <v>0.95886302443679494</v>
      </c>
      <c r="M46" s="375"/>
      <c r="N46" s="408">
        <v>29341</v>
      </c>
      <c r="P46" s="374">
        <f t="shared" si="23"/>
        <v>1</v>
      </c>
      <c r="Q46" s="375"/>
      <c r="R46" s="408">
        <v>29341</v>
      </c>
      <c r="T46" s="374">
        <f t="shared" si="24"/>
        <v>1</v>
      </c>
      <c r="U46" s="375"/>
      <c r="V46" s="408">
        <v>24673</v>
      </c>
      <c r="X46" s="374">
        <f t="shared" si="25"/>
        <v>0.84090521795439832</v>
      </c>
      <c r="Y46" s="375"/>
      <c r="Z46" s="408">
        <v>29341</v>
      </c>
      <c r="AB46" s="374">
        <f t="shared" si="26"/>
        <v>1</v>
      </c>
      <c r="AC46" s="375"/>
      <c r="AD46" s="408">
        <v>29341</v>
      </c>
      <c r="AF46" s="374">
        <f t="shared" si="27"/>
        <v>1</v>
      </c>
      <c r="AG46" s="375"/>
      <c r="AH46" s="408">
        <v>29341</v>
      </c>
      <c r="AJ46" s="374">
        <f t="shared" si="28"/>
        <v>1</v>
      </c>
      <c r="AK46" s="375"/>
      <c r="AL46" s="408">
        <v>29341</v>
      </c>
      <c r="AN46" s="374">
        <f t="shared" si="29"/>
        <v>1</v>
      </c>
      <c r="AO46" s="375"/>
    </row>
    <row r="47" spans="1:41" ht="10" customHeight="1" x14ac:dyDescent="0.25">
      <c r="A47" s="373" t="s">
        <v>385</v>
      </c>
      <c r="B47" s="408">
        <v>28783</v>
      </c>
      <c r="D47" s="374">
        <f t="shared" si="20"/>
        <v>0.98098224327732519</v>
      </c>
      <c r="E47" s="375"/>
      <c r="F47" s="408">
        <v>29341</v>
      </c>
      <c r="H47" s="374">
        <f t="shared" si="21"/>
        <v>1</v>
      </c>
      <c r="I47" s="375"/>
      <c r="J47" s="408">
        <v>29341</v>
      </c>
      <c r="L47" s="374">
        <f t="shared" si="22"/>
        <v>1</v>
      </c>
      <c r="M47" s="375"/>
      <c r="N47" s="408">
        <v>29341</v>
      </c>
      <c r="P47" s="374">
        <f t="shared" si="23"/>
        <v>1</v>
      </c>
      <c r="Q47" s="375"/>
      <c r="R47" s="408">
        <v>29341</v>
      </c>
      <c r="T47" s="374">
        <f t="shared" si="24"/>
        <v>1</v>
      </c>
      <c r="U47" s="375"/>
      <c r="V47" s="408">
        <v>24673</v>
      </c>
      <c r="X47" s="374">
        <f t="shared" si="25"/>
        <v>0.84090521795439832</v>
      </c>
      <c r="Y47" s="375"/>
      <c r="Z47" s="408">
        <v>29341</v>
      </c>
      <c r="AB47" s="374">
        <f t="shared" si="26"/>
        <v>1</v>
      </c>
      <c r="AC47" s="375"/>
      <c r="AD47" s="408">
        <v>28051</v>
      </c>
      <c r="AF47" s="374">
        <f t="shared" si="27"/>
        <v>0.95603421832930024</v>
      </c>
      <c r="AG47" s="375"/>
      <c r="AH47" s="408">
        <v>29341</v>
      </c>
      <c r="AJ47" s="374">
        <f t="shared" si="28"/>
        <v>1</v>
      </c>
      <c r="AK47" s="375"/>
      <c r="AL47" s="408">
        <v>29341</v>
      </c>
      <c r="AN47" s="374">
        <f t="shared" si="29"/>
        <v>1</v>
      </c>
      <c r="AO47" s="375"/>
    </row>
    <row r="48" spans="1:41" ht="10" customHeight="1" x14ac:dyDescent="0.25">
      <c r="A48" s="376"/>
      <c r="B48" s="377"/>
      <c r="E48" s="375"/>
      <c r="F48" s="377"/>
      <c r="I48" s="375"/>
      <c r="J48" s="409"/>
      <c r="M48" s="375"/>
      <c r="N48" s="377"/>
      <c r="Q48" s="375"/>
      <c r="R48" s="377"/>
      <c r="U48" s="375"/>
      <c r="V48" s="377"/>
      <c r="Y48" s="375"/>
      <c r="Z48" s="377"/>
      <c r="AC48" s="375"/>
      <c r="AD48" s="409"/>
      <c r="AG48" s="375"/>
      <c r="AH48" s="377"/>
      <c r="AK48" s="375"/>
      <c r="AL48" s="377"/>
      <c r="AO48" s="375"/>
    </row>
    <row r="49" spans="1:41" ht="10" customHeight="1" x14ac:dyDescent="0.25">
      <c r="A49" s="373" t="s">
        <v>386</v>
      </c>
      <c r="B49" s="378">
        <f>AVERAGE(B36:B47)</f>
        <v>28723.416666666668</v>
      </c>
      <c r="D49" s="389">
        <f>AVERAGE(D36:D47)</f>
        <v>0.97895152403349117</v>
      </c>
      <c r="E49" s="375"/>
      <c r="F49" s="378">
        <f>AVERAGE(F36:F47)</f>
        <v>29341</v>
      </c>
      <c r="H49" s="389">
        <f>AVERAGE(H36:H47)</f>
        <v>1</v>
      </c>
      <c r="I49" s="375"/>
      <c r="J49" s="378">
        <f>AVERAGE(J36:J47)</f>
        <v>29240.416666666668</v>
      </c>
      <c r="L49" s="389">
        <f>AVERAGE(L36:L47)</f>
        <v>0.99657191870306627</v>
      </c>
      <c r="M49" s="375"/>
      <c r="N49" s="378">
        <f>AVERAGE(N36:N47)</f>
        <v>28737.333333333332</v>
      </c>
      <c r="P49" s="389">
        <f>AVERAGE(P36:P47)</f>
        <v>0.97942583188484822</v>
      </c>
      <c r="Q49" s="375"/>
      <c r="R49" s="378">
        <f>AVERAGE(R36:R47)</f>
        <v>29341</v>
      </c>
      <c r="T49" s="389">
        <f>AVERAGE(T36:T47)</f>
        <v>1</v>
      </c>
      <c r="U49" s="375"/>
      <c r="V49" s="378">
        <f>AVERAGE(V36:V47)</f>
        <v>27785</v>
      </c>
      <c r="X49" s="389">
        <f>AVERAGE(X36:X47)</f>
        <v>0.94696840598479959</v>
      </c>
      <c r="Y49" s="375"/>
      <c r="Z49" s="378">
        <f>AVERAGE(Z36:Z47)</f>
        <v>28516.5</v>
      </c>
      <c r="AB49" s="389">
        <f>AVERAGE(AB36:AB47)</f>
        <v>0.97189938993217684</v>
      </c>
      <c r="AC49" s="375"/>
      <c r="AD49" s="378">
        <f>AVERAGE(AD36:AD47)</f>
        <v>29233.5</v>
      </c>
      <c r="AF49" s="389">
        <f>AVERAGE(AF36:AF47)</f>
        <v>0.99633618486077502</v>
      </c>
      <c r="AG49" s="375"/>
      <c r="AH49" s="378">
        <f>AVERAGE(AH36:AH47)</f>
        <v>28737.333333333332</v>
      </c>
      <c r="AJ49" s="389">
        <f>AVERAGE(AJ36:AJ47)</f>
        <v>0.97942583188484822</v>
      </c>
      <c r="AK49" s="375"/>
      <c r="AL49" s="378">
        <f>AVERAGE(AL36:AL47)</f>
        <v>28920.583333333332</v>
      </c>
      <c r="AN49" s="389">
        <f>AVERAGE(AN36:AN47)</f>
        <v>0.98567135862217825</v>
      </c>
      <c r="AO49" s="375"/>
    </row>
    <row r="50" spans="1:41" ht="10" customHeight="1" x14ac:dyDescent="0.25">
      <c r="A50" s="376"/>
      <c r="B50" s="377"/>
      <c r="E50" s="375"/>
      <c r="F50" s="377"/>
      <c r="I50" s="375"/>
      <c r="J50" s="377"/>
      <c r="M50" s="375"/>
      <c r="N50" s="377"/>
      <c r="Q50" s="375"/>
      <c r="R50" s="377"/>
      <c r="U50" s="375"/>
      <c r="V50" s="377"/>
      <c r="Y50" s="375"/>
      <c r="Z50" s="377"/>
      <c r="AC50" s="375"/>
      <c r="AD50" s="377"/>
      <c r="AG50" s="375"/>
      <c r="AH50" s="377"/>
      <c r="AK50" s="375"/>
      <c r="AL50" s="377"/>
      <c r="AO50" s="375"/>
    </row>
    <row r="51" spans="1:41" ht="10" customHeight="1" x14ac:dyDescent="0.25">
      <c r="A51" s="379" t="s">
        <v>387</v>
      </c>
      <c r="B51" s="407">
        <v>29341</v>
      </c>
      <c r="C51" s="381"/>
      <c r="D51" s="381"/>
      <c r="E51" s="382"/>
      <c r="F51" s="407">
        <v>29341</v>
      </c>
      <c r="G51" s="381"/>
      <c r="H51" s="381"/>
      <c r="I51" s="382"/>
      <c r="J51" s="407">
        <v>29341</v>
      </c>
      <c r="K51" s="381"/>
      <c r="L51" s="381"/>
      <c r="M51" s="382"/>
      <c r="N51" s="407">
        <v>29341</v>
      </c>
      <c r="O51" s="381"/>
      <c r="P51" s="381"/>
      <c r="Q51" s="382"/>
      <c r="R51" s="407">
        <v>29341</v>
      </c>
      <c r="S51" s="410"/>
      <c r="T51" s="410"/>
      <c r="U51" s="411"/>
      <c r="V51" s="407">
        <v>29341</v>
      </c>
      <c r="W51" s="410"/>
      <c r="X51" s="410"/>
      <c r="Y51" s="411"/>
      <c r="Z51" s="407">
        <v>29341</v>
      </c>
      <c r="AA51" s="410"/>
      <c r="AB51" s="410"/>
      <c r="AC51" s="411"/>
      <c r="AD51" s="407">
        <v>29341</v>
      </c>
      <c r="AE51" s="410"/>
      <c r="AF51" s="410"/>
      <c r="AG51" s="411"/>
      <c r="AH51" s="407">
        <v>29341</v>
      </c>
      <c r="AI51" s="410"/>
      <c r="AJ51" s="410"/>
      <c r="AK51" s="411"/>
      <c r="AL51" s="407">
        <v>29341</v>
      </c>
      <c r="AM51" s="381"/>
      <c r="AN51" s="381"/>
      <c r="AO51" s="382"/>
    </row>
    <row r="53" spans="1:41" ht="10" customHeight="1" x14ac:dyDescent="0.25">
      <c r="A53" s="525" t="s">
        <v>390</v>
      </c>
      <c r="B53" s="525"/>
      <c r="C53" s="525"/>
      <c r="D53" s="525"/>
      <c r="E53" s="525"/>
      <c r="F53" s="525"/>
      <c r="G53" s="525"/>
      <c r="H53" s="525"/>
      <c r="I53" s="525"/>
      <c r="J53" s="525"/>
      <c r="K53" s="525"/>
      <c r="L53" s="525"/>
      <c r="M53" s="525"/>
      <c r="N53" s="525"/>
      <c r="O53" s="525"/>
      <c r="P53" s="525"/>
      <c r="Q53" s="525"/>
      <c r="R53" s="525"/>
    </row>
    <row r="54" spans="1:41" ht="10" customHeight="1" x14ac:dyDescent="0.25">
      <c r="A54" s="525" t="s">
        <v>297</v>
      </c>
      <c r="B54" s="525"/>
      <c r="C54" s="525"/>
      <c r="D54" s="525"/>
      <c r="E54" s="525"/>
      <c r="F54" s="525"/>
      <c r="G54" s="525"/>
      <c r="H54" s="525"/>
      <c r="I54" s="525"/>
      <c r="J54" s="525"/>
      <c r="K54" s="525"/>
      <c r="L54" s="525"/>
      <c r="M54" s="525"/>
      <c r="N54" s="525"/>
      <c r="O54" s="525"/>
      <c r="P54" s="525"/>
      <c r="Q54" s="525"/>
      <c r="R54" s="525"/>
    </row>
    <row r="55" spans="1:41" ht="10" customHeight="1" x14ac:dyDescent="0.25">
      <c r="A55" s="525" t="s">
        <v>391</v>
      </c>
      <c r="B55" s="525"/>
      <c r="C55" s="525"/>
      <c r="D55" s="525"/>
      <c r="E55" s="525"/>
      <c r="F55" s="525"/>
      <c r="G55" s="525"/>
      <c r="H55" s="525"/>
      <c r="I55" s="525"/>
      <c r="J55" s="525"/>
      <c r="K55" s="525"/>
      <c r="L55" s="525"/>
      <c r="M55" s="525"/>
      <c r="N55" s="525"/>
      <c r="O55" s="525"/>
      <c r="P55" s="525"/>
      <c r="Q55" s="525"/>
      <c r="R55" s="525"/>
    </row>
    <row r="57" spans="1:41" ht="10" customHeight="1" x14ac:dyDescent="0.25">
      <c r="A57" s="359"/>
      <c r="B57" s="360" t="s">
        <v>360</v>
      </c>
      <c r="C57" s="384" t="s">
        <v>361</v>
      </c>
      <c r="D57" s="384" t="s">
        <v>360</v>
      </c>
      <c r="E57" s="385" t="s">
        <v>360</v>
      </c>
      <c r="F57" s="386" t="s">
        <v>360</v>
      </c>
      <c r="G57" s="384" t="s">
        <v>362</v>
      </c>
      <c r="H57" s="384" t="s">
        <v>360</v>
      </c>
      <c r="I57" s="385" t="s">
        <v>360</v>
      </c>
      <c r="J57" s="386" t="s">
        <v>360</v>
      </c>
      <c r="K57" s="384" t="s">
        <v>363</v>
      </c>
      <c r="L57" s="384" t="s">
        <v>360</v>
      </c>
      <c r="M57" s="385" t="s">
        <v>360</v>
      </c>
      <c r="N57" s="386" t="s">
        <v>360</v>
      </c>
      <c r="O57" s="384" t="s">
        <v>364</v>
      </c>
      <c r="P57" s="384" t="s">
        <v>360</v>
      </c>
      <c r="Q57" s="385" t="s">
        <v>360</v>
      </c>
      <c r="R57" s="386" t="s">
        <v>360</v>
      </c>
      <c r="S57" s="384" t="s">
        <v>365</v>
      </c>
      <c r="T57" s="384" t="s">
        <v>360</v>
      </c>
      <c r="U57" s="385" t="s">
        <v>360</v>
      </c>
      <c r="V57" s="386" t="s">
        <v>360</v>
      </c>
      <c r="W57" s="384" t="s">
        <v>366</v>
      </c>
      <c r="X57" s="384" t="s">
        <v>360</v>
      </c>
      <c r="Y57" s="385" t="s">
        <v>360</v>
      </c>
      <c r="Z57" s="386" t="s">
        <v>360</v>
      </c>
      <c r="AA57" s="384" t="s">
        <v>367</v>
      </c>
      <c r="AB57" s="384" t="s">
        <v>360</v>
      </c>
      <c r="AC57" s="385" t="s">
        <v>360</v>
      </c>
      <c r="AD57" s="386" t="s">
        <v>360</v>
      </c>
      <c r="AE57" s="384" t="s">
        <v>368</v>
      </c>
      <c r="AF57" s="384" t="s">
        <v>360</v>
      </c>
      <c r="AG57" s="385" t="s">
        <v>360</v>
      </c>
      <c r="AH57" s="386" t="s">
        <v>360</v>
      </c>
      <c r="AI57" s="384" t="s">
        <v>369</v>
      </c>
      <c r="AJ57" s="384" t="s">
        <v>360</v>
      </c>
      <c r="AK57" s="385" t="s">
        <v>360</v>
      </c>
      <c r="AL57" s="386" t="s">
        <v>360</v>
      </c>
      <c r="AM57" s="384" t="s">
        <v>370</v>
      </c>
      <c r="AN57" s="384" t="s">
        <v>360</v>
      </c>
      <c r="AO57" s="385" t="s">
        <v>360</v>
      </c>
    </row>
    <row r="58" spans="1:41" ht="10" customHeight="1" x14ac:dyDescent="0.25">
      <c r="A58" s="383" t="s">
        <v>371</v>
      </c>
      <c r="B58" s="361" t="s">
        <v>360</v>
      </c>
      <c r="C58" s="362" t="s">
        <v>372</v>
      </c>
      <c r="D58" s="362" t="s">
        <v>360</v>
      </c>
      <c r="E58" s="363" t="s">
        <v>360</v>
      </c>
      <c r="F58" s="361" t="s">
        <v>360</v>
      </c>
      <c r="G58" s="362" t="s">
        <v>372</v>
      </c>
      <c r="H58" s="362" t="s">
        <v>360</v>
      </c>
      <c r="I58" s="363" t="s">
        <v>360</v>
      </c>
      <c r="J58" s="361" t="s">
        <v>360</v>
      </c>
      <c r="K58" s="362" t="s">
        <v>372</v>
      </c>
      <c r="L58" s="362" t="s">
        <v>360</v>
      </c>
      <c r="M58" s="363" t="s">
        <v>360</v>
      </c>
      <c r="N58" s="361" t="s">
        <v>360</v>
      </c>
      <c r="O58" s="362" t="s">
        <v>372</v>
      </c>
      <c r="P58" s="362" t="s">
        <v>360</v>
      </c>
      <c r="Q58" s="363" t="s">
        <v>360</v>
      </c>
      <c r="R58" s="361" t="s">
        <v>360</v>
      </c>
      <c r="S58" s="362" t="s">
        <v>372</v>
      </c>
      <c r="T58" s="362" t="s">
        <v>360</v>
      </c>
      <c r="U58" s="363" t="s">
        <v>360</v>
      </c>
      <c r="V58" s="361" t="s">
        <v>360</v>
      </c>
      <c r="W58" s="362" t="s">
        <v>372</v>
      </c>
      <c r="X58" s="362" t="s">
        <v>360</v>
      </c>
      <c r="Y58" s="363" t="s">
        <v>360</v>
      </c>
      <c r="Z58" s="361" t="s">
        <v>360</v>
      </c>
      <c r="AA58" s="362" t="s">
        <v>372</v>
      </c>
      <c r="AB58" s="362" t="s">
        <v>360</v>
      </c>
      <c r="AC58" s="363" t="s">
        <v>360</v>
      </c>
      <c r="AD58" s="361" t="s">
        <v>360</v>
      </c>
      <c r="AE58" s="362" t="s">
        <v>372</v>
      </c>
      <c r="AF58" s="362" t="s">
        <v>360</v>
      </c>
      <c r="AG58" s="363" t="s">
        <v>360</v>
      </c>
      <c r="AH58" s="361" t="s">
        <v>360</v>
      </c>
      <c r="AI58" s="362" t="s">
        <v>372</v>
      </c>
      <c r="AJ58" s="362" t="s">
        <v>360</v>
      </c>
      <c r="AK58" s="363" t="s">
        <v>360</v>
      </c>
      <c r="AL58" s="361" t="s">
        <v>360</v>
      </c>
      <c r="AM58" s="362" t="s">
        <v>372</v>
      </c>
      <c r="AN58" s="362" t="s">
        <v>360</v>
      </c>
      <c r="AO58" s="363" t="s">
        <v>360</v>
      </c>
    </row>
    <row r="59" spans="1:41" ht="10" customHeight="1" x14ac:dyDescent="0.25">
      <c r="A59" s="364"/>
      <c r="B59" s="365" t="s">
        <v>373</v>
      </c>
      <c r="C59" s="366"/>
      <c r="D59" s="367" t="s">
        <v>183</v>
      </c>
      <c r="E59" s="368"/>
      <c r="F59" s="365" t="s">
        <v>373</v>
      </c>
      <c r="G59" s="366"/>
      <c r="H59" s="367" t="s">
        <v>183</v>
      </c>
      <c r="I59" s="368"/>
      <c r="J59" s="365" t="s">
        <v>373</v>
      </c>
      <c r="K59" s="366"/>
      <c r="L59" s="367" t="s">
        <v>183</v>
      </c>
      <c r="M59" s="368"/>
      <c r="N59" s="365" t="s">
        <v>373</v>
      </c>
      <c r="O59" s="366"/>
      <c r="P59" s="367" t="s">
        <v>183</v>
      </c>
      <c r="Q59" s="368"/>
      <c r="R59" s="365" t="s">
        <v>373</v>
      </c>
      <c r="S59" s="366"/>
      <c r="T59" s="367" t="s">
        <v>183</v>
      </c>
      <c r="U59" s="368"/>
      <c r="V59" s="365" t="s">
        <v>373</v>
      </c>
      <c r="W59" s="366"/>
      <c r="X59" s="367" t="s">
        <v>183</v>
      </c>
      <c r="Y59" s="368"/>
      <c r="Z59" s="365" t="s">
        <v>373</v>
      </c>
      <c r="AA59" s="366"/>
      <c r="AB59" s="367" t="s">
        <v>183</v>
      </c>
      <c r="AC59" s="368"/>
      <c r="AD59" s="365" t="s">
        <v>373</v>
      </c>
      <c r="AE59" s="366"/>
      <c r="AF59" s="367" t="s">
        <v>183</v>
      </c>
      <c r="AG59" s="368"/>
      <c r="AH59" s="365" t="s">
        <v>373</v>
      </c>
      <c r="AI59" s="366"/>
      <c r="AJ59" s="367" t="s">
        <v>183</v>
      </c>
      <c r="AK59" s="368"/>
      <c r="AL59" s="365" t="s">
        <v>373</v>
      </c>
      <c r="AM59" s="366"/>
      <c r="AN59" s="367" t="s">
        <v>183</v>
      </c>
      <c r="AO59" s="368"/>
    </row>
    <row r="60" spans="1:41" ht="10" customHeight="1" x14ac:dyDescent="0.25">
      <c r="A60" s="369"/>
      <c r="B60" s="414"/>
      <c r="C60" s="415"/>
      <c r="D60" s="415"/>
      <c r="E60" s="416"/>
      <c r="F60" s="414"/>
      <c r="G60" s="415"/>
      <c r="H60" s="415"/>
      <c r="I60" s="416"/>
      <c r="J60" s="414"/>
      <c r="K60" s="415"/>
      <c r="L60" s="415"/>
      <c r="M60" s="416"/>
      <c r="N60" s="414"/>
      <c r="O60" s="415"/>
      <c r="P60" s="415"/>
      <c r="Q60" s="416"/>
      <c r="R60" s="414"/>
      <c r="S60" s="415"/>
      <c r="T60" s="415"/>
      <c r="U60" s="416"/>
      <c r="V60" s="414"/>
      <c r="W60" s="415"/>
      <c r="X60" s="415"/>
      <c r="Y60" s="416"/>
      <c r="Z60" s="414"/>
      <c r="AA60" s="415"/>
      <c r="AB60" s="415"/>
      <c r="AC60" s="416"/>
      <c r="AD60" s="414"/>
      <c r="AE60" s="415"/>
      <c r="AF60" s="415"/>
      <c r="AG60" s="416"/>
      <c r="AH60" s="414"/>
      <c r="AI60" s="415"/>
      <c r="AJ60" s="415"/>
      <c r="AK60" s="416"/>
      <c r="AL60" s="414"/>
      <c r="AM60" s="415"/>
      <c r="AN60" s="415"/>
      <c r="AO60" s="416"/>
    </row>
    <row r="61" spans="1:41" ht="10" customHeight="1" x14ac:dyDescent="0.25">
      <c r="A61" s="373" t="s">
        <v>374</v>
      </c>
      <c r="B61" s="408">
        <v>17567</v>
      </c>
      <c r="C61" s="412"/>
      <c r="D61" s="374">
        <f>B61/$B$76</f>
        <v>0.67606988916256161</v>
      </c>
      <c r="E61" s="413"/>
      <c r="F61" s="408">
        <v>25984</v>
      </c>
      <c r="G61" s="412"/>
      <c r="H61" s="374">
        <f>F61/$B$76</f>
        <v>1</v>
      </c>
      <c r="I61" s="413"/>
      <c r="J61" s="408">
        <v>25984</v>
      </c>
      <c r="K61" s="412"/>
      <c r="L61" s="374">
        <f>J61/$B$76</f>
        <v>1</v>
      </c>
      <c r="M61" s="413"/>
      <c r="N61" s="408">
        <v>25984</v>
      </c>
      <c r="O61" s="412"/>
      <c r="P61" s="374">
        <f>N61/$B$76</f>
        <v>1</v>
      </c>
      <c r="Q61" s="413"/>
      <c r="R61" s="408">
        <v>25984</v>
      </c>
      <c r="S61" s="412"/>
      <c r="T61" s="374">
        <f>R61/$B$76</f>
        <v>1</v>
      </c>
      <c r="U61" s="413"/>
      <c r="V61" s="408">
        <v>25984</v>
      </c>
      <c r="W61" s="412"/>
      <c r="X61" s="374">
        <f>V61/$B$76</f>
        <v>1</v>
      </c>
      <c r="Y61" s="413"/>
      <c r="Z61" s="408">
        <v>25984</v>
      </c>
      <c r="AA61" s="412"/>
      <c r="AB61" s="374">
        <f>Z61/$B$76</f>
        <v>1</v>
      </c>
      <c r="AC61" s="413"/>
      <c r="AD61" s="408">
        <v>25984</v>
      </c>
      <c r="AE61" s="412"/>
      <c r="AF61" s="374">
        <f>AD61/$B$76</f>
        <v>1</v>
      </c>
      <c r="AG61" s="413"/>
      <c r="AH61" s="408">
        <v>25984</v>
      </c>
      <c r="AI61" s="412"/>
      <c r="AJ61" s="374">
        <f>AH61/$B$76</f>
        <v>1</v>
      </c>
      <c r="AK61" s="413"/>
      <c r="AL61" s="408">
        <v>25984</v>
      </c>
      <c r="AM61" s="412"/>
      <c r="AN61" s="374">
        <f>AL61/$B$76</f>
        <v>1</v>
      </c>
      <c r="AO61" s="413"/>
    </row>
    <row r="62" spans="1:41" ht="10" customHeight="1" x14ac:dyDescent="0.25">
      <c r="A62" s="373" t="s">
        <v>375</v>
      </c>
      <c r="B62" s="408">
        <v>17567</v>
      </c>
      <c r="C62" s="412"/>
      <c r="D62" s="374">
        <f t="shared" ref="D62:D71" si="30">B62/$B$76</f>
        <v>0.67606988916256161</v>
      </c>
      <c r="E62" s="413"/>
      <c r="F62" s="408">
        <v>25984</v>
      </c>
      <c r="G62" s="412"/>
      <c r="H62" s="374">
        <f t="shared" ref="H62:H71" si="31">F62/$B$76</f>
        <v>1</v>
      </c>
      <c r="I62" s="413"/>
      <c r="J62" s="408">
        <v>25984</v>
      </c>
      <c r="K62" s="412"/>
      <c r="L62" s="374">
        <f t="shared" ref="L62:L71" si="32">J62/$B$76</f>
        <v>1</v>
      </c>
      <c r="M62" s="413"/>
      <c r="N62" s="408">
        <v>25984</v>
      </c>
      <c r="O62" s="412"/>
      <c r="P62" s="374">
        <f t="shared" ref="P62:P71" si="33">N62/$B$76</f>
        <v>1</v>
      </c>
      <c r="Q62" s="413"/>
      <c r="R62" s="408">
        <v>25984</v>
      </c>
      <c r="S62" s="412"/>
      <c r="T62" s="374">
        <f t="shared" ref="T62:T71" si="34">R62/$B$76</f>
        <v>1</v>
      </c>
      <c r="U62" s="413"/>
      <c r="V62" s="408">
        <v>25984</v>
      </c>
      <c r="W62" s="412"/>
      <c r="X62" s="374">
        <f t="shared" ref="X62:X71" si="35">V62/$B$76</f>
        <v>1</v>
      </c>
      <c r="Y62" s="413"/>
      <c r="Z62" s="408">
        <v>25984</v>
      </c>
      <c r="AA62" s="412"/>
      <c r="AB62" s="374">
        <f t="shared" ref="AB62:AB71" si="36">Z62/$B$76</f>
        <v>1</v>
      </c>
      <c r="AC62" s="413"/>
      <c r="AD62" s="408">
        <v>25984</v>
      </c>
      <c r="AE62" s="412"/>
      <c r="AF62" s="374">
        <f t="shared" ref="AF62:AF71" si="37">AD62/$B$76</f>
        <v>1</v>
      </c>
      <c r="AG62" s="413"/>
      <c r="AH62" s="408">
        <v>25984</v>
      </c>
      <c r="AI62" s="412"/>
      <c r="AJ62" s="374">
        <f t="shared" ref="AJ62:AJ71" si="38">AH62/$B$76</f>
        <v>1</v>
      </c>
      <c r="AK62" s="413"/>
      <c r="AL62" s="408">
        <v>25984</v>
      </c>
      <c r="AM62" s="412"/>
      <c r="AN62" s="374">
        <f t="shared" ref="AN62:AN71" si="39">AL62/$B$76</f>
        <v>1</v>
      </c>
      <c r="AO62" s="413"/>
    </row>
    <row r="63" spans="1:41" ht="10" customHeight="1" x14ac:dyDescent="0.25">
      <c r="A63" s="373" t="s">
        <v>376</v>
      </c>
      <c r="B63" s="408">
        <v>17567</v>
      </c>
      <c r="C63" s="412"/>
      <c r="D63" s="374">
        <f t="shared" si="30"/>
        <v>0.67606988916256161</v>
      </c>
      <c r="E63" s="413"/>
      <c r="F63" s="408">
        <v>25984</v>
      </c>
      <c r="G63" s="412"/>
      <c r="H63" s="374">
        <f t="shared" si="31"/>
        <v>1</v>
      </c>
      <c r="I63" s="413"/>
      <c r="J63" s="408">
        <v>25984</v>
      </c>
      <c r="K63" s="412"/>
      <c r="L63" s="374">
        <f t="shared" si="32"/>
        <v>1</v>
      </c>
      <c r="M63" s="413"/>
      <c r="N63" s="408">
        <v>25984</v>
      </c>
      <c r="O63" s="412"/>
      <c r="P63" s="374">
        <f t="shared" si="33"/>
        <v>1</v>
      </c>
      <c r="Q63" s="413"/>
      <c r="R63" s="408">
        <v>25984</v>
      </c>
      <c r="S63" s="412"/>
      <c r="T63" s="374">
        <f t="shared" si="34"/>
        <v>1</v>
      </c>
      <c r="U63" s="413"/>
      <c r="V63" s="408">
        <v>25984</v>
      </c>
      <c r="W63" s="412"/>
      <c r="X63" s="374">
        <f t="shared" si="35"/>
        <v>1</v>
      </c>
      <c r="Y63" s="413"/>
      <c r="Z63" s="408">
        <v>25984</v>
      </c>
      <c r="AA63" s="412"/>
      <c r="AB63" s="374">
        <f t="shared" si="36"/>
        <v>1</v>
      </c>
      <c r="AC63" s="413"/>
      <c r="AD63" s="408">
        <v>25984</v>
      </c>
      <c r="AE63" s="412"/>
      <c r="AF63" s="374">
        <f t="shared" si="37"/>
        <v>1</v>
      </c>
      <c r="AG63" s="413"/>
      <c r="AH63" s="408">
        <v>25984</v>
      </c>
      <c r="AI63" s="412"/>
      <c r="AJ63" s="374">
        <f t="shared" si="38"/>
        <v>1</v>
      </c>
      <c r="AK63" s="413"/>
      <c r="AL63" s="408">
        <v>25984</v>
      </c>
      <c r="AM63" s="412"/>
      <c r="AN63" s="374">
        <f t="shared" si="39"/>
        <v>1</v>
      </c>
      <c r="AO63" s="413"/>
    </row>
    <row r="64" spans="1:41" ht="10" customHeight="1" x14ac:dyDescent="0.25">
      <c r="A64" s="373" t="s">
        <v>377</v>
      </c>
      <c r="B64" s="408">
        <v>17567</v>
      </c>
      <c r="C64" s="412"/>
      <c r="D64" s="374">
        <f t="shared" si="30"/>
        <v>0.67606988916256161</v>
      </c>
      <c r="E64" s="413"/>
      <c r="F64" s="408">
        <v>25984</v>
      </c>
      <c r="G64" s="412"/>
      <c r="H64" s="374">
        <f t="shared" si="31"/>
        <v>1</v>
      </c>
      <c r="I64" s="413"/>
      <c r="J64" s="408">
        <v>25984</v>
      </c>
      <c r="K64" s="412"/>
      <c r="L64" s="374">
        <f t="shared" si="32"/>
        <v>1</v>
      </c>
      <c r="M64" s="413"/>
      <c r="N64" s="408">
        <v>25984</v>
      </c>
      <c r="O64" s="412"/>
      <c r="P64" s="374">
        <f t="shared" si="33"/>
        <v>1</v>
      </c>
      <c r="Q64" s="413"/>
      <c r="R64" s="408">
        <v>25984</v>
      </c>
      <c r="S64" s="412"/>
      <c r="T64" s="374">
        <f t="shared" si="34"/>
        <v>1</v>
      </c>
      <c r="U64" s="413"/>
      <c r="V64" s="408">
        <v>25984</v>
      </c>
      <c r="W64" s="412"/>
      <c r="X64" s="374">
        <f t="shared" si="35"/>
        <v>1</v>
      </c>
      <c r="Y64" s="413"/>
      <c r="Z64" s="408">
        <v>25984</v>
      </c>
      <c r="AA64" s="412"/>
      <c r="AB64" s="374">
        <f t="shared" si="36"/>
        <v>1</v>
      </c>
      <c r="AC64" s="413"/>
      <c r="AD64" s="408">
        <v>25984</v>
      </c>
      <c r="AE64" s="412"/>
      <c r="AF64" s="374">
        <f t="shared" si="37"/>
        <v>1</v>
      </c>
      <c r="AG64" s="413"/>
      <c r="AH64" s="408">
        <v>25984</v>
      </c>
      <c r="AI64" s="412"/>
      <c r="AJ64" s="374">
        <f t="shared" si="38"/>
        <v>1</v>
      </c>
      <c r="AK64" s="413"/>
      <c r="AL64" s="408">
        <v>25984</v>
      </c>
      <c r="AM64" s="412"/>
      <c r="AN64" s="374">
        <f t="shared" si="39"/>
        <v>1</v>
      </c>
      <c r="AO64" s="413"/>
    </row>
    <row r="65" spans="1:41" ht="10" customHeight="1" x14ac:dyDescent="0.25">
      <c r="A65" s="373" t="s">
        <v>378</v>
      </c>
      <c r="B65" s="408">
        <v>21337</v>
      </c>
      <c r="C65" s="412"/>
      <c r="D65" s="374">
        <f t="shared" si="30"/>
        <v>0.82115917487684731</v>
      </c>
      <c r="E65" s="413"/>
      <c r="F65" s="408">
        <v>25984</v>
      </c>
      <c r="G65" s="412"/>
      <c r="H65" s="374">
        <f t="shared" si="31"/>
        <v>1</v>
      </c>
      <c r="I65" s="413"/>
      <c r="J65" s="408">
        <v>25984</v>
      </c>
      <c r="K65" s="412"/>
      <c r="L65" s="374">
        <f t="shared" si="32"/>
        <v>1</v>
      </c>
      <c r="M65" s="413"/>
      <c r="N65" s="408">
        <v>25984</v>
      </c>
      <c r="O65" s="412"/>
      <c r="P65" s="374">
        <f t="shared" si="33"/>
        <v>1</v>
      </c>
      <c r="Q65" s="413"/>
      <c r="R65" s="408">
        <v>25984</v>
      </c>
      <c r="S65" s="412"/>
      <c r="T65" s="374">
        <f t="shared" si="34"/>
        <v>1</v>
      </c>
      <c r="U65" s="413"/>
      <c r="V65" s="408">
        <v>25984</v>
      </c>
      <c r="W65" s="412"/>
      <c r="X65" s="374">
        <f t="shared" si="35"/>
        <v>1</v>
      </c>
      <c r="Y65" s="413"/>
      <c r="Z65" s="408">
        <v>25984</v>
      </c>
      <c r="AA65" s="412"/>
      <c r="AB65" s="374">
        <f t="shared" si="36"/>
        <v>1</v>
      </c>
      <c r="AC65" s="413"/>
      <c r="AD65" s="408">
        <v>25984</v>
      </c>
      <c r="AE65" s="412"/>
      <c r="AF65" s="374">
        <f t="shared" si="37"/>
        <v>1</v>
      </c>
      <c r="AG65" s="413"/>
      <c r="AH65" s="408">
        <v>25984</v>
      </c>
      <c r="AI65" s="412"/>
      <c r="AJ65" s="374">
        <f t="shared" si="38"/>
        <v>1</v>
      </c>
      <c r="AK65" s="413"/>
      <c r="AL65" s="408">
        <v>25984</v>
      </c>
      <c r="AM65" s="412"/>
      <c r="AN65" s="374">
        <f t="shared" si="39"/>
        <v>1</v>
      </c>
      <c r="AO65" s="413"/>
    </row>
    <row r="66" spans="1:41" ht="10" customHeight="1" x14ac:dyDescent="0.25">
      <c r="A66" s="373" t="s">
        <v>379</v>
      </c>
      <c r="B66" s="408">
        <v>22214</v>
      </c>
      <c r="C66" s="412"/>
      <c r="D66" s="374">
        <f t="shared" si="30"/>
        <v>0.8549107142857143</v>
      </c>
      <c r="E66" s="413"/>
      <c r="F66" s="408">
        <v>25984</v>
      </c>
      <c r="G66" s="412"/>
      <c r="H66" s="374">
        <f t="shared" si="31"/>
        <v>1</v>
      </c>
      <c r="I66" s="413"/>
      <c r="J66" s="408">
        <v>25984</v>
      </c>
      <c r="K66" s="412"/>
      <c r="L66" s="374">
        <f t="shared" si="32"/>
        <v>1</v>
      </c>
      <c r="M66" s="413"/>
      <c r="N66" s="408">
        <v>25984</v>
      </c>
      <c r="O66" s="412"/>
      <c r="P66" s="374">
        <f t="shared" si="33"/>
        <v>1</v>
      </c>
      <c r="Q66" s="413"/>
      <c r="R66" s="408">
        <v>25984</v>
      </c>
      <c r="S66" s="412"/>
      <c r="T66" s="374">
        <f t="shared" si="34"/>
        <v>1</v>
      </c>
      <c r="U66" s="413"/>
      <c r="V66" s="408">
        <v>25984</v>
      </c>
      <c r="W66" s="412"/>
      <c r="X66" s="374">
        <f t="shared" si="35"/>
        <v>1</v>
      </c>
      <c r="Y66" s="413"/>
      <c r="Z66" s="408">
        <v>25984</v>
      </c>
      <c r="AA66" s="412"/>
      <c r="AB66" s="374">
        <f t="shared" si="36"/>
        <v>1</v>
      </c>
      <c r="AC66" s="413"/>
      <c r="AD66" s="408">
        <v>25984</v>
      </c>
      <c r="AE66" s="412"/>
      <c r="AF66" s="374">
        <f t="shared" si="37"/>
        <v>1</v>
      </c>
      <c r="AG66" s="413"/>
      <c r="AH66" s="408">
        <v>25984</v>
      </c>
      <c r="AI66" s="412"/>
      <c r="AJ66" s="374">
        <f t="shared" si="38"/>
        <v>1</v>
      </c>
      <c r="AK66" s="413"/>
      <c r="AL66" s="408">
        <v>25984</v>
      </c>
      <c r="AM66" s="412"/>
      <c r="AN66" s="374">
        <f t="shared" si="39"/>
        <v>1</v>
      </c>
      <c r="AO66" s="413"/>
    </row>
    <row r="67" spans="1:41" ht="10" customHeight="1" x14ac:dyDescent="0.25">
      <c r="A67" s="373" t="s">
        <v>380</v>
      </c>
      <c r="B67" s="408">
        <v>22214</v>
      </c>
      <c r="C67" s="412"/>
      <c r="D67" s="374">
        <f t="shared" si="30"/>
        <v>0.8549107142857143</v>
      </c>
      <c r="E67" s="413"/>
      <c r="F67" s="408">
        <v>25984</v>
      </c>
      <c r="G67" s="412"/>
      <c r="H67" s="374">
        <f t="shared" si="31"/>
        <v>1</v>
      </c>
      <c r="I67" s="413"/>
      <c r="J67" s="408">
        <v>25984</v>
      </c>
      <c r="K67" s="412"/>
      <c r="L67" s="374">
        <f t="shared" si="32"/>
        <v>1</v>
      </c>
      <c r="M67" s="413"/>
      <c r="N67" s="408">
        <v>25984</v>
      </c>
      <c r="O67" s="412"/>
      <c r="P67" s="374">
        <f t="shared" si="33"/>
        <v>1</v>
      </c>
      <c r="Q67" s="413"/>
      <c r="R67" s="408">
        <v>25984</v>
      </c>
      <c r="S67" s="412"/>
      <c r="T67" s="374">
        <f t="shared" si="34"/>
        <v>1</v>
      </c>
      <c r="U67" s="413"/>
      <c r="V67" s="408">
        <v>25984</v>
      </c>
      <c r="W67" s="412"/>
      <c r="X67" s="374">
        <f t="shared" si="35"/>
        <v>1</v>
      </c>
      <c r="Y67" s="413"/>
      <c r="Z67" s="408">
        <v>25984</v>
      </c>
      <c r="AA67" s="412"/>
      <c r="AB67" s="374">
        <f t="shared" si="36"/>
        <v>1</v>
      </c>
      <c r="AC67" s="413"/>
      <c r="AD67" s="408">
        <v>25984</v>
      </c>
      <c r="AE67" s="412"/>
      <c r="AF67" s="374">
        <f t="shared" si="37"/>
        <v>1</v>
      </c>
      <c r="AG67" s="413"/>
      <c r="AH67" s="408">
        <v>25984</v>
      </c>
      <c r="AI67" s="412"/>
      <c r="AJ67" s="374">
        <f t="shared" si="38"/>
        <v>1</v>
      </c>
      <c r="AK67" s="413"/>
      <c r="AL67" s="408">
        <v>25984</v>
      </c>
      <c r="AM67" s="412"/>
      <c r="AN67" s="374">
        <f t="shared" si="39"/>
        <v>1</v>
      </c>
      <c r="AO67" s="413"/>
    </row>
    <row r="68" spans="1:41" ht="10" customHeight="1" x14ac:dyDescent="0.25">
      <c r="A68" s="373" t="s">
        <v>381</v>
      </c>
      <c r="B68" s="408">
        <v>22214</v>
      </c>
      <c r="C68" s="412"/>
      <c r="D68" s="374">
        <f t="shared" si="30"/>
        <v>0.8549107142857143</v>
      </c>
      <c r="E68" s="413"/>
      <c r="F68" s="408">
        <v>25984</v>
      </c>
      <c r="G68" s="412"/>
      <c r="H68" s="374">
        <f t="shared" si="31"/>
        <v>1</v>
      </c>
      <c r="I68" s="413"/>
      <c r="J68" s="408">
        <v>25984</v>
      </c>
      <c r="K68" s="412"/>
      <c r="L68" s="374">
        <f t="shared" si="32"/>
        <v>1</v>
      </c>
      <c r="M68" s="413"/>
      <c r="N68" s="408">
        <v>25984</v>
      </c>
      <c r="O68" s="412"/>
      <c r="P68" s="374">
        <f t="shared" si="33"/>
        <v>1</v>
      </c>
      <c r="Q68" s="413"/>
      <c r="R68" s="408">
        <v>25984</v>
      </c>
      <c r="S68" s="412"/>
      <c r="T68" s="374">
        <f t="shared" si="34"/>
        <v>1</v>
      </c>
      <c r="U68" s="413"/>
      <c r="V68" s="408">
        <v>25984</v>
      </c>
      <c r="W68" s="412"/>
      <c r="X68" s="374">
        <f t="shared" si="35"/>
        <v>1</v>
      </c>
      <c r="Y68" s="413"/>
      <c r="Z68" s="408">
        <v>25984</v>
      </c>
      <c r="AA68" s="412"/>
      <c r="AB68" s="374">
        <f t="shared" si="36"/>
        <v>1</v>
      </c>
      <c r="AC68" s="413"/>
      <c r="AD68" s="408">
        <v>25984</v>
      </c>
      <c r="AE68" s="412"/>
      <c r="AF68" s="374">
        <f t="shared" si="37"/>
        <v>1</v>
      </c>
      <c r="AG68" s="413"/>
      <c r="AH68" s="408">
        <v>23643</v>
      </c>
      <c r="AI68" s="412"/>
      <c r="AJ68" s="374">
        <f t="shared" si="38"/>
        <v>0.90990609605911332</v>
      </c>
      <c r="AK68" s="413"/>
      <c r="AL68" s="408">
        <v>25984</v>
      </c>
      <c r="AM68" s="412"/>
      <c r="AN68" s="374">
        <f t="shared" si="39"/>
        <v>1</v>
      </c>
      <c r="AO68" s="413"/>
    </row>
    <row r="69" spans="1:41" ht="10" customHeight="1" x14ac:dyDescent="0.25">
      <c r="A69" s="373" t="s">
        <v>382</v>
      </c>
      <c r="B69" s="408">
        <v>22214</v>
      </c>
      <c r="C69" s="412"/>
      <c r="D69" s="374">
        <f t="shared" si="30"/>
        <v>0.8549107142857143</v>
      </c>
      <c r="E69" s="413"/>
      <c r="F69" s="408">
        <v>25984</v>
      </c>
      <c r="G69" s="412"/>
      <c r="H69" s="374">
        <f t="shared" si="31"/>
        <v>1</v>
      </c>
      <c r="I69" s="413"/>
      <c r="J69" s="408">
        <v>25984</v>
      </c>
      <c r="K69" s="412"/>
      <c r="L69" s="374">
        <f t="shared" si="32"/>
        <v>1</v>
      </c>
      <c r="M69" s="413"/>
      <c r="N69" s="408">
        <v>25984</v>
      </c>
      <c r="O69" s="412"/>
      <c r="P69" s="374">
        <f t="shared" si="33"/>
        <v>1</v>
      </c>
      <c r="Q69" s="413"/>
      <c r="R69" s="408">
        <v>25984</v>
      </c>
      <c r="S69" s="412"/>
      <c r="T69" s="374">
        <f t="shared" si="34"/>
        <v>1</v>
      </c>
      <c r="U69" s="413"/>
      <c r="V69" s="408">
        <v>25984</v>
      </c>
      <c r="W69" s="412"/>
      <c r="X69" s="374">
        <f t="shared" si="35"/>
        <v>1</v>
      </c>
      <c r="Y69" s="413"/>
      <c r="Z69" s="408">
        <v>25984</v>
      </c>
      <c r="AA69" s="412"/>
      <c r="AB69" s="374">
        <f t="shared" si="36"/>
        <v>1</v>
      </c>
      <c r="AC69" s="413"/>
      <c r="AD69" s="408">
        <v>25984</v>
      </c>
      <c r="AE69" s="412"/>
      <c r="AF69" s="374">
        <f t="shared" si="37"/>
        <v>1</v>
      </c>
      <c r="AG69" s="413"/>
      <c r="AH69" s="408">
        <v>25984</v>
      </c>
      <c r="AI69" s="412"/>
      <c r="AJ69" s="374">
        <f t="shared" si="38"/>
        <v>1</v>
      </c>
      <c r="AK69" s="413"/>
      <c r="AL69" s="408">
        <v>25984</v>
      </c>
      <c r="AM69" s="412"/>
      <c r="AN69" s="374">
        <f t="shared" si="39"/>
        <v>1</v>
      </c>
      <c r="AO69" s="413"/>
    </row>
    <row r="70" spans="1:41" ht="10" customHeight="1" x14ac:dyDescent="0.25">
      <c r="A70" s="373" t="s">
        <v>383</v>
      </c>
      <c r="B70" s="408">
        <v>22214</v>
      </c>
      <c r="C70" s="412"/>
      <c r="D70" s="374">
        <f t="shared" si="30"/>
        <v>0.8549107142857143</v>
      </c>
      <c r="E70" s="413"/>
      <c r="F70" s="408">
        <v>25984</v>
      </c>
      <c r="G70" s="412"/>
      <c r="H70" s="374">
        <f t="shared" si="31"/>
        <v>1</v>
      </c>
      <c r="I70" s="413"/>
      <c r="J70" s="408">
        <v>25984</v>
      </c>
      <c r="K70" s="412"/>
      <c r="L70" s="374">
        <f t="shared" si="32"/>
        <v>1</v>
      </c>
      <c r="M70" s="413"/>
      <c r="N70" s="408">
        <v>25984</v>
      </c>
      <c r="O70" s="412"/>
      <c r="P70" s="374">
        <f t="shared" si="33"/>
        <v>1</v>
      </c>
      <c r="Q70" s="413"/>
      <c r="R70" s="408">
        <v>25984</v>
      </c>
      <c r="S70" s="412"/>
      <c r="T70" s="374">
        <f t="shared" si="34"/>
        <v>1</v>
      </c>
      <c r="U70" s="413"/>
      <c r="V70" s="408">
        <v>25984</v>
      </c>
      <c r="W70" s="412"/>
      <c r="X70" s="374">
        <f t="shared" si="35"/>
        <v>1</v>
      </c>
      <c r="Y70" s="413"/>
      <c r="Z70" s="408">
        <v>25984</v>
      </c>
      <c r="AA70" s="412"/>
      <c r="AB70" s="374">
        <f t="shared" si="36"/>
        <v>1</v>
      </c>
      <c r="AC70" s="413"/>
      <c r="AD70" s="408">
        <v>25984</v>
      </c>
      <c r="AE70" s="412"/>
      <c r="AF70" s="374">
        <f t="shared" si="37"/>
        <v>1</v>
      </c>
      <c r="AG70" s="413"/>
      <c r="AH70" s="408">
        <v>25984</v>
      </c>
      <c r="AI70" s="412"/>
      <c r="AJ70" s="374">
        <f t="shared" si="38"/>
        <v>1</v>
      </c>
      <c r="AK70" s="413"/>
      <c r="AL70" s="408">
        <v>25984</v>
      </c>
      <c r="AM70" s="412"/>
      <c r="AN70" s="374">
        <f t="shared" si="39"/>
        <v>1</v>
      </c>
      <c r="AO70" s="413"/>
    </row>
    <row r="71" spans="1:41" ht="10" customHeight="1" x14ac:dyDescent="0.25">
      <c r="A71" s="373" t="s">
        <v>384</v>
      </c>
      <c r="B71" s="408">
        <v>22214</v>
      </c>
      <c r="C71" s="412"/>
      <c r="D71" s="374">
        <f t="shared" si="30"/>
        <v>0.8549107142857143</v>
      </c>
      <c r="E71" s="413"/>
      <c r="F71" s="408">
        <v>25984</v>
      </c>
      <c r="G71" s="412"/>
      <c r="H71" s="374">
        <f t="shared" si="31"/>
        <v>1</v>
      </c>
      <c r="I71" s="413"/>
      <c r="J71" s="408">
        <v>25984</v>
      </c>
      <c r="K71" s="412"/>
      <c r="L71" s="374">
        <f t="shared" si="32"/>
        <v>1</v>
      </c>
      <c r="M71" s="413"/>
      <c r="N71" s="408">
        <v>25984</v>
      </c>
      <c r="O71" s="412"/>
      <c r="P71" s="374">
        <f t="shared" si="33"/>
        <v>1</v>
      </c>
      <c r="Q71" s="413"/>
      <c r="R71" s="408">
        <v>25984</v>
      </c>
      <c r="S71" s="412"/>
      <c r="T71" s="374">
        <f t="shared" si="34"/>
        <v>1</v>
      </c>
      <c r="U71" s="413"/>
      <c r="V71" s="408">
        <v>25984</v>
      </c>
      <c r="W71" s="412"/>
      <c r="X71" s="374">
        <f t="shared" si="35"/>
        <v>1</v>
      </c>
      <c r="Y71" s="413"/>
      <c r="Z71" s="408">
        <v>25984</v>
      </c>
      <c r="AA71" s="412"/>
      <c r="AB71" s="374">
        <f t="shared" si="36"/>
        <v>1</v>
      </c>
      <c r="AC71" s="413"/>
      <c r="AD71" s="408">
        <v>25984</v>
      </c>
      <c r="AE71" s="412"/>
      <c r="AF71" s="374">
        <f t="shared" si="37"/>
        <v>1</v>
      </c>
      <c r="AG71" s="413"/>
      <c r="AH71" s="408">
        <v>25984</v>
      </c>
      <c r="AI71" s="412"/>
      <c r="AJ71" s="374">
        <f t="shared" si="38"/>
        <v>1</v>
      </c>
      <c r="AK71" s="413"/>
      <c r="AL71" s="408">
        <v>21337</v>
      </c>
      <c r="AM71" s="412"/>
      <c r="AN71" s="374">
        <f t="shared" si="39"/>
        <v>0.82115917487684731</v>
      </c>
      <c r="AO71" s="413"/>
    </row>
    <row r="72" spans="1:41" ht="10" customHeight="1" x14ac:dyDescent="0.25">
      <c r="A72" s="373" t="s">
        <v>385</v>
      </c>
      <c r="B72" s="408">
        <v>22214</v>
      </c>
      <c r="C72" s="412"/>
      <c r="D72" s="374">
        <f>B72/$B$76</f>
        <v>0.8549107142857143</v>
      </c>
      <c r="E72" s="413"/>
      <c r="F72" s="408">
        <v>25984</v>
      </c>
      <c r="G72" s="412"/>
      <c r="H72" s="374">
        <f>F72/$B$76</f>
        <v>1</v>
      </c>
      <c r="I72" s="413"/>
      <c r="J72" s="408">
        <v>25984</v>
      </c>
      <c r="K72" s="412"/>
      <c r="L72" s="374">
        <f>J72/$B$76</f>
        <v>1</v>
      </c>
      <c r="M72" s="413"/>
      <c r="N72" s="408">
        <v>25984</v>
      </c>
      <c r="O72" s="412"/>
      <c r="P72" s="374">
        <f>N72/$B$76</f>
        <v>1</v>
      </c>
      <c r="Q72" s="413"/>
      <c r="R72" s="408">
        <v>25984</v>
      </c>
      <c r="S72" s="412"/>
      <c r="T72" s="374">
        <f>R72/$B$76</f>
        <v>1</v>
      </c>
      <c r="U72" s="413"/>
      <c r="V72" s="408">
        <v>25984</v>
      </c>
      <c r="W72" s="412"/>
      <c r="X72" s="374">
        <f>V72/$B$76</f>
        <v>1</v>
      </c>
      <c r="Y72" s="413"/>
      <c r="Z72" s="408">
        <v>25984</v>
      </c>
      <c r="AA72" s="412"/>
      <c r="AB72" s="374">
        <f>Z72/$B$76</f>
        <v>1</v>
      </c>
      <c r="AC72" s="413"/>
      <c r="AD72" s="408">
        <v>25984</v>
      </c>
      <c r="AE72" s="412"/>
      <c r="AF72" s="374">
        <f>AD72/$B$76</f>
        <v>1</v>
      </c>
      <c r="AG72" s="413"/>
      <c r="AH72" s="408">
        <v>25984</v>
      </c>
      <c r="AI72" s="412"/>
      <c r="AJ72" s="374">
        <f>AH72/$B$76</f>
        <v>1</v>
      </c>
      <c r="AK72" s="413"/>
      <c r="AL72" s="408">
        <v>25984</v>
      </c>
      <c r="AM72" s="412"/>
      <c r="AN72" s="374">
        <f>AL72/$B$76</f>
        <v>1</v>
      </c>
      <c r="AO72" s="413"/>
    </row>
    <row r="73" spans="1:41" ht="10" customHeight="1" x14ac:dyDescent="0.25">
      <c r="A73" s="376"/>
      <c r="B73" s="409"/>
      <c r="C73" s="412"/>
      <c r="D73" s="412"/>
      <c r="E73" s="413"/>
      <c r="F73" s="409"/>
      <c r="G73" s="412"/>
      <c r="H73" s="412"/>
      <c r="I73" s="413"/>
      <c r="J73" s="409"/>
      <c r="K73" s="412"/>
      <c r="L73" s="412"/>
      <c r="M73" s="413"/>
      <c r="N73" s="409"/>
      <c r="O73" s="412"/>
      <c r="P73" s="412"/>
      <c r="Q73" s="413"/>
      <c r="R73" s="409"/>
      <c r="S73" s="412"/>
      <c r="T73" s="412"/>
      <c r="U73" s="413"/>
      <c r="V73" s="409"/>
      <c r="W73" s="412"/>
      <c r="X73" s="412"/>
      <c r="Y73" s="413"/>
      <c r="Z73" s="409"/>
      <c r="AA73" s="412"/>
      <c r="AB73" s="412"/>
      <c r="AC73" s="413"/>
      <c r="AD73" s="409"/>
      <c r="AE73" s="412"/>
      <c r="AF73" s="412"/>
      <c r="AG73" s="413"/>
      <c r="AH73" s="409"/>
      <c r="AI73" s="412"/>
      <c r="AJ73" s="412"/>
      <c r="AK73" s="413"/>
      <c r="AL73" s="409"/>
      <c r="AM73" s="412"/>
      <c r="AN73" s="412"/>
      <c r="AO73" s="413"/>
    </row>
    <row r="74" spans="1:41" ht="10" customHeight="1" x14ac:dyDescent="0.25">
      <c r="A74" s="373" t="s">
        <v>386</v>
      </c>
      <c r="B74" s="378">
        <f>AVERAGE(B61:B72)</f>
        <v>20591.916666666668</v>
      </c>
      <c r="D74" s="389">
        <f>AVERAGE(D61:D72)</f>
        <v>0.79248447762725771</v>
      </c>
      <c r="E74" s="375"/>
      <c r="F74" s="378">
        <f>AVERAGE(F61:F72)</f>
        <v>25984</v>
      </c>
      <c r="H74" s="389">
        <f>AVERAGE(H61:H72)</f>
        <v>1</v>
      </c>
      <c r="I74" s="375"/>
      <c r="J74" s="378">
        <f>AVERAGE(J61:J72)</f>
        <v>25984</v>
      </c>
      <c r="L74" s="389">
        <f>AVERAGE(L61:L72)</f>
        <v>1</v>
      </c>
      <c r="M74" s="375"/>
      <c r="N74" s="378">
        <f>AVERAGE(N61:N72)</f>
        <v>25984</v>
      </c>
      <c r="P74" s="389">
        <f>AVERAGE(P61:P72)</f>
        <v>1</v>
      </c>
      <c r="Q74" s="375"/>
      <c r="R74" s="378">
        <f>AVERAGE(R61:R72)</f>
        <v>25984</v>
      </c>
      <c r="T74" s="389">
        <f>AVERAGE(T61:T72)</f>
        <v>1</v>
      </c>
      <c r="U74" s="375"/>
      <c r="V74" s="378">
        <f>AVERAGE(V61:V72)</f>
        <v>25984</v>
      </c>
      <c r="X74" s="389">
        <f>AVERAGE(X61:X72)</f>
        <v>1</v>
      </c>
      <c r="Y74" s="375"/>
      <c r="Z74" s="378">
        <f>AVERAGE(Z61:Z72)</f>
        <v>25984</v>
      </c>
      <c r="AB74" s="389">
        <f>AVERAGE(AB61:AB72)</f>
        <v>1</v>
      </c>
      <c r="AC74" s="375"/>
      <c r="AD74" s="378">
        <f>AVERAGE(AD61:AD72)</f>
        <v>25984</v>
      </c>
      <c r="AF74" s="389">
        <f>AVERAGE(AF61:AF72)</f>
        <v>1</v>
      </c>
      <c r="AG74" s="375"/>
      <c r="AH74" s="378">
        <f>AVERAGE(AH61:AH72)</f>
        <v>25788.916666666668</v>
      </c>
      <c r="AJ74" s="389">
        <f>AVERAGE(AJ61:AJ72)</f>
        <v>0.99249217467159279</v>
      </c>
      <c r="AK74" s="375"/>
      <c r="AL74" s="378">
        <f>AVERAGE(AL61:AL72)</f>
        <v>25596.75</v>
      </c>
      <c r="AN74" s="389">
        <f>AVERAGE(AN61:AN72)</f>
        <v>0.98509659790640391</v>
      </c>
      <c r="AO74" s="375"/>
    </row>
    <row r="75" spans="1:41" ht="10" customHeight="1" x14ac:dyDescent="0.25">
      <c r="A75" s="376"/>
      <c r="B75" s="409"/>
      <c r="C75" s="412"/>
      <c r="D75" s="412"/>
      <c r="E75" s="413"/>
      <c r="F75" s="409"/>
      <c r="G75" s="412"/>
      <c r="H75" s="412"/>
      <c r="I75" s="413"/>
      <c r="J75" s="409"/>
      <c r="K75" s="412"/>
      <c r="L75" s="412"/>
      <c r="M75" s="413"/>
      <c r="N75" s="409"/>
      <c r="O75" s="412"/>
      <c r="P75" s="412"/>
      <c r="Q75" s="413"/>
      <c r="R75" s="409"/>
      <c r="S75" s="412"/>
      <c r="T75" s="412"/>
      <c r="U75" s="413"/>
      <c r="V75" s="409"/>
      <c r="W75" s="412"/>
      <c r="X75" s="412"/>
      <c r="Y75" s="413"/>
      <c r="Z75" s="409"/>
      <c r="AA75" s="412"/>
      <c r="AB75" s="412"/>
      <c r="AC75" s="413"/>
      <c r="AD75" s="409"/>
      <c r="AE75" s="412"/>
      <c r="AF75" s="412"/>
      <c r="AG75" s="413"/>
      <c r="AH75" s="409"/>
      <c r="AI75" s="412"/>
      <c r="AJ75" s="412"/>
      <c r="AK75" s="413"/>
      <c r="AL75" s="409"/>
      <c r="AM75" s="412"/>
      <c r="AN75" s="412"/>
      <c r="AO75" s="413"/>
    </row>
    <row r="76" spans="1:41" ht="10" customHeight="1" x14ac:dyDescent="0.25">
      <c r="A76" s="379" t="s">
        <v>387</v>
      </c>
      <c r="B76" s="407">
        <v>25984</v>
      </c>
      <c r="C76" s="410"/>
      <c r="D76" s="410"/>
      <c r="E76" s="411"/>
      <c r="F76" s="407">
        <v>25984</v>
      </c>
      <c r="G76" s="410"/>
      <c r="H76" s="410"/>
      <c r="I76" s="411"/>
      <c r="J76" s="407">
        <v>25984</v>
      </c>
      <c r="K76" s="410"/>
      <c r="L76" s="410"/>
      <c r="M76" s="411"/>
      <c r="N76" s="407">
        <v>25984</v>
      </c>
      <c r="O76" s="410"/>
      <c r="P76" s="410"/>
      <c r="Q76" s="411"/>
      <c r="R76" s="407">
        <v>25984</v>
      </c>
      <c r="S76" s="410"/>
      <c r="T76" s="410"/>
      <c r="U76" s="411"/>
      <c r="V76" s="407">
        <v>25984</v>
      </c>
      <c r="W76" s="410"/>
      <c r="X76" s="410"/>
      <c r="Y76" s="411"/>
      <c r="Z76" s="407">
        <v>25984</v>
      </c>
      <c r="AA76" s="410"/>
      <c r="AB76" s="410"/>
      <c r="AC76" s="411"/>
      <c r="AD76" s="407">
        <v>25984</v>
      </c>
      <c r="AE76" s="410"/>
      <c r="AF76" s="410"/>
      <c r="AG76" s="411"/>
      <c r="AH76" s="407">
        <v>25984</v>
      </c>
      <c r="AI76" s="410"/>
      <c r="AJ76" s="410"/>
      <c r="AK76" s="411"/>
      <c r="AL76" s="407">
        <v>25984</v>
      </c>
      <c r="AM76" s="410"/>
      <c r="AN76" s="410"/>
      <c r="AO76" s="411"/>
    </row>
    <row r="78" spans="1:41" ht="10" customHeight="1" x14ac:dyDescent="0.25">
      <c r="A78" s="525" t="s">
        <v>392</v>
      </c>
      <c r="B78" s="525"/>
      <c r="C78" s="525"/>
      <c r="D78" s="525"/>
      <c r="E78" s="525"/>
      <c r="F78" s="525"/>
      <c r="G78" s="525"/>
      <c r="H78" s="525"/>
      <c r="I78" s="525"/>
      <c r="J78" s="525"/>
      <c r="K78" s="525"/>
      <c r="L78" s="525"/>
      <c r="M78" s="525"/>
      <c r="N78" s="525"/>
      <c r="O78" s="525"/>
      <c r="P78" s="525"/>
      <c r="Q78" s="525"/>
      <c r="R78" s="525"/>
    </row>
    <row r="79" spans="1:41" ht="10" customHeight="1" x14ac:dyDescent="0.25">
      <c r="A79" s="525" t="s">
        <v>297</v>
      </c>
      <c r="B79" s="525"/>
      <c r="C79" s="525"/>
      <c r="D79" s="525"/>
      <c r="E79" s="525"/>
      <c r="F79" s="525"/>
      <c r="G79" s="525"/>
      <c r="H79" s="525"/>
      <c r="I79" s="525"/>
      <c r="J79" s="525"/>
      <c r="K79" s="525"/>
      <c r="L79" s="525"/>
      <c r="M79" s="525"/>
      <c r="N79" s="525"/>
      <c r="O79" s="525"/>
      <c r="P79" s="525"/>
      <c r="Q79" s="525"/>
      <c r="R79" s="525"/>
    </row>
    <row r="80" spans="1:41" ht="10" customHeight="1" x14ac:dyDescent="0.25">
      <c r="A80" s="525" t="s">
        <v>393</v>
      </c>
      <c r="B80" s="525"/>
      <c r="C80" s="525"/>
      <c r="D80" s="525"/>
      <c r="E80" s="525"/>
      <c r="F80" s="525"/>
      <c r="G80" s="525"/>
      <c r="H80" s="525"/>
      <c r="I80" s="525"/>
      <c r="J80" s="525"/>
      <c r="K80" s="525"/>
      <c r="L80" s="525"/>
      <c r="M80" s="525"/>
      <c r="N80" s="525"/>
      <c r="O80" s="525"/>
      <c r="P80" s="525"/>
      <c r="Q80" s="525"/>
      <c r="R80" s="525"/>
    </row>
    <row r="82" spans="1:41" ht="10" customHeight="1" x14ac:dyDescent="0.25">
      <c r="A82" s="359"/>
      <c r="B82" s="386" t="s">
        <v>360</v>
      </c>
      <c r="C82" s="384" t="s">
        <v>361</v>
      </c>
      <c r="D82" s="384" t="s">
        <v>360</v>
      </c>
      <c r="E82" s="385" t="s">
        <v>360</v>
      </c>
      <c r="F82" s="386" t="s">
        <v>360</v>
      </c>
      <c r="G82" s="384" t="s">
        <v>362</v>
      </c>
      <c r="H82" s="384" t="s">
        <v>360</v>
      </c>
      <c r="I82" s="385" t="s">
        <v>360</v>
      </c>
      <c r="J82" s="386" t="s">
        <v>360</v>
      </c>
      <c r="K82" s="384" t="s">
        <v>363</v>
      </c>
      <c r="L82" s="384" t="s">
        <v>360</v>
      </c>
      <c r="M82" s="385" t="s">
        <v>360</v>
      </c>
      <c r="N82" s="386" t="s">
        <v>360</v>
      </c>
      <c r="O82" s="384" t="s">
        <v>364</v>
      </c>
      <c r="P82" s="384" t="s">
        <v>360</v>
      </c>
      <c r="Q82" s="385" t="s">
        <v>360</v>
      </c>
      <c r="R82" s="386" t="s">
        <v>360</v>
      </c>
      <c r="S82" s="384" t="s">
        <v>365</v>
      </c>
      <c r="T82" s="384" t="s">
        <v>360</v>
      </c>
      <c r="U82" s="385" t="s">
        <v>360</v>
      </c>
      <c r="V82" s="386" t="s">
        <v>360</v>
      </c>
      <c r="W82" s="384" t="s">
        <v>366</v>
      </c>
      <c r="X82" s="384" t="s">
        <v>360</v>
      </c>
      <c r="Y82" s="385" t="s">
        <v>360</v>
      </c>
      <c r="Z82" s="386" t="s">
        <v>360</v>
      </c>
      <c r="AA82" s="384" t="s">
        <v>367</v>
      </c>
      <c r="AB82" s="384" t="s">
        <v>360</v>
      </c>
      <c r="AC82" s="385" t="s">
        <v>360</v>
      </c>
      <c r="AD82" s="386" t="s">
        <v>360</v>
      </c>
      <c r="AE82" s="384" t="s">
        <v>368</v>
      </c>
      <c r="AF82" s="384" t="s">
        <v>360</v>
      </c>
      <c r="AG82" s="385" t="s">
        <v>360</v>
      </c>
      <c r="AH82" s="386" t="s">
        <v>360</v>
      </c>
      <c r="AI82" s="384" t="s">
        <v>369</v>
      </c>
      <c r="AJ82" s="384" t="s">
        <v>360</v>
      </c>
      <c r="AK82" s="385" t="s">
        <v>360</v>
      </c>
      <c r="AL82" s="386" t="s">
        <v>360</v>
      </c>
      <c r="AM82" s="384" t="s">
        <v>370</v>
      </c>
      <c r="AN82" s="384" t="s">
        <v>360</v>
      </c>
      <c r="AO82" s="385" t="s">
        <v>360</v>
      </c>
    </row>
    <row r="83" spans="1:41" ht="10" customHeight="1" x14ac:dyDescent="0.25">
      <c r="A83" s="383" t="s">
        <v>371</v>
      </c>
      <c r="B83" s="361" t="s">
        <v>360</v>
      </c>
      <c r="C83" s="362" t="s">
        <v>372</v>
      </c>
      <c r="D83" s="362" t="s">
        <v>360</v>
      </c>
      <c r="E83" s="363" t="s">
        <v>360</v>
      </c>
      <c r="F83" s="361" t="s">
        <v>360</v>
      </c>
      <c r="G83" s="362" t="s">
        <v>372</v>
      </c>
      <c r="H83" s="362" t="s">
        <v>360</v>
      </c>
      <c r="I83" s="363" t="s">
        <v>360</v>
      </c>
      <c r="J83" s="361" t="s">
        <v>360</v>
      </c>
      <c r="K83" s="362" t="s">
        <v>372</v>
      </c>
      <c r="L83" s="362" t="s">
        <v>360</v>
      </c>
      <c r="M83" s="363" t="s">
        <v>360</v>
      </c>
      <c r="N83" s="361" t="s">
        <v>360</v>
      </c>
      <c r="O83" s="362" t="s">
        <v>372</v>
      </c>
      <c r="P83" s="362" t="s">
        <v>360</v>
      </c>
      <c r="Q83" s="363" t="s">
        <v>360</v>
      </c>
      <c r="R83" s="361" t="s">
        <v>360</v>
      </c>
      <c r="S83" s="362" t="s">
        <v>372</v>
      </c>
      <c r="T83" s="362" t="s">
        <v>360</v>
      </c>
      <c r="U83" s="363" t="s">
        <v>360</v>
      </c>
      <c r="V83" s="361" t="s">
        <v>360</v>
      </c>
      <c r="W83" s="362" t="s">
        <v>372</v>
      </c>
      <c r="X83" s="362" t="s">
        <v>360</v>
      </c>
      <c r="Y83" s="363" t="s">
        <v>360</v>
      </c>
      <c r="Z83" s="361" t="s">
        <v>360</v>
      </c>
      <c r="AA83" s="362" t="s">
        <v>372</v>
      </c>
      <c r="AB83" s="362" t="s">
        <v>360</v>
      </c>
      <c r="AC83" s="363" t="s">
        <v>360</v>
      </c>
      <c r="AD83" s="361" t="s">
        <v>360</v>
      </c>
      <c r="AE83" s="362" t="s">
        <v>372</v>
      </c>
      <c r="AF83" s="362" t="s">
        <v>360</v>
      </c>
      <c r="AG83" s="363" t="s">
        <v>360</v>
      </c>
      <c r="AH83" s="361" t="s">
        <v>360</v>
      </c>
      <c r="AI83" s="362" t="s">
        <v>372</v>
      </c>
      <c r="AJ83" s="362" t="s">
        <v>360</v>
      </c>
      <c r="AK83" s="363" t="s">
        <v>360</v>
      </c>
      <c r="AL83" s="361" t="s">
        <v>360</v>
      </c>
      <c r="AM83" s="362" t="s">
        <v>372</v>
      </c>
      <c r="AN83" s="362" t="s">
        <v>360</v>
      </c>
      <c r="AO83" s="363" t="s">
        <v>360</v>
      </c>
    </row>
    <row r="84" spans="1:41" ht="10" customHeight="1" x14ac:dyDescent="0.25">
      <c r="A84" s="364"/>
      <c r="B84" s="365" t="s">
        <v>373</v>
      </c>
      <c r="C84" s="366"/>
      <c r="D84" s="367" t="s">
        <v>183</v>
      </c>
      <c r="E84" s="368"/>
      <c r="F84" s="365" t="s">
        <v>373</v>
      </c>
      <c r="G84" s="366"/>
      <c r="H84" s="367" t="s">
        <v>183</v>
      </c>
      <c r="I84" s="368"/>
      <c r="J84" s="365" t="s">
        <v>373</v>
      </c>
      <c r="K84" s="366"/>
      <c r="L84" s="367" t="s">
        <v>183</v>
      </c>
      <c r="M84" s="368"/>
      <c r="N84" s="365" t="s">
        <v>373</v>
      </c>
      <c r="O84" s="366"/>
      <c r="P84" s="367" t="s">
        <v>183</v>
      </c>
      <c r="Q84" s="368"/>
      <c r="R84" s="365" t="s">
        <v>373</v>
      </c>
      <c r="S84" s="366"/>
      <c r="T84" s="367" t="s">
        <v>183</v>
      </c>
      <c r="U84" s="368"/>
      <c r="V84" s="365" t="s">
        <v>373</v>
      </c>
      <c r="W84" s="366"/>
      <c r="X84" s="367" t="s">
        <v>183</v>
      </c>
      <c r="Y84" s="368"/>
      <c r="Z84" s="365" t="s">
        <v>373</v>
      </c>
      <c r="AA84" s="366"/>
      <c r="AB84" s="367" t="s">
        <v>183</v>
      </c>
      <c r="AC84" s="368"/>
      <c r="AD84" s="365" t="s">
        <v>373</v>
      </c>
      <c r="AE84" s="366"/>
      <c r="AF84" s="367" t="s">
        <v>183</v>
      </c>
      <c r="AG84" s="368"/>
      <c r="AH84" s="365" t="s">
        <v>373</v>
      </c>
      <c r="AI84" s="366"/>
      <c r="AJ84" s="367" t="s">
        <v>183</v>
      </c>
      <c r="AK84" s="368"/>
      <c r="AL84" s="365" t="s">
        <v>373</v>
      </c>
      <c r="AM84" s="366"/>
      <c r="AN84" s="367" t="s">
        <v>183</v>
      </c>
      <c r="AO84" s="368"/>
    </row>
    <row r="85" spans="1:41" ht="10" customHeight="1" x14ac:dyDescent="0.25">
      <c r="A85" s="369"/>
      <c r="B85" s="414"/>
      <c r="C85" s="415"/>
      <c r="D85" s="415"/>
      <c r="E85" s="416"/>
      <c r="F85" s="414"/>
      <c r="G85" s="415"/>
      <c r="H85" s="415"/>
      <c r="I85" s="416"/>
      <c r="J85" s="414"/>
      <c r="K85" s="415"/>
      <c r="L85" s="415"/>
      <c r="M85" s="416"/>
      <c r="N85" s="414"/>
      <c r="O85" s="415"/>
      <c r="P85" s="415"/>
      <c r="Q85" s="416"/>
      <c r="R85" s="414"/>
      <c r="S85" s="415"/>
      <c r="T85" s="415"/>
      <c r="U85" s="416"/>
      <c r="V85" s="414"/>
      <c r="W85" s="415"/>
      <c r="X85" s="415"/>
      <c r="Y85" s="416"/>
      <c r="Z85" s="414"/>
      <c r="AA85" s="415"/>
      <c r="AB85" s="415"/>
      <c r="AC85" s="416"/>
      <c r="AD85" s="414"/>
      <c r="AE85" s="415"/>
      <c r="AF85" s="415"/>
      <c r="AG85" s="416"/>
      <c r="AH85" s="414"/>
      <c r="AI85" s="415"/>
      <c r="AJ85" s="415"/>
      <c r="AK85" s="416"/>
      <c r="AL85" s="414"/>
      <c r="AM85" s="415"/>
      <c r="AN85" s="415"/>
      <c r="AO85" s="416"/>
    </row>
    <row r="86" spans="1:41" ht="10" customHeight="1" x14ac:dyDescent="0.25">
      <c r="A86" s="373" t="s">
        <v>374</v>
      </c>
      <c r="B86" s="408">
        <v>23878</v>
      </c>
      <c r="C86" s="412"/>
      <c r="D86" s="374">
        <f>B86/$B$101</f>
        <v>0.79593333333333338</v>
      </c>
      <c r="E86" s="413"/>
      <c r="F86" s="408">
        <v>30000</v>
      </c>
      <c r="G86" s="412"/>
      <c r="H86" s="374">
        <f>F86/$B$101</f>
        <v>1</v>
      </c>
      <c r="I86" s="413"/>
      <c r="J86" s="408">
        <v>30000</v>
      </c>
      <c r="K86" s="412"/>
      <c r="L86" s="374">
        <f>J86/$B$101</f>
        <v>1</v>
      </c>
      <c r="M86" s="413"/>
      <c r="N86" s="408">
        <v>30000</v>
      </c>
      <c r="O86" s="412"/>
      <c r="P86" s="374">
        <f>N86/$B$101</f>
        <v>1</v>
      </c>
      <c r="Q86" s="413"/>
      <c r="R86" s="408">
        <v>30000</v>
      </c>
      <c r="S86" s="412"/>
      <c r="T86" s="374">
        <f>R86/$B$101</f>
        <v>1</v>
      </c>
      <c r="U86" s="413"/>
      <c r="V86" s="408">
        <v>30000</v>
      </c>
      <c r="W86" s="412"/>
      <c r="X86" s="374">
        <f>V86/$B$101</f>
        <v>1</v>
      </c>
      <c r="Y86" s="413"/>
      <c r="Z86" s="408">
        <v>30000</v>
      </c>
      <c r="AA86" s="412"/>
      <c r="AB86" s="374">
        <f>Z86/$B$101</f>
        <v>1</v>
      </c>
      <c r="AC86" s="413"/>
      <c r="AD86" s="408">
        <v>30000</v>
      </c>
      <c r="AE86" s="412"/>
      <c r="AF86" s="374">
        <f>AD86/$B$101</f>
        <v>1</v>
      </c>
      <c r="AG86" s="413"/>
      <c r="AH86" s="408">
        <v>30000</v>
      </c>
      <c r="AI86" s="412"/>
      <c r="AJ86" s="374">
        <f>AH86/$B$101</f>
        <v>1</v>
      </c>
      <c r="AK86" s="413"/>
      <c r="AL86" s="408">
        <v>30000</v>
      </c>
      <c r="AM86" s="412"/>
      <c r="AN86" s="374">
        <f>AL86/$B$101</f>
        <v>1</v>
      </c>
      <c r="AO86" s="413"/>
    </row>
    <row r="87" spans="1:41" ht="10" customHeight="1" x14ac:dyDescent="0.25">
      <c r="A87" s="373" t="s">
        <v>375</v>
      </c>
      <c r="B87" s="408">
        <v>23878</v>
      </c>
      <c r="C87" s="412"/>
      <c r="D87" s="374">
        <f t="shared" ref="D87:D97" si="40">B87/$B$101</f>
        <v>0.79593333333333338</v>
      </c>
      <c r="E87" s="413"/>
      <c r="F87" s="408">
        <v>30000</v>
      </c>
      <c r="G87" s="412"/>
      <c r="H87" s="374">
        <f t="shared" ref="H87:H97" si="41">F87/$B$101</f>
        <v>1</v>
      </c>
      <c r="I87" s="413"/>
      <c r="J87" s="408">
        <v>30000</v>
      </c>
      <c r="K87" s="412"/>
      <c r="L87" s="374">
        <f t="shared" ref="L87:L97" si="42">J87/$B$101</f>
        <v>1</v>
      </c>
      <c r="M87" s="413"/>
      <c r="N87" s="408">
        <v>30000</v>
      </c>
      <c r="O87" s="412"/>
      <c r="P87" s="374">
        <f t="shared" ref="P87:P97" si="43">N87/$B$101</f>
        <v>1</v>
      </c>
      <c r="Q87" s="413"/>
      <c r="R87" s="408">
        <v>30000</v>
      </c>
      <c r="S87" s="412"/>
      <c r="T87" s="374">
        <f t="shared" ref="T87:T97" si="44">R87/$B$101</f>
        <v>1</v>
      </c>
      <c r="U87" s="413"/>
      <c r="V87" s="408">
        <v>30000</v>
      </c>
      <c r="W87" s="412"/>
      <c r="X87" s="374">
        <f t="shared" ref="X87:X97" si="45">V87/$B$101</f>
        <v>1</v>
      </c>
      <c r="Y87" s="413"/>
      <c r="Z87" s="408">
        <v>30000</v>
      </c>
      <c r="AA87" s="412"/>
      <c r="AB87" s="374">
        <f t="shared" ref="AB87:AB97" si="46">Z87/$B$101</f>
        <v>1</v>
      </c>
      <c r="AC87" s="413"/>
      <c r="AD87" s="408">
        <v>30000</v>
      </c>
      <c r="AE87" s="412"/>
      <c r="AF87" s="374">
        <f t="shared" ref="AF87:AF97" si="47">AD87/$B$101</f>
        <v>1</v>
      </c>
      <c r="AG87" s="413"/>
      <c r="AH87" s="408">
        <v>30000</v>
      </c>
      <c r="AI87" s="412"/>
      <c r="AJ87" s="374">
        <f t="shared" ref="AJ87:AJ97" si="48">AH87/$B$101</f>
        <v>1</v>
      </c>
      <c r="AK87" s="413"/>
      <c r="AL87" s="408">
        <v>30000</v>
      </c>
      <c r="AM87" s="412"/>
      <c r="AN87" s="374">
        <f t="shared" ref="AN87:AN97" si="49">AL87/$B$101</f>
        <v>1</v>
      </c>
      <c r="AO87" s="413"/>
    </row>
    <row r="88" spans="1:41" ht="10" customHeight="1" x14ac:dyDescent="0.25">
      <c r="A88" s="373" t="s">
        <v>376</v>
      </c>
      <c r="B88" s="408">
        <v>23878</v>
      </c>
      <c r="C88" s="412"/>
      <c r="D88" s="374">
        <f t="shared" si="40"/>
        <v>0.79593333333333338</v>
      </c>
      <c r="E88" s="413"/>
      <c r="F88" s="408">
        <v>30000</v>
      </c>
      <c r="G88" s="412"/>
      <c r="H88" s="374">
        <f t="shared" si="41"/>
        <v>1</v>
      </c>
      <c r="I88" s="413"/>
      <c r="J88" s="408">
        <v>30000</v>
      </c>
      <c r="K88" s="412"/>
      <c r="L88" s="374">
        <f t="shared" si="42"/>
        <v>1</v>
      </c>
      <c r="M88" s="413"/>
      <c r="N88" s="408">
        <v>30000</v>
      </c>
      <c r="O88" s="412"/>
      <c r="P88" s="374">
        <f t="shared" si="43"/>
        <v>1</v>
      </c>
      <c r="Q88" s="413"/>
      <c r="R88" s="408">
        <v>30000</v>
      </c>
      <c r="S88" s="412"/>
      <c r="T88" s="374">
        <f t="shared" si="44"/>
        <v>1</v>
      </c>
      <c r="U88" s="413"/>
      <c r="V88" s="408">
        <v>30000</v>
      </c>
      <c r="W88" s="412"/>
      <c r="X88" s="374">
        <f t="shared" si="45"/>
        <v>1</v>
      </c>
      <c r="Y88" s="413"/>
      <c r="Z88" s="408">
        <v>30000</v>
      </c>
      <c r="AA88" s="412"/>
      <c r="AB88" s="374">
        <f t="shared" si="46"/>
        <v>1</v>
      </c>
      <c r="AC88" s="413"/>
      <c r="AD88" s="408">
        <v>30000</v>
      </c>
      <c r="AE88" s="412"/>
      <c r="AF88" s="374">
        <f t="shared" si="47"/>
        <v>1</v>
      </c>
      <c r="AG88" s="413"/>
      <c r="AH88" s="408">
        <v>30000</v>
      </c>
      <c r="AI88" s="412"/>
      <c r="AJ88" s="374">
        <f t="shared" si="48"/>
        <v>1</v>
      </c>
      <c r="AK88" s="413"/>
      <c r="AL88" s="408">
        <v>30000</v>
      </c>
      <c r="AM88" s="412"/>
      <c r="AN88" s="374">
        <f t="shared" si="49"/>
        <v>1</v>
      </c>
      <c r="AO88" s="413"/>
    </row>
    <row r="89" spans="1:41" ht="10" customHeight="1" x14ac:dyDescent="0.25">
      <c r="A89" s="373" t="s">
        <v>377</v>
      </c>
      <c r="B89" s="408">
        <v>26175</v>
      </c>
      <c r="C89" s="412"/>
      <c r="D89" s="374">
        <f t="shared" si="40"/>
        <v>0.87250000000000005</v>
      </c>
      <c r="E89" s="413"/>
      <c r="F89" s="408">
        <v>30000</v>
      </c>
      <c r="G89" s="412"/>
      <c r="H89" s="374">
        <f t="shared" si="41"/>
        <v>1</v>
      </c>
      <c r="I89" s="413"/>
      <c r="J89" s="408">
        <v>30000</v>
      </c>
      <c r="K89" s="412"/>
      <c r="L89" s="374">
        <f t="shared" si="42"/>
        <v>1</v>
      </c>
      <c r="M89" s="413"/>
      <c r="N89" s="408">
        <v>30000</v>
      </c>
      <c r="O89" s="412"/>
      <c r="P89" s="374">
        <f t="shared" si="43"/>
        <v>1</v>
      </c>
      <c r="Q89" s="413"/>
      <c r="R89" s="408">
        <v>30000</v>
      </c>
      <c r="S89" s="412"/>
      <c r="T89" s="374">
        <f t="shared" si="44"/>
        <v>1</v>
      </c>
      <c r="U89" s="413"/>
      <c r="V89" s="408">
        <v>30000</v>
      </c>
      <c r="W89" s="412"/>
      <c r="X89" s="374">
        <f t="shared" si="45"/>
        <v>1</v>
      </c>
      <c r="Y89" s="413"/>
      <c r="Z89" s="408">
        <v>30000</v>
      </c>
      <c r="AA89" s="412"/>
      <c r="AB89" s="374">
        <f t="shared" si="46"/>
        <v>1</v>
      </c>
      <c r="AC89" s="413"/>
      <c r="AD89" s="408">
        <v>30000</v>
      </c>
      <c r="AE89" s="412"/>
      <c r="AF89" s="374">
        <f t="shared" si="47"/>
        <v>1</v>
      </c>
      <c r="AG89" s="413"/>
      <c r="AH89" s="408">
        <v>30000</v>
      </c>
      <c r="AI89" s="412"/>
      <c r="AJ89" s="374">
        <f t="shared" si="48"/>
        <v>1</v>
      </c>
      <c r="AK89" s="413"/>
      <c r="AL89" s="408">
        <v>30000</v>
      </c>
      <c r="AM89" s="412"/>
      <c r="AN89" s="374">
        <f t="shared" si="49"/>
        <v>1</v>
      </c>
      <c r="AO89" s="413"/>
    </row>
    <row r="90" spans="1:41" ht="10" customHeight="1" x14ac:dyDescent="0.25">
      <c r="A90" s="373" t="s">
        <v>378</v>
      </c>
      <c r="B90" s="408">
        <v>26175</v>
      </c>
      <c r="C90" s="412"/>
      <c r="D90" s="374">
        <f t="shared" si="40"/>
        <v>0.87250000000000005</v>
      </c>
      <c r="E90" s="413"/>
      <c r="F90" s="408">
        <v>30000</v>
      </c>
      <c r="G90" s="412"/>
      <c r="H90" s="374">
        <f t="shared" si="41"/>
        <v>1</v>
      </c>
      <c r="I90" s="413"/>
      <c r="J90" s="408">
        <v>30000</v>
      </c>
      <c r="K90" s="412"/>
      <c r="L90" s="374">
        <f t="shared" si="42"/>
        <v>1</v>
      </c>
      <c r="M90" s="413"/>
      <c r="N90" s="408">
        <v>30000</v>
      </c>
      <c r="O90" s="412"/>
      <c r="P90" s="374">
        <f t="shared" si="43"/>
        <v>1</v>
      </c>
      <c r="Q90" s="413"/>
      <c r="R90" s="408">
        <v>30000</v>
      </c>
      <c r="S90" s="412"/>
      <c r="T90" s="374">
        <f t="shared" si="44"/>
        <v>1</v>
      </c>
      <c r="U90" s="413"/>
      <c r="V90" s="408">
        <v>30000</v>
      </c>
      <c r="W90" s="412"/>
      <c r="X90" s="374">
        <f t="shared" si="45"/>
        <v>1</v>
      </c>
      <c r="Y90" s="413"/>
      <c r="Z90" s="408">
        <v>30000</v>
      </c>
      <c r="AA90" s="412"/>
      <c r="AB90" s="374">
        <f t="shared" si="46"/>
        <v>1</v>
      </c>
      <c r="AC90" s="413"/>
      <c r="AD90" s="408">
        <v>30000</v>
      </c>
      <c r="AE90" s="412"/>
      <c r="AF90" s="374">
        <f t="shared" si="47"/>
        <v>1</v>
      </c>
      <c r="AG90" s="413"/>
      <c r="AH90" s="408">
        <v>30000</v>
      </c>
      <c r="AI90" s="412"/>
      <c r="AJ90" s="374">
        <f t="shared" si="48"/>
        <v>1</v>
      </c>
      <c r="AK90" s="413"/>
      <c r="AL90" s="408">
        <v>30000</v>
      </c>
      <c r="AM90" s="412"/>
      <c r="AN90" s="374">
        <f t="shared" si="49"/>
        <v>1</v>
      </c>
      <c r="AO90" s="413"/>
    </row>
    <row r="91" spans="1:41" ht="10" customHeight="1" x14ac:dyDescent="0.25">
      <c r="A91" s="373" t="s">
        <v>379</v>
      </c>
      <c r="B91" s="408">
        <v>26175</v>
      </c>
      <c r="C91" s="412"/>
      <c r="D91" s="374">
        <f t="shared" si="40"/>
        <v>0.87250000000000005</v>
      </c>
      <c r="E91" s="413"/>
      <c r="F91" s="408">
        <v>30000</v>
      </c>
      <c r="G91" s="412"/>
      <c r="H91" s="374">
        <f t="shared" si="41"/>
        <v>1</v>
      </c>
      <c r="I91" s="413"/>
      <c r="J91" s="408">
        <v>30000</v>
      </c>
      <c r="K91" s="412"/>
      <c r="L91" s="374">
        <f t="shared" si="42"/>
        <v>1</v>
      </c>
      <c r="M91" s="413"/>
      <c r="N91" s="408">
        <v>30000</v>
      </c>
      <c r="O91" s="412"/>
      <c r="P91" s="374">
        <f t="shared" si="43"/>
        <v>1</v>
      </c>
      <c r="Q91" s="413"/>
      <c r="R91" s="408">
        <v>30000</v>
      </c>
      <c r="S91" s="412"/>
      <c r="T91" s="374">
        <f t="shared" si="44"/>
        <v>1</v>
      </c>
      <c r="U91" s="413"/>
      <c r="V91" s="408">
        <v>30000</v>
      </c>
      <c r="W91" s="412"/>
      <c r="X91" s="374">
        <f t="shared" si="45"/>
        <v>1</v>
      </c>
      <c r="Y91" s="413"/>
      <c r="Z91" s="408">
        <v>30000</v>
      </c>
      <c r="AA91" s="412"/>
      <c r="AB91" s="374">
        <f t="shared" si="46"/>
        <v>1</v>
      </c>
      <c r="AC91" s="413"/>
      <c r="AD91" s="408">
        <v>30000</v>
      </c>
      <c r="AE91" s="412"/>
      <c r="AF91" s="374">
        <f t="shared" si="47"/>
        <v>1</v>
      </c>
      <c r="AG91" s="413"/>
      <c r="AH91" s="408">
        <v>30000</v>
      </c>
      <c r="AI91" s="412"/>
      <c r="AJ91" s="374">
        <f t="shared" si="48"/>
        <v>1</v>
      </c>
      <c r="AK91" s="413"/>
      <c r="AL91" s="408">
        <v>30000</v>
      </c>
      <c r="AM91" s="412"/>
      <c r="AN91" s="374">
        <f t="shared" si="49"/>
        <v>1</v>
      </c>
      <c r="AO91" s="413"/>
    </row>
    <row r="92" spans="1:41" ht="10" customHeight="1" x14ac:dyDescent="0.25">
      <c r="A92" s="373" t="s">
        <v>380</v>
      </c>
      <c r="B92" s="408">
        <v>26175</v>
      </c>
      <c r="C92" s="412"/>
      <c r="D92" s="374">
        <f t="shared" si="40"/>
        <v>0.87250000000000005</v>
      </c>
      <c r="E92" s="413"/>
      <c r="F92" s="408">
        <v>30000</v>
      </c>
      <c r="G92" s="412"/>
      <c r="H92" s="374">
        <f t="shared" si="41"/>
        <v>1</v>
      </c>
      <c r="I92" s="413"/>
      <c r="J92" s="408">
        <v>30000</v>
      </c>
      <c r="K92" s="412"/>
      <c r="L92" s="374">
        <f t="shared" si="42"/>
        <v>1</v>
      </c>
      <c r="M92" s="413"/>
      <c r="N92" s="408">
        <v>30000</v>
      </c>
      <c r="O92" s="412"/>
      <c r="P92" s="374">
        <f t="shared" si="43"/>
        <v>1</v>
      </c>
      <c r="Q92" s="413"/>
      <c r="R92" s="408">
        <v>30000</v>
      </c>
      <c r="S92" s="412"/>
      <c r="T92" s="374">
        <f t="shared" si="44"/>
        <v>1</v>
      </c>
      <c r="U92" s="413"/>
      <c r="V92" s="408">
        <v>30000</v>
      </c>
      <c r="W92" s="412"/>
      <c r="X92" s="374">
        <f t="shared" si="45"/>
        <v>1</v>
      </c>
      <c r="Y92" s="413"/>
      <c r="Z92" s="408">
        <v>30000</v>
      </c>
      <c r="AA92" s="412"/>
      <c r="AB92" s="374">
        <f t="shared" si="46"/>
        <v>1</v>
      </c>
      <c r="AC92" s="413"/>
      <c r="AD92" s="408">
        <v>30000</v>
      </c>
      <c r="AE92" s="412"/>
      <c r="AF92" s="374">
        <f t="shared" si="47"/>
        <v>1</v>
      </c>
      <c r="AG92" s="413"/>
      <c r="AH92" s="408">
        <v>30000</v>
      </c>
      <c r="AI92" s="412"/>
      <c r="AJ92" s="374">
        <f t="shared" si="48"/>
        <v>1</v>
      </c>
      <c r="AK92" s="413"/>
      <c r="AL92" s="408">
        <v>30000</v>
      </c>
      <c r="AM92" s="412"/>
      <c r="AN92" s="374">
        <f t="shared" si="49"/>
        <v>1</v>
      </c>
      <c r="AO92" s="413"/>
    </row>
    <row r="93" spans="1:41" ht="10" customHeight="1" x14ac:dyDescent="0.25">
      <c r="A93" s="373" t="s">
        <v>381</v>
      </c>
      <c r="B93" s="408">
        <v>30000</v>
      </c>
      <c r="C93" s="412"/>
      <c r="D93" s="374">
        <f t="shared" si="40"/>
        <v>1</v>
      </c>
      <c r="E93" s="413"/>
      <c r="F93" s="408">
        <v>30000</v>
      </c>
      <c r="G93" s="412"/>
      <c r="H93" s="374">
        <f t="shared" si="41"/>
        <v>1</v>
      </c>
      <c r="I93" s="413"/>
      <c r="J93" s="408">
        <v>30000</v>
      </c>
      <c r="K93" s="412"/>
      <c r="L93" s="374">
        <f t="shared" si="42"/>
        <v>1</v>
      </c>
      <c r="M93" s="413"/>
      <c r="N93" s="408">
        <v>30000</v>
      </c>
      <c r="O93" s="412"/>
      <c r="P93" s="374">
        <f t="shared" si="43"/>
        <v>1</v>
      </c>
      <c r="Q93" s="413"/>
      <c r="R93" s="408">
        <v>30000</v>
      </c>
      <c r="S93" s="412"/>
      <c r="T93" s="374">
        <f t="shared" si="44"/>
        <v>1</v>
      </c>
      <c r="U93" s="413"/>
      <c r="V93" s="408">
        <v>30000</v>
      </c>
      <c r="W93" s="412"/>
      <c r="X93" s="374">
        <f t="shared" si="45"/>
        <v>1</v>
      </c>
      <c r="Y93" s="413"/>
      <c r="Z93" s="408">
        <v>30000</v>
      </c>
      <c r="AA93" s="412"/>
      <c r="AB93" s="374">
        <f t="shared" si="46"/>
        <v>1</v>
      </c>
      <c r="AC93" s="413"/>
      <c r="AD93" s="408">
        <v>30000</v>
      </c>
      <c r="AE93" s="412"/>
      <c r="AF93" s="374">
        <f t="shared" si="47"/>
        <v>1</v>
      </c>
      <c r="AG93" s="413"/>
      <c r="AH93" s="408">
        <v>30000</v>
      </c>
      <c r="AI93" s="412"/>
      <c r="AJ93" s="374">
        <f t="shared" si="48"/>
        <v>1</v>
      </c>
      <c r="AK93" s="413"/>
      <c r="AL93" s="408">
        <v>30000</v>
      </c>
      <c r="AM93" s="412"/>
      <c r="AN93" s="374">
        <f t="shared" si="49"/>
        <v>1</v>
      </c>
      <c r="AO93" s="413"/>
    </row>
    <row r="94" spans="1:41" ht="10" customHeight="1" x14ac:dyDescent="0.25">
      <c r="A94" s="373" t="s">
        <v>382</v>
      </c>
      <c r="B94" s="408">
        <v>30000</v>
      </c>
      <c r="C94" s="412"/>
      <c r="D94" s="374">
        <f t="shared" si="40"/>
        <v>1</v>
      </c>
      <c r="E94" s="413"/>
      <c r="F94" s="408">
        <v>30000</v>
      </c>
      <c r="G94" s="412"/>
      <c r="H94" s="374">
        <f t="shared" si="41"/>
        <v>1</v>
      </c>
      <c r="I94" s="413"/>
      <c r="J94" s="408">
        <v>30000</v>
      </c>
      <c r="K94" s="412"/>
      <c r="L94" s="374">
        <f t="shared" si="42"/>
        <v>1</v>
      </c>
      <c r="M94" s="413"/>
      <c r="N94" s="408">
        <v>30000</v>
      </c>
      <c r="O94" s="412"/>
      <c r="P94" s="374">
        <f t="shared" si="43"/>
        <v>1</v>
      </c>
      <c r="Q94" s="413"/>
      <c r="R94" s="408">
        <v>30000</v>
      </c>
      <c r="S94" s="412"/>
      <c r="T94" s="374">
        <f t="shared" si="44"/>
        <v>1</v>
      </c>
      <c r="U94" s="413"/>
      <c r="V94" s="408">
        <v>30000</v>
      </c>
      <c r="W94" s="412"/>
      <c r="X94" s="374">
        <f t="shared" si="45"/>
        <v>1</v>
      </c>
      <c r="Y94" s="413"/>
      <c r="Z94" s="408">
        <v>30000</v>
      </c>
      <c r="AA94" s="412"/>
      <c r="AB94" s="374">
        <f t="shared" si="46"/>
        <v>1</v>
      </c>
      <c r="AC94" s="413"/>
      <c r="AD94" s="408">
        <v>30000</v>
      </c>
      <c r="AE94" s="412"/>
      <c r="AF94" s="374">
        <f t="shared" si="47"/>
        <v>1</v>
      </c>
      <c r="AG94" s="413"/>
      <c r="AH94" s="408">
        <v>30000</v>
      </c>
      <c r="AI94" s="412"/>
      <c r="AJ94" s="374">
        <f t="shared" si="48"/>
        <v>1</v>
      </c>
      <c r="AK94" s="413"/>
      <c r="AL94" s="408">
        <v>30000</v>
      </c>
      <c r="AM94" s="412"/>
      <c r="AN94" s="374">
        <f t="shared" si="49"/>
        <v>1</v>
      </c>
      <c r="AO94" s="413"/>
    </row>
    <row r="95" spans="1:41" ht="10" customHeight="1" x14ac:dyDescent="0.25">
      <c r="A95" s="373" t="s">
        <v>383</v>
      </c>
      <c r="B95" s="408">
        <v>30000</v>
      </c>
      <c r="C95" s="412"/>
      <c r="D95" s="374">
        <f t="shared" si="40"/>
        <v>1</v>
      </c>
      <c r="E95" s="413"/>
      <c r="F95" s="408">
        <v>30000</v>
      </c>
      <c r="G95" s="412"/>
      <c r="H95" s="374">
        <f t="shared" si="41"/>
        <v>1</v>
      </c>
      <c r="I95" s="413"/>
      <c r="J95" s="408">
        <v>30000</v>
      </c>
      <c r="K95" s="412"/>
      <c r="L95" s="374">
        <f t="shared" si="42"/>
        <v>1</v>
      </c>
      <c r="M95" s="413"/>
      <c r="N95" s="408">
        <v>30000</v>
      </c>
      <c r="O95" s="412"/>
      <c r="P95" s="374">
        <f t="shared" si="43"/>
        <v>1</v>
      </c>
      <c r="Q95" s="413"/>
      <c r="R95" s="408">
        <v>30000</v>
      </c>
      <c r="S95" s="412"/>
      <c r="T95" s="374">
        <f t="shared" si="44"/>
        <v>1</v>
      </c>
      <c r="U95" s="413"/>
      <c r="V95" s="408">
        <v>30000</v>
      </c>
      <c r="W95" s="412"/>
      <c r="X95" s="374">
        <f t="shared" si="45"/>
        <v>1</v>
      </c>
      <c r="Y95" s="413"/>
      <c r="Z95" s="408">
        <v>30000</v>
      </c>
      <c r="AA95" s="412"/>
      <c r="AB95" s="374">
        <f t="shared" si="46"/>
        <v>1</v>
      </c>
      <c r="AC95" s="413"/>
      <c r="AD95" s="408">
        <v>30000</v>
      </c>
      <c r="AE95" s="412"/>
      <c r="AF95" s="374">
        <f t="shared" si="47"/>
        <v>1</v>
      </c>
      <c r="AG95" s="413"/>
      <c r="AH95" s="408">
        <v>30000</v>
      </c>
      <c r="AI95" s="412"/>
      <c r="AJ95" s="374">
        <f t="shared" si="48"/>
        <v>1</v>
      </c>
      <c r="AK95" s="413"/>
      <c r="AL95" s="408">
        <v>30000</v>
      </c>
      <c r="AM95" s="412"/>
      <c r="AN95" s="374">
        <f t="shared" si="49"/>
        <v>1</v>
      </c>
      <c r="AO95" s="413"/>
    </row>
    <row r="96" spans="1:41" ht="10" customHeight="1" x14ac:dyDescent="0.25">
      <c r="A96" s="373" t="s">
        <v>384</v>
      </c>
      <c r="B96" s="408">
        <v>30000</v>
      </c>
      <c r="C96" s="412"/>
      <c r="D96" s="374">
        <f t="shared" si="40"/>
        <v>1</v>
      </c>
      <c r="E96" s="413"/>
      <c r="F96" s="408">
        <v>30000</v>
      </c>
      <c r="G96" s="412"/>
      <c r="H96" s="374">
        <f t="shared" si="41"/>
        <v>1</v>
      </c>
      <c r="I96" s="413"/>
      <c r="J96" s="408">
        <v>30000</v>
      </c>
      <c r="K96" s="412"/>
      <c r="L96" s="374">
        <f t="shared" si="42"/>
        <v>1</v>
      </c>
      <c r="M96" s="413"/>
      <c r="N96" s="408">
        <v>30000</v>
      </c>
      <c r="O96" s="412"/>
      <c r="P96" s="374">
        <f t="shared" si="43"/>
        <v>1</v>
      </c>
      <c r="Q96" s="413"/>
      <c r="R96" s="408">
        <v>30000</v>
      </c>
      <c r="S96" s="412"/>
      <c r="T96" s="374">
        <f t="shared" si="44"/>
        <v>1</v>
      </c>
      <c r="U96" s="413"/>
      <c r="V96" s="408">
        <v>30000</v>
      </c>
      <c r="W96" s="412"/>
      <c r="X96" s="374">
        <f t="shared" si="45"/>
        <v>1</v>
      </c>
      <c r="Y96" s="413"/>
      <c r="Z96" s="408">
        <v>30000</v>
      </c>
      <c r="AA96" s="412"/>
      <c r="AB96" s="374">
        <f t="shared" si="46"/>
        <v>1</v>
      </c>
      <c r="AC96" s="413"/>
      <c r="AD96" s="408">
        <v>30000</v>
      </c>
      <c r="AE96" s="412"/>
      <c r="AF96" s="374">
        <f t="shared" si="47"/>
        <v>1</v>
      </c>
      <c r="AG96" s="413"/>
      <c r="AH96" s="408">
        <v>30000</v>
      </c>
      <c r="AI96" s="412"/>
      <c r="AJ96" s="374">
        <f t="shared" si="48"/>
        <v>1</v>
      </c>
      <c r="AK96" s="413"/>
      <c r="AL96" s="408">
        <v>30000</v>
      </c>
      <c r="AM96" s="412"/>
      <c r="AN96" s="374">
        <f t="shared" si="49"/>
        <v>1</v>
      </c>
      <c r="AO96" s="413"/>
    </row>
    <row r="97" spans="1:41" ht="10" customHeight="1" x14ac:dyDescent="0.25">
      <c r="A97" s="373" t="s">
        <v>385</v>
      </c>
      <c r="B97" s="408">
        <v>30000</v>
      </c>
      <c r="C97" s="412"/>
      <c r="D97" s="374">
        <f t="shared" si="40"/>
        <v>1</v>
      </c>
      <c r="E97" s="413"/>
      <c r="F97" s="408">
        <v>30000</v>
      </c>
      <c r="G97" s="412"/>
      <c r="H97" s="374">
        <f t="shared" si="41"/>
        <v>1</v>
      </c>
      <c r="I97" s="413"/>
      <c r="J97" s="408">
        <v>30000</v>
      </c>
      <c r="K97" s="412"/>
      <c r="L97" s="374">
        <f t="shared" si="42"/>
        <v>1</v>
      </c>
      <c r="M97" s="413"/>
      <c r="N97" s="408">
        <v>30000</v>
      </c>
      <c r="O97" s="412"/>
      <c r="P97" s="374">
        <f t="shared" si="43"/>
        <v>1</v>
      </c>
      <c r="Q97" s="413"/>
      <c r="R97" s="408">
        <v>30000</v>
      </c>
      <c r="S97" s="412"/>
      <c r="T97" s="374">
        <f t="shared" si="44"/>
        <v>1</v>
      </c>
      <c r="U97" s="413"/>
      <c r="V97" s="408">
        <v>30000</v>
      </c>
      <c r="W97" s="412"/>
      <c r="X97" s="374">
        <f t="shared" si="45"/>
        <v>1</v>
      </c>
      <c r="Y97" s="413"/>
      <c r="Z97" s="408">
        <v>30000</v>
      </c>
      <c r="AA97" s="412"/>
      <c r="AB97" s="374">
        <f t="shared" si="46"/>
        <v>1</v>
      </c>
      <c r="AC97" s="413"/>
      <c r="AD97" s="408">
        <v>30000</v>
      </c>
      <c r="AE97" s="412"/>
      <c r="AF97" s="374">
        <f t="shared" si="47"/>
        <v>1</v>
      </c>
      <c r="AG97" s="413"/>
      <c r="AH97" s="408">
        <v>30000</v>
      </c>
      <c r="AI97" s="412"/>
      <c r="AJ97" s="374">
        <f t="shared" si="48"/>
        <v>1</v>
      </c>
      <c r="AK97" s="413"/>
      <c r="AL97" s="408">
        <v>30000</v>
      </c>
      <c r="AM97" s="412"/>
      <c r="AN97" s="374">
        <f t="shared" si="49"/>
        <v>1</v>
      </c>
      <c r="AO97" s="413"/>
    </row>
    <row r="98" spans="1:41" ht="10" customHeight="1" x14ac:dyDescent="0.25">
      <c r="A98" s="376"/>
      <c r="B98" s="409"/>
      <c r="C98" s="412"/>
      <c r="D98" s="412"/>
      <c r="E98" s="413"/>
      <c r="F98" s="409"/>
      <c r="G98" s="412"/>
      <c r="H98" s="412"/>
      <c r="I98" s="413"/>
      <c r="J98" s="409"/>
      <c r="K98" s="412"/>
      <c r="L98" s="412"/>
      <c r="M98" s="413"/>
      <c r="N98" s="409"/>
      <c r="O98" s="412"/>
      <c r="P98" s="412"/>
      <c r="Q98" s="413"/>
      <c r="R98" s="409"/>
      <c r="S98" s="412"/>
      <c r="T98" s="412"/>
      <c r="U98" s="413"/>
      <c r="V98" s="409"/>
      <c r="W98" s="412"/>
      <c r="X98" s="412"/>
      <c r="Y98" s="413"/>
      <c r="Z98" s="409"/>
      <c r="AA98" s="412"/>
      <c r="AB98" s="412"/>
      <c r="AC98" s="413"/>
      <c r="AD98" s="409"/>
      <c r="AE98" s="412"/>
      <c r="AF98" s="412"/>
      <c r="AG98" s="413"/>
      <c r="AH98" s="409"/>
      <c r="AI98" s="412"/>
      <c r="AJ98" s="412"/>
      <c r="AK98" s="413"/>
      <c r="AL98" s="409"/>
      <c r="AM98" s="412"/>
      <c r="AN98" s="412"/>
      <c r="AO98" s="413"/>
    </row>
    <row r="99" spans="1:41" ht="10" customHeight="1" x14ac:dyDescent="0.25">
      <c r="A99" s="373" t="s">
        <v>386</v>
      </c>
      <c r="B99" s="378">
        <f>AVERAGE(B86:B97)</f>
        <v>27194.5</v>
      </c>
      <c r="D99" s="389">
        <f>AVERAGE(D86:D97)</f>
        <v>0.90648333333333342</v>
      </c>
      <c r="E99" s="375"/>
      <c r="F99" s="378">
        <f>AVERAGE(F86:F97)</f>
        <v>30000</v>
      </c>
      <c r="H99" s="389">
        <f>AVERAGE(H86:H97)</f>
        <v>1</v>
      </c>
      <c r="I99" s="375"/>
      <c r="J99" s="378">
        <f>AVERAGE(J86:J97)</f>
        <v>30000</v>
      </c>
      <c r="L99" s="389">
        <f>AVERAGE(L86:L97)</f>
        <v>1</v>
      </c>
      <c r="M99" s="375"/>
      <c r="N99" s="378">
        <f>AVERAGE(N86:N97)</f>
        <v>30000</v>
      </c>
      <c r="P99" s="389">
        <f>AVERAGE(P86:P97)</f>
        <v>1</v>
      </c>
      <c r="Q99" s="375"/>
      <c r="R99" s="378">
        <f>AVERAGE(R86:R97)</f>
        <v>30000</v>
      </c>
      <c r="T99" s="389">
        <f>AVERAGE(T86:T97)</f>
        <v>1</v>
      </c>
      <c r="U99" s="375"/>
      <c r="V99" s="378">
        <f>AVERAGE(V86:V97)</f>
        <v>30000</v>
      </c>
      <c r="X99" s="389">
        <f>AVERAGE(X86:X97)</f>
        <v>1</v>
      </c>
      <c r="Y99" s="375"/>
      <c r="Z99" s="378">
        <f>AVERAGE(Z86:Z97)</f>
        <v>30000</v>
      </c>
      <c r="AB99" s="389">
        <f>AVERAGE(AB86:AB97)</f>
        <v>1</v>
      </c>
      <c r="AC99" s="375"/>
      <c r="AD99" s="378">
        <f>AVERAGE(AD86:AD97)</f>
        <v>30000</v>
      </c>
      <c r="AF99" s="389">
        <f>AVERAGE(AF86:AF97)</f>
        <v>1</v>
      </c>
      <c r="AG99" s="375"/>
      <c r="AH99" s="378">
        <f>AVERAGE(AH86:AH97)</f>
        <v>30000</v>
      </c>
      <c r="AJ99" s="389">
        <f>AVERAGE(AJ86:AJ97)</f>
        <v>1</v>
      </c>
      <c r="AK99" s="375"/>
      <c r="AL99" s="378">
        <f>AVERAGE(AL86:AL97)</f>
        <v>30000</v>
      </c>
      <c r="AN99" s="389">
        <f>AVERAGE(AN86:AN97)</f>
        <v>1</v>
      </c>
      <c r="AO99" s="375"/>
    </row>
    <row r="100" spans="1:41" ht="10" customHeight="1" x14ac:dyDescent="0.25">
      <c r="A100" s="376"/>
      <c r="B100" s="409"/>
      <c r="C100" s="412"/>
      <c r="D100" s="412"/>
      <c r="E100" s="413"/>
      <c r="F100" s="409"/>
      <c r="G100" s="412"/>
      <c r="H100" s="412"/>
      <c r="I100" s="413"/>
      <c r="J100" s="409"/>
      <c r="K100" s="412"/>
      <c r="L100" s="412"/>
      <c r="M100" s="413"/>
      <c r="N100" s="409"/>
      <c r="O100" s="412"/>
      <c r="P100" s="412"/>
      <c r="Q100" s="413"/>
      <c r="R100" s="409"/>
      <c r="S100" s="412"/>
      <c r="T100" s="412"/>
      <c r="U100" s="413"/>
      <c r="V100" s="409"/>
      <c r="W100" s="412"/>
      <c r="X100" s="412"/>
      <c r="Y100" s="413"/>
      <c r="Z100" s="409"/>
      <c r="AA100" s="412"/>
      <c r="AB100" s="412"/>
      <c r="AC100" s="413"/>
      <c r="AD100" s="409"/>
      <c r="AE100" s="412"/>
      <c r="AF100" s="412"/>
      <c r="AG100" s="413"/>
      <c r="AH100" s="409"/>
      <c r="AI100" s="412"/>
      <c r="AJ100" s="412"/>
      <c r="AK100" s="413"/>
      <c r="AL100" s="409"/>
      <c r="AM100" s="412"/>
      <c r="AN100" s="412"/>
      <c r="AO100" s="413"/>
    </row>
    <row r="101" spans="1:41" ht="10" customHeight="1" x14ac:dyDescent="0.25">
      <c r="A101" s="379" t="s">
        <v>387</v>
      </c>
      <c r="B101" s="407">
        <v>30000</v>
      </c>
      <c r="C101" s="410"/>
      <c r="D101" s="410"/>
      <c r="E101" s="411"/>
      <c r="F101" s="407">
        <v>30000</v>
      </c>
      <c r="G101" s="410"/>
      <c r="H101" s="410"/>
      <c r="I101" s="411"/>
      <c r="J101" s="407">
        <v>30000</v>
      </c>
      <c r="K101" s="410"/>
      <c r="L101" s="410"/>
      <c r="M101" s="411"/>
      <c r="N101" s="407">
        <v>30000</v>
      </c>
      <c r="O101" s="410"/>
      <c r="P101" s="410"/>
      <c r="Q101" s="411"/>
      <c r="R101" s="407">
        <v>30000</v>
      </c>
      <c r="S101" s="410"/>
      <c r="T101" s="410"/>
      <c r="U101" s="411"/>
      <c r="V101" s="407">
        <v>30000</v>
      </c>
      <c r="W101" s="410"/>
      <c r="X101" s="410"/>
      <c r="Y101" s="411"/>
      <c r="Z101" s="407">
        <v>30000</v>
      </c>
      <c r="AA101" s="410"/>
      <c r="AB101" s="410"/>
      <c r="AC101" s="411"/>
      <c r="AD101" s="407">
        <v>30000</v>
      </c>
      <c r="AE101" s="410"/>
      <c r="AF101" s="410"/>
      <c r="AG101" s="411"/>
      <c r="AH101" s="407">
        <v>30000</v>
      </c>
      <c r="AI101" s="410"/>
      <c r="AJ101" s="410"/>
      <c r="AK101" s="411"/>
      <c r="AL101" s="407">
        <v>30000</v>
      </c>
      <c r="AM101" s="410"/>
      <c r="AN101" s="410"/>
      <c r="AO101" s="411"/>
    </row>
    <row r="103" spans="1:41" ht="10" customHeight="1" x14ac:dyDescent="0.25">
      <c r="A103" s="525" t="s">
        <v>394</v>
      </c>
      <c r="B103" s="525"/>
      <c r="C103" s="525"/>
      <c r="D103" s="525"/>
      <c r="E103" s="525"/>
      <c r="F103" s="525"/>
      <c r="G103" s="525"/>
      <c r="H103" s="525"/>
      <c r="I103" s="525"/>
      <c r="J103" s="525"/>
      <c r="K103" s="525"/>
      <c r="L103" s="525"/>
      <c r="M103" s="525"/>
      <c r="N103" s="525"/>
      <c r="O103" s="525"/>
      <c r="P103" s="525"/>
      <c r="Q103" s="525"/>
      <c r="R103" s="525"/>
    </row>
    <row r="104" spans="1:41" ht="10" customHeight="1" x14ac:dyDescent="0.25">
      <c r="A104" s="525" t="s">
        <v>297</v>
      </c>
      <c r="B104" s="525"/>
      <c r="C104" s="525"/>
      <c r="D104" s="525"/>
      <c r="E104" s="525"/>
      <c r="F104" s="525"/>
      <c r="G104" s="525"/>
      <c r="H104" s="525"/>
      <c r="I104" s="525"/>
      <c r="J104" s="525"/>
      <c r="K104" s="525"/>
      <c r="L104" s="525"/>
      <c r="M104" s="525"/>
      <c r="N104" s="525"/>
      <c r="O104" s="525"/>
      <c r="P104" s="525"/>
      <c r="Q104" s="525"/>
      <c r="R104" s="525"/>
    </row>
    <row r="105" spans="1:41" ht="10" customHeight="1" x14ac:dyDescent="0.25">
      <c r="A105" s="525" t="s">
        <v>395</v>
      </c>
      <c r="B105" s="525"/>
      <c r="C105" s="525"/>
      <c r="D105" s="525"/>
      <c r="E105" s="525"/>
      <c r="F105" s="525"/>
      <c r="G105" s="525"/>
      <c r="H105" s="525"/>
      <c r="I105" s="525"/>
      <c r="J105" s="525"/>
      <c r="K105" s="525"/>
      <c r="L105" s="525"/>
      <c r="M105" s="525"/>
      <c r="N105" s="525"/>
      <c r="O105" s="525"/>
      <c r="P105" s="525"/>
      <c r="Q105" s="525"/>
      <c r="R105" s="525"/>
    </row>
    <row r="107" spans="1:41" ht="10" customHeight="1" x14ac:dyDescent="0.25">
      <c r="A107" s="359"/>
      <c r="B107" s="386" t="s">
        <v>360</v>
      </c>
      <c r="C107" s="384" t="s">
        <v>361</v>
      </c>
      <c r="D107" s="384" t="s">
        <v>360</v>
      </c>
      <c r="E107" s="385" t="s">
        <v>360</v>
      </c>
      <c r="F107" s="386" t="s">
        <v>360</v>
      </c>
      <c r="G107" s="384" t="s">
        <v>362</v>
      </c>
      <c r="H107" s="384" t="s">
        <v>360</v>
      </c>
      <c r="I107" s="385" t="s">
        <v>360</v>
      </c>
      <c r="J107" s="386" t="s">
        <v>360</v>
      </c>
      <c r="K107" s="384" t="s">
        <v>363</v>
      </c>
      <c r="L107" s="384" t="s">
        <v>360</v>
      </c>
      <c r="M107" s="385" t="s">
        <v>360</v>
      </c>
      <c r="N107" s="386" t="s">
        <v>360</v>
      </c>
      <c r="O107" s="384" t="s">
        <v>364</v>
      </c>
      <c r="P107" s="384" t="s">
        <v>360</v>
      </c>
      <c r="Q107" s="385" t="s">
        <v>360</v>
      </c>
      <c r="R107" s="386" t="s">
        <v>360</v>
      </c>
      <c r="S107" s="384" t="s">
        <v>365</v>
      </c>
      <c r="T107" s="384" t="s">
        <v>360</v>
      </c>
      <c r="U107" s="385" t="s">
        <v>360</v>
      </c>
      <c r="V107" s="386" t="s">
        <v>360</v>
      </c>
      <c r="W107" s="384" t="s">
        <v>366</v>
      </c>
      <c r="X107" s="384" t="s">
        <v>360</v>
      </c>
      <c r="Y107" s="385" t="s">
        <v>360</v>
      </c>
      <c r="Z107" s="386" t="s">
        <v>360</v>
      </c>
      <c r="AA107" s="384" t="s">
        <v>367</v>
      </c>
      <c r="AB107" s="384" t="s">
        <v>360</v>
      </c>
      <c r="AC107" s="385" t="s">
        <v>360</v>
      </c>
      <c r="AD107" s="386" t="s">
        <v>360</v>
      </c>
      <c r="AE107" s="384" t="s">
        <v>368</v>
      </c>
      <c r="AF107" s="384" t="s">
        <v>360</v>
      </c>
      <c r="AG107" s="385" t="s">
        <v>360</v>
      </c>
      <c r="AH107" s="386" t="s">
        <v>360</v>
      </c>
      <c r="AI107" s="384" t="s">
        <v>369</v>
      </c>
      <c r="AJ107" s="384" t="s">
        <v>360</v>
      </c>
      <c r="AK107" s="385" t="s">
        <v>360</v>
      </c>
      <c r="AL107" s="386" t="s">
        <v>360</v>
      </c>
      <c r="AM107" s="384" t="s">
        <v>370</v>
      </c>
      <c r="AN107" s="384" t="s">
        <v>360</v>
      </c>
      <c r="AO107" s="385" t="s">
        <v>360</v>
      </c>
    </row>
    <row r="108" spans="1:41" ht="10" customHeight="1" x14ac:dyDescent="0.25">
      <c r="A108" s="383" t="s">
        <v>371</v>
      </c>
      <c r="B108" s="361" t="s">
        <v>360</v>
      </c>
      <c r="C108" s="362" t="s">
        <v>372</v>
      </c>
      <c r="D108" s="362" t="s">
        <v>360</v>
      </c>
      <c r="E108" s="363" t="s">
        <v>360</v>
      </c>
      <c r="F108" s="361" t="s">
        <v>360</v>
      </c>
      <c r="G108" s="362" t="s">
        <v>372</v>
      </c>
      <c r="H108" s="362" t="s">
        <v>360</v>
      </c>
      <c r="I108" s="363" t="s">
        <v>360</v>
      </c>
      <c r="J108" s="361" t="s">
        <v>360</v>
      </c>
      <c r="K108" s="362" t="s">
        <v>372</v>
      </c>
      <c r="L108" s="362" t="s">
        <v>360</v>
      </c>
      <c r="M108" s="363" t="s">
        <v>360</v>
      </c>
      <c r="N108" s="361" t="s">
        <v>360</v>
      </c>
      <c r="O108" s="362" t="s">
        <v>372</v>
      </c>
      <c r="P108" s="362" t="s">
        <v>360</v>
      </c>
      <c r="Q108" s="363" t="s">
        <v>360</v>
      </c>
      <c r="R108" s="361" t="s">
        <v>360</v>
      </c>
      <c r="S108" s="362" t="s">
        <v>372</v>
      </c>
      <c r="T108" s="362" t="s">
        <v>360</v>
      </c>
      <c r="U108" s="363" t="s">
        <v>360</v>
      </c>
      <c r="V108" s="361" t="s">
        <v>360</v>
      </c>
      <c r="W108" s="362" t="s">
        <v>372</v>
      </c>
      <c r="X108" s="362" t="s">
        <v>360</v>
      </c>
      <c r="Y108" s="363" t="s">
        <v>360</v>
      </c>
      <c r="Z108" s="361" t="s">
        <v>360</v>
      </c>
      <c r="AA108" s="362" t="s">
        <v>372</v>
      </c>
      <c r="AB108" s="362" t="s">
        <v>360</v>
      </c>
      <c r="AC108" s="363" t="s">
        <v>360</v>
      </c>
      <c r="AD108" s="361" t="s">
        <v>360</v>
      </c>
      <c r="AE108" s="362" t="s">
        <v>372</v>
      </c>
      <c r="AF108" s="362" t="s">
        <v>360</v>
      </c>
      <c r="AG108" s="363" t="s">
        <v>360</v>
      </c>
      <c r="AH108" s="361" t="s">
        <v>360</v>
      </c>
      <c r="AI108" s="362" t="s">
        <v>372</v>
      </c>
      <c r="AJ108" s="362" t="s">
        <v>360</v>
      </c>
      <c r="AK108" s="363" t="s">
        <v>360</v>
      </c>
      <c r="AL108" s="361" t="s">
        <v>360</v>
      </c>
      <c r="AM108" s="362" t="s">
        <v>372</v>
      </c>
      <c r="AN108" s="362" t="s">
        <v>360</v>
      </c>
      <c r="AO108" s="363" t="s">
        <v>360</v>
      </c>
    </row>
    <row r="109" spans="1:41" ht="10" customHeight="1" x14ac:dyDescent="0.25">
      <c r="A109" s="364"/>
      <c r="B109" s="365" t="s">
        <v>373</v>
      </c>
      <c r="C109" s="366"/>
      <c r="D109" s="367" t="s">
        <v>183</v>
      </c>
      <c r="E109" s="368"/>
      <c r="F109" s="365" t="s">
        <v>373</v>
      </c>
      <c r="G109" s="366"/>
      <c r="H109" s="367" t="s">
        <v>183</v>
      </c>
      <c r="I109" s="368"/>
      <c r="J109" s="365" t="s">
        <v>373</v>
      </c>
      <c r="K109" s="366"/>
      <c r="L109" s="367" t="s">
        <v>183</v>
      </c>
      <c r="M109" s="368"/>
      <c r="N109" s="365" t="s">
        <v>373</v>
      </c>
      <c r="O109" s="366"/>
      <c r="P109" s="367" t="s">
        <v>183</v>
      </c>
      <c r="Q109" s="368"/>
      <c r="R109" s="365" t="s">
        <v>373</v>
      </c>
      <c r="S109" s="366"/>
      <c r="T109" s="367" t="s">
        <v>183</v>
      </c>
      <c r="U109" s="368"/>
      <c r="V109" s="365" t="s">
        <v>373</v>
      </c>
      <c r="W109" s="366"/>
      <c r="X109" s="367" t="s">
        <v>183</v>
      </c>
      <c r="Y109" s="368"/>
      <c r="Z109" s="365" t="s">
        <v>373</v>
      </c>
      <c r="AA109" s="366"/>
      <c r="AB109" s="367" t="s">
        <v>183</v>
      </c>
      <c r="AC109" s="368"/>
      <c r="AD109" s="365" t="s">
        <v>373</v>
      </c>
      <c r="AE109" s="366"/>
      <c r="AF109" s="367" t="s">
        <v>183</v>
      </c>
      <c r="AG109" s="368"/>
      <c r="AH109" s="365" t="s">
        <v>373</v>
      </c>
      <c r="AI109" s="366"/>
      <c r="AJ109" s="367" t="s">
        <v>183</v>
      </c>
      <c r="AK109" s="368"/>
      <c r="AL109" s="365" t="s">
        <v>373</v>
      </c>
      <c r="AM109" s="366"/>
      <c r="AN109" s="367" t="s">
        <v>183</v>
      </c>
      <c r="AO109" s="368"/>
    </row>
    <row r="110" spans="1:41" ht="10" customHeight="1" x14ac:dyDescent="0.25">
      <c r="A110" s="369"/>
      <c r="B110" s="370"/>
      <c r="C110" s="371"/>
      <c r="D110" s="371"/>
      <c r="E110" s="372"/>
      <c r="F110" s="370"/>
      <c r="G110" s="371"/>
      <c r="H110" s="371"/>
      <c r="I110" s="372"/>
      <c r="J110" s="370"/>
      <c r="K110" s="371"/>
      <c r="L110" s="371"/>
      <c r="M110" s="372"/>
      <c r="N110" s="370"/>
      <c r="O110" s="371"/>
      <c r="P110" s="371"/>
      <c r="Q110" s="372"/>
      <c r="R110" s="370"/>
      <c r="S110" s="371"/>
      <c r="T110" s="371"/>
      <c r="U110" s="372"/>
      <c r="V110" s="370"/>
      <c r="W110" s="371"/>
      <c r="X110" s="371"/>
      <c r="Y110" s="372"/>
      <c r="Z110" s="370"/>
      <c r="AA110" s="371"/>
      <c r="AB110" s="371"/>
      <c r="AC110" s="372"/>
      <c r="AD110" s="370"/>
      <c r="AE110" s="371"/>
      <c r="AF110" s="371"/>
      <c r="AG110" s="372"/>
      <c r="AH110" s="370"/>
      <c r="AI110" s="371"/>
      <c r="AJ110" s="371"/>
      <c r="AK110" s="372"/>
      <c r="AL110" s="370"/>
      <c r="AM110" s="371"/>
      <c r="AN110" s="371"/>
      <c r="AO110" s="372"/>
    </row>
    <row r="111" spans="1:41" ht="10" customHeight="1" x14ac:dyDescent="0.25">
      <c r="A111" s="373" t="s">
        <v>374</v>
      </c>
      <c r="B111" s="408">
        <v>43201</v>
      </c>
      <c r="C111" s="412"/>
      <c r="D111" s="374">
        <f>B111/$B$126</f>
        <v>1</v>
      </c>
      <c r="E111" s="413"/>
      <c r="F111" s="408">
        <v>43201</v>
      </c>
      <c r="G111" s="412"/>
      <c r="H111" s="374">
        <f>F111/$B$126</f>
        <v>1</v>
      </c>
      <c r="I111" s="413"/>
      <c r="J111" s="408">
        <v>43201</v>
      </c>
      <c r="K111" s="412"/>
      <c r="L111" s="374">
        <f>J111/$B$126</f>
        <v>1</v>
      </c>
      <c r="M111" s="413"/>
      <c r="N111" s="408">
        <v>43201</v>
      </c>
      <c r="O111" s="412"/>
      <c r="P111" s="374">
        <f>N111/$B$126</f>
        <v>1</v>
      </c>
      <c r="Q111" s="413"/>
      <c r="R111" s="408">
        <v>43201</v>
      </c>
      <c r="S111" s="412"/>
      <c r="T111" s="374">
        <f>R111/$B$126</f>
        <v>1</v>
      </c>
      <c r="U111" s="413"/>
      <c r="V111" s="408">
        <v>43201</v>
      </c>
      <c r="W111" s="412"/>
      <c r="X111" s="374">
        <f>V111/$B$126</f>
        <v>1</v>
      </c>
      <c r="Y111" s="413"/>
      <c r="Z111" s="408">
        <v>43201</v>
      </c>
      <c r="AA111" s="412"/>
      <c r="AB111" s="374">
        <f>Z111/$B$126</f>
        <v>1</v>
      </c>
      <c r="AC111" s="413"/>
      <c r="AD111" s="408">
        <v>43201</v>
      </c>
      <c r="AE111" s="412"/>
      <c r="AF111" s="374">
        <f>AD111/$B$126</f>
        <v>1</v>
      </c>
      <c r="AG111" s="413"/>
      <c r="AH111" s="408">
        <v>43201</v>
      </c>
      <c r="AI111" s="412"/>
      <c r="AJ111" s="374">
        <f>AH111/$B$126</f>
        <v>1</v>
      </c>
      <c r="AK111" s="413"/>
      <c r="AL111" s="408">
        <v>43201</v>
      </c>
      <c r="AM111" s="412"/>
      <c r="AN111" s="374">
        <f>AL111/$B$126</f>
        <v>1</v>
      </c>
      <c r="AO111" s="375"/>
    </row>
    <row r="112" spans="1:41" ht="10" customHeight="1" x14ac:dyDescent="0.25">
      <c r="A112" s="373" t="s">
        <v>375</v>
      </c>
      <c r="B112" s="408">
        <v>43201</v>
      </c>
      <c r="C112" s="412"/>
      <c r="D112" s="374">
        <f t="shared" ref="D112:D122" si="50">B112/$B$126</f>
        <v>1</v>
      </c>
      <c r="E112" s="413"/>
      <c r="F112" s="408">
        <v>43201</v>
      </c>
      <c r="G112" s="412"/>
      <c r="H112" s="374">
        <f t="shared" ref="H112:H122" si="51">F112/$B$126</f>
        <v>1</v>
      </c>
      <c r="I112" s="413"/>
      <c r="J112" s="408">
        <v>43201</v>
      </c>
      <c r="K112" s="412"/>
      <c r="L112" s="374">
        <f t="shared" ref="L112:L122" si="52">J112/$B$126</f>
        <v>1</v>
      </c>
      <c r="M112" s="413"/>
      <c r="N112" s="408">
        <v>43201</v>
      </c>
      <c r="O112" s="412"/>
      <c r="P112" s="374">
        <f t="shared" ref="P112:P122" si="53">N112/$B$126</f>
        <v>1</v>
      </c>
      <c r="Q112" s="413"/>
      <c r="R112" s="408">
        <v>43201</v>
      </c>
      <c r="S112" s="412"/>
      <c r="T112" s="374">
        <f t="shared" ref="T112:T122" si="54">R112/$B$126</f>
        <v>1</v>
      </c>
      <c r="U112" s="413"/>
      <c r="V112" s="408">
        <v>43201</v>
      </c>
      <c r="W112" s="412"/>
      <c r="X112" s="374">
        <f t="shared" ref="X112:X122" si="55">V112/$B$126</f>
        <v>1</v>
      </c>
      <c r="Y112" s="413"/>
      <c r="Z112" s="408">
        <v>43201</v>
      </c>
      <c r="AA112" s="412"/>
      <c r="AB112" s="374">
        <f t="shared" ref="AB112:AB122" si="56">Z112/$B$126</f>
        <v>1</v>
      </c>
      <c r="AC112" s="413"/>
      <c r="AD112" s="408">
        <v>43201</v>
      </c>
      <c r="AE112" s="412"/>
      <c r="AF112" s="374">
        <f t="shared" ref="AF112:AF122" si="57">AD112/$B$126</f>
        <v>1</v>
      </c>
      <c r="AG112" s="413"/>
      <c r="AH112" s="408">
        <v>43201</v>
      </c>
      <c r="AI112" s="412"/>
      <c r="AJ112" s="374">
        <f t="shared" ref="AJ112:AJ122" si="58">AH112/$B$126</f>
        <v>1</v>
      </c>
      <c r="AK112" s="413"/>
      <c r="AL112" s="408">
        <v>43201</v>
      </c>
      <c r="AM112" s="412"/>
      <c r="AN112" s="374">
        <f t="shared" ref="AN112:AN122" si="59">AL112/$B$126</f>
        <v>1</v>
      </c>
      <c r="AO112" s="375"/>
    </row>
    <row r="113" spans="1:41" ht="10" customHeight="1" x14ac:dyDescent="0.25">
      <c r="A113" s="373" t="s">
        <v>376</v>
      </c>
      <c r="B113" s="408">
        <v>43201</v>
      </c>
      <c r="C113" s="412"/>
      <c r="D113" s="374">
        <f t="shared" si="50"/>
        <v>1</v>
      </c>
      <c r="E113" s="413"/>
      <c r="F113" s="408">
        <v>43201</v>
      </c>
      <c r="G113" s="412"/>
      <c r="H113" s="374">
        <f t="shared" si="51"/>
        <v>1</v>
      </c>
      <c r="I113" s="413"/>
      <c r="J113" s="408">
        <v>43201</v>
      </c>
      <c r="K113" s="412"/>
      <c r="L113" s="374">
        <f t="shared" si="52"/>
        <v>1</v>
      </c>
      <c r="M113" s="413"/>
      <c r="N113" s="408">
        <v>43201</v>
      </c>
      <c r="O113" s="412"/>
      <c r="P113" s="374">
        <f t="shared" si="53"/>
        <v>1</v>
      </c>
      <c r="Q113" s="413"/>
      <c r="R113" s="408">
        <v>43201</v>
      </c>
      <c r="S113" s="412"/>
      <c r="T113" s="374">
        <f t="shared" si="54"/>
        <v>1</v>
      </c>
      <c r="U113" s="413"/>
      <c r="V113" s="408">
        <v>43201</v>
      </c>
      <c r="W113" s="412"/>
      <c r="X113" s="374">
        <f t="shared" si="55"/>
        <v>1</v>
      </c>
      <c r="Y113" s="413"/>
      <c r="Z113" s="408">
        <v>43201</v>
      </c>
      <c r="AA113" s="412"/>
      <c r="AB113" s="374">
        <f t="shared" si="56"/>
        <v>1</v>
      </c>
      <c r="AC113" s="413"/>
      <c r="AD113" s="408">
        <v>43201</v>
      </c>
      <c r="AE113" s="412"/>
      <c r="AF113" s="374">
        <f t="shared" si="57"/>
        <v>1</v>
      </c>
      <c r="AG113" s="413"/>
      <c r="AH113" s="408">
        <v>43201</v>
      </c>
      <c r="AI113" s="412"/>
      <c r="AJ113" s="374">
        <f t="shared" si="58"/>
        <v>1</v>
      </c>
      <c r="AK113" s="413"/>
      <c r="AL113" s="408">
        <v>43201</v>
      </c>
      <c r="AM113" s="412"/>
      <c r="AN113" s="374">
        <f t="shared" si="59"/>
        <v>1</v>
      </c>
      <c r="AO113" s="375"/>
    </row>
    <row r="114" spans="1:41" ht="10" customHeight="1" x14ac:dyDescent="0.25">
      <c r="A114" s="373" t="s">
        <v>377</v>
      </c>
      <c r="B114" s="408">
        <v>43201</v>
      </c>
      <c r="C114" s="412"/>
      <c r="D114" s="374">
        <f t="shared" si="50"/>
        <v>1</v>
      </c>
      <c r="E114" s="413"/>
      <c r="F114" s="408">
        <v>43201</v>
      </c>
      <c r="G114" s="412"/>
      <c r="H114" s="374">
        <f t="shared" si="51"/>
        <v>1</v>
      </c>
      <c r="I114" s="413"/>
      <c r="J114" s="408">
        <v>43201</v>
      </c>
      <c r="K114" s="412"/>
      <c r="L114" s="374">
        <f t="shared" si="52"/>
        <v>1</v>
      </c>
      <c r="M114" s="413"/>
      <c r="N114" s="408">
        <v>43201</v>
      </c>
      <c r="O114" s="412"/>
      <c r="P114" s="374">
        <f t="shared" si="53"/>
        <v>1</v>
      </c>
      <c r="Q114" s="413"/>
      <c r="R114" s="408">
        <v>43201</v>
      </c>
      <c r="S114" s="412"/>
      <c r="T114" s="374">
        <f t="shared" si="54"/>
        <v>1</v>
      </c>
      <c r="U114" s="413"/>
      <c r="V114" s="408">
        <v>43201</v>
      </c>
      <c r="W114" s="412"/>
      <c r="X114" s="374">
        <f t="shared" si="55"/>
        <v>1</v>
      </c>
      <c r="Y114" s="413"/>
      <c r="Z114" s="408">
        <v>43201</v>
      </c>
      <c r="AA114" s="412"/>
      <c r="AB114" s="374">
        <f t="shared" si="56"/>
        <v>1</v>
      </c>
      <c r="AC114" s="413"/>
      <c r="AD114" s="408">
        <v>43201</v>
      </c>
      <c r="AE114" s="412"/>
      <c r="AF114" s="374">
        <f t="shared" si="57"/>
        <v>1</v>
      </c>
      <c r="AG114" s="413"/>
      <c r="AH114" s="408">
        <v>43201</v>
      </c>
      <c r="AI114" s="412"/>
      <c r="AJ114" s="374">
        <f t="shared" si="58"/>
        <v>1</v>
      </c>
      <c r="AK114" s="413"/>
      <c r="AL114" s="408">
        <v>43201</v>
      </c>
      <c r="AM114" s="412"/>
      <c r="AN114" s="374">
        <f t="shared" si="59"/>
        <v>1</v>
      </c>
      <c r="AO114" s="375"/>
    </row>
    <row r="115" spans="1:41" ht="10" customHeight="1" x14ac:dyDescent="0.25">
      <c r="A115" s="373" t="s">
        <v>378</v>
      </c>
      <c r="B115" s="408">
        <v>43201</v>
      </c>
      <c r="C115" s="412"/>
      <c r="D115" s="374">
        <f t="shared" si="50"/>
        <v>1</v>
      </c>
      <c r="E115" s="413"/>
      <c r="F115" s="408">
        <v>43201</v>
      </c>
      <c r="G115" s="412"/>
      <c r="H115" s="374">
        <f t="shared" si="51"/>
        <v>1</v>
      </c>
      <c r="I115" s="413"/>
      <c r="J115" s="408">
        <v>43201</v>
      </c>
      <c r="K115" s="412"/>
      <c r="L115" s="374">
        <f t="shared" si="52"/>
        <v>1</v>
      </c>
      <c r="M115" s="413"/>
      <c r="N115" s="408">
        <v>43201</v>
      </c>
      <c r="O115" s="412"/>
      <c r="P115" s="374">
        <f t="shared" si="53"/>
        <v>1</v>
      </c>
      <c r="Q115" s="413"/>
      <c r="R115" s="408">
        <v>43201</v>
      </c>
      <c r="S115" s="412"/>
      <c r="T115" s="374">
        <f t="shared" si="54"/>
        <v>1</v>
      </c>
      <c r="U115" s="413"/>
      <c r="V115" s="408">
        <v>43201</v>
      </c>
      <c r="W115" s="412"/>
      <c r="X115" s="374">
        <f t="shared" si="55"/>
        <v>1</v>
      </c>
      <c r="Y115" s="413"/>
      <c r="Z115" s="408">
        <v>43201</v>
      </c>
      <c r="AA115" s="412"/>
      <c r="AB115" s="374">
        <f t="shared" si="56"/>
        <v>1</v>
      </c>
      <c r="AC115" s="413"/>
      <c r="AD115" s="408">
        <v>43201</v>
      </c>
      <c r="AE115" s="412"/>
      <c r="AF115" s="374">
        <f t="shared" si="57"/>
        <v>1</v>
      </c>
      <c r="AG115" s="413"/>
      <c r="AH115" s="408">
        <v>43201</v>
      </c>
      <c r="AI115" s="412"/>
      <c r="AJ115" s="374">
        <f t="shared" si="58"/>
        <v>1</v>
      </c>
      <c r="AK115" s="413"/>
      <c r="AL115" s="408">
        <v>43201</v>
      </c>
      <c r="AM115" s="412"/>
      <c r="AN115" s="374">
        <f t="shared" si="59"/>
        <v>1</v>
      </c>
      <c r="AO115" s="375"/>
    </row>
    <row r="116" spans="1:41" ht="10" customHeight="1" x14ac:dyDescent="0.25">
      <c r="A116" s="373" t="s">
        <v>379</v>
      </c>
      <c r="B116" s="408">
        <v>43201</v>
      </c>
      <c r="C116" s="412"/>
      <c r="D116" s="374">
        <f t="shared" si="50"/>
        <v>1</v>
      </c>
      <c r="E116" s="413"/>
      <c r="F116" s="408">
        <v>43201</v>
      </c>
      <c r="G116" s="412"/>
      <c r="H116" s="374">
        <f t="shared" si="51"/>
        <v>1</v>
      </c>
      <c r="I116" s="413"/>
      <c r="J116" s="408">
        <v>43201</v>
      </c>
      <c r="K116" s="412"/>
      <c r="L116" s="374">
        <f t="shared" si="52"/>
        <v>1</v>
      </c>
      <c r="M116" s="413"/>
      <c r="N116" s="408">
        <v>43201</v>
      </c>
      <c r="O116" s="412"/>
      <c r="P116" s="374">
        <f t="shared" si="53"/>
        <v>1</v>
      </c>
      <c r="Q116" s="413"/>
      <c r="R116" s="408">
        <v>43201</v>
      </c>
      <c r="S116" s="412"/>
      <c r="T116" s="374">
        <f t="shared" si="54"/>
        <v>1</v>
      </c>
      <c r="U116" s="413"/>
      <c r="V116" s="408">
        <v>43201</v>
      </c>
      <c r="W116" s="412"/>
      <c r="X116" s="374">
        <f t="shared" si="55"/>
        <v>1</v>
      </c>
      <c r="Y116" s="413"/>
      <c r="Z116" s="408">
        <v>43201</v>
      </c>
      <c r="AA116" s="412"/>
      <c r="AB116" s="374">
        <f t="shared" si="56"/>
        <v>1</v>
      </c>
      <c r="AC116" s="413"/>
      <c r="AD116" s="408">
        <v>43201</v>
      </c>
      <c r="AE116" s="412"/>
      <c r="AF116" s="374">
        <f t="shared" si="57"/>
        <v>1</v>
      </c>
      <c r="AG116" s="413"/>
      <c r="AH116" s="408">
        <v>43201</v>
      </c>
      <c r="AI116" s="412"/>
      <c r="AJ116" s="374">
        <f t="shared" si="58"/>
        <v>1</v>
      </c>
      <c r="AK116" s="413"/>
      <c r="AL116" s="408">
        <v>43201</v>
      </c>
      <c r="AM116" s="412"/>
      <c r="AN116" s="374">
        <f t="shared" si="59"/>
        <v>1</v>
      </c>
      <c r="AO116" s="375"/>
    </row>
    <row r="117" spans="1:41" ht="10" customHeight="1" x14ac:dyDescent="0.25">
      <c r="A117" s="373" t="s">
        <v>380</v>
      </c>
      <c r="B117" s="408">
        <v>43201</v>
      </c>
      <c r="C117" s="412"/>
      <c r="D117" s="374">
        <f t="shared" si="50"/>
        <v>1</v>
      </c>
      <c r="E117" s="413"/>
      <c r="F117" s="408">
        <v>43201</v>
      </c>
      <c r="G117" s="412"/>
      <c r="H117" s="374">
        <f t="shared" si="51"/>
        <v>1</v>
      </c>
      <c r="I117" s="413"/>
      <c r="J117" s="408">
        <v>43201</v>
      </c>
      <c r="K117" s="412"/>
      <c r="L117" s="374">
        <f t="shared" si="52"/>
        <v>1</v>
      </c>
      <c r="M117" s="413"/>
      <c r="N117" s="408">
        <v>43201</v>
      </c>
      <c r="O117" s="412"/>
      <c r="P117" s="374">
        <f t="shared" si="53"/>
        <v>1</v>
      </c>
      <c r="Q117" s="413"/>
      <c r="R117" s="408">
        <v>43201</v>
      </c>
      <c r="S117" s="412"/>
      <c r="T117" s="374">
        <f t="shared" si="54"/>
        <v>1</v>
      </c>
      <c r="U117" s="413"/>
      <c r="V117" s="408">
        <v>43201</v>
      </c>
      <c r="W117" s="412"/>
      <c r="X117" s="374">
        <f t="shared" si="55"/>
        <v>1</v>
      </c>
      <c r="Y117" s="413"/>
      <c r="Z117" s="408">
        <v>43201</v>
      </c>
      <c r="AA117" s="412"/>
      <c r="AB117" s="374">
        <f t="shared" si="56"/>
        <v>1</v>
      </c>
      <c r="AC117" s="413"/>
      <c r="AD117" s="408">
        <v>43201</v>
      </c>
      <c r="AE117" s="412"/>
      <c r="AF117" s="374">
        <f t="shared" si="57"/>
        <v>1</v>
      </c>
      <c r="AG117" s="413"/>
      <c r="AH117" s="408">
        <v>43201</v>
      </c>
      <c r="AI117" s="412"/>
      <c r="AJ117" s="374">
        <f t="shared" si="58"/>
        <v>1</v>
      </c>
      <c r="AK117" s="413"/>
      <c r="AL117" s="408">
        <v>43201</v>
      </c>
      <c r="AM117" s="412"/>
      <c r="AN117" s="374">
        <f t="shared" si="59"/>
        <v>1</v>
      </c>
      <c r="AO117" s="375"/>
    </row>
    <row r="118" spans="1:41" ht="10" customHeight="1" x14ac:dyDescent="0.25">
      <c r="A118" s="373" t="s">
        <v>381</v>
      </c>
      <c r="B118" s="408">
        <v>43201</v>
      </c>
      <c r="C118" s="412"/>
      <c r="D118" s="374">
        <f t="shared" si="50"/>
        <v>1</v>
      </c>
      <c r="E118" s="413"/>
      <c r="F118" s="408">
        <v>43201</v>
      </c>
      <c r="G118" s="412"/>
      <c r="H118" s="374">
        <f t="shared" si="51"/>
        <v>1</v>
      </c>
      <c r="I118" s="413"/>
      <c r="J118" s="408">
        <v>43201</v>
      </c>
      <c r="K118" s="412"/>
      <c r="L118" s="374">
        <f t="shared" si="52"/>
        <v>1</v>
      </c>
      <c r="M118" s="413"/>
      <c r="N118" s="408">
        <v>43201</v>
      </c>
      <c r="O118" s="412"/>
      <c r="P118" s="374">
        <f t="shared" si="53"/>
        <v>1</v>
      </c>
      <c r="Q118" s="413"/>
      <c r="R118" s="408">
        <v>43201</v>
      </c>
      <c r="S118" s="412"/>
      <c r="T118" s="374">
        <f t="shared" si="54"/>
        <v>1</v>
      </c>
      <c r="U118" s="413"/>
      <c r="V118" s="408">
        <v>43201</v>
      </c>
      <c r="W118" s="412"/>
      <c r="X118" s="374">
        <f t="shared" si="55"/>
        <v>1</v>
      </c>
      <c r="Y118" s="413"/>
      <c r="Z118" s="408">
        <v>43201</v>
      </c>
      <c r="AA118" s="412"/>
      <c r="AB118" s="374">
        <f t="shared" si="56"/>
        <v>1</v>
      </c>
      <c r="AC118" s="413"/>
      <c r="AD118" s="408">
        <v>43201</v>
      </c>
      <c r="AE118" s="412"/>
      <c r="AF118" s="374">
        <f t="shared" si="57"/>
        <v>1</v>
      </c>
      <c r="AG118" s="413"/>
      <c r="AH118" s="408">
        <v>43201</v>
      </c>
      <c r="AI118" s="412"/>
      <c r="AJ118" s="374">
        <f t="shared" si="58"/>
        <v>1</v>
      </c>
      <c r="AK118" s="413"/>
      <c r="AL118" s="408">
        <v>43201</v>
      </c>
      <c r="AM118" s="412"/>
      <c r="AN118" s="374">
        <f t="shared" si="59"/>
        <v>1</v>
      </c>
      <c r="AO118" s="375"/>
    </row>
    <row r="119" spans="1:41" ht="10" customHeight="1" x14ac:dyDescent="0.25">
      <c r="A119" s="373" t="s">
        <v>382</v>
      </c>
      <c r="B119" s="408">
        <v>43201</v>
      </c>
      <c r="C119" s="412"/>
      <c r="D119" s="374">
        <f t="shared" si="50"/>
        <v>1</v>
      </c>
      <c r="E119" s="413"/>
      <c r="F119" s="408">
        <v>43201</v>
      </c>
      <c r="G119" s="412"/>
      <c r="H119" s="374">
        <f t="shared" si="51"/>
        <v>1</v>
      </c>
      <c r="I119" s="413"/>
      <c r="J119" s="408">
        <v>43201</v>
      </c>
      <c r="K119" s="412"/>
      <c r="L119" s="374">
        <f t="shared" si="52"/>
        <v>1</v>
      </c>
      <c r="M119" s="413"/>
      <c r="N119" s="408">
        <v>43201</v>
      </c>
      <c r="O119" s="412"/>
      <c r="P119" s="374">
        <f t="shared" si="53"/>
        <v>1</v>
      </c>
      <c r="Q119" s="413"/>
      <c r="R119" s="408">
        <v>43201</v>
      </c>
      <c r="S119" s="412"/>
      <c r="T119" s="374">
        <f t="shared" si="54"/>
        <v>1</v>
      </c>
      <c r="U119" s="413"/>
      <c r="V119" s="408">
        <v>43201</v>
      </c>
      <c r="W119" s="412"/>
      <c r="X119" s="374">
        <f t="shared" si="55"/>
        <v>1</v>
      </c>
      <c r="Y119" s="413"/>
      <c r="Z119" s="408">
        <v>43201</v>
      </c>
      <c r="AA119" s="412"/>
      <c r="AB119" s="374">
        <f t="shared" si="56"/>
        <v>1</v>
      </c>
      <c r="AC119" s="413"/>
      <c r="AD119" s="408">
        <v>43201</v>
      </c>
      <c r="AE119" s="412"/>
      <c r="AF119" s="374">
        <f t="shared" si="57"/>
        <v>1</v>
      </c>
      <c r="AG119" s="413"/>
      <c r="AH119" s="408">
        <v>43201</v>
      </c>
      <c r="AI119" s="412"/>
      <c r="AJ119" s="374">
        <f t="shared" si="58"/>
        <v>1</v>
      </c>
      <c r="AK119" s="413"/>
      <c r="AL119" s="408">
        <v>43201</v>
      </c>
      <c r="AM119" s="412"/>
      <c r="AN119" s="374">
        <f t="shared" si="59"/>
        <v>1</v>
      </c>
      <c r="AO119" s="375"/>
    </row>
    <row r="120" spans="1:41" ht="10" customHeight="1" x14ac:dyDescent="0.25">
      <c r="A120" s="373" t="s">
        <v>383</v>
      </c>
      <c r="B120" s="408">
        <v>43201</v>
      </c>
      <c r="C120" s="412"/>
      <c r="D120" s="374">
        <f t="shared" si="50"/>
        <v>1</v>
      </c>
      <c r="E120" s="413"/>
      <c r="F120" s="408">
        <v>43201</v>
      </c>
      <c r="G120" s="412"/>
      <c r="H120" s="374">
        <f t="shared" si="51"/>
        <v>1</v>
      </c>
      <c r="I120" s="413"/>
      <c r="J120" s="408">
        <v>43201</v>
      </c>
      <c r="K120" s="412"/>
      <c r="L120" s="374">
        <f t="shared" si="52"/>
        <v>1</v>
      </c>
      <c r="M120" s="413"/>
      <c r="N120" s="408">
        <v>43201</v>
      </c>
      <c r="O120" s="412"/>
      <c r="P120" s="374">
        <f t="shared" si="53"/>
        <v>1</v>
      </c>
      <c r="Q120" s="413"/>
      <c r="R120" s="408">
        <v>43201</v>
      </c>
      <c r="S120" s="412"/>
      <c r="T120" s="374">
        <f t="shared" si="54"/>
        <v>1</v>
      </c>
      <c r="U120" s="413"/>
      <c r="V120" s="408">
        <v>43201</v>
      </c>
      <c r="W120" s="412"/>
      <c r="X120" s="374">
        <f t="shared" si="55"/>
        <v>1</v>
      </c>
      <c r="Y120" s="413"/>
      <c r="Z120" s="408">
        <v>43201</v>
      </c>
      <c r="AA120" s="412"/>
      <c r="AB120" s="374">
        <f t="shared" si="56"/>
        <v>1</v>
      </c>
      <c r="AC120" s="413"/>
      <c r="AD120" s="408">
        <v>43201</v>
      </c>
      <c r="AE120" s="412"/>
      <c r="AF120" s="374">
        <f t="shared" si="57"/>
        <v>1</v>
      </c>
      <c r="AG120" s="413"/>
      <c r="AH120" s="408">
        <v>43201</v>
      </c>
      <c r="AI120" s="412"/>
      <c r="AJ120" s="374">
        <f t="shared" si="58"/>
        <v>1</v>
      </c>
      <c r="AK120" s="413"/>
      <c r="AL120" s="408">
        <v>43201</v>
      </c>
      <c r="AM120" s="412"/>
      <c r="AN120" s="374">
        <f t="shared" si="59"/>
        <v>1</v>
      </c>
      <c r="AO120" s="375"/>
    </row>
    <row r="121" spans="1:41" ht="10" customHeight="1" x14ac:dyDescent="0.25">
      <c r="A121" s="373" t="s">
        <v>384</v>
      </c>
      <c r="B121" s="408">
        <v>43201</v>
      </c>
      <c r="C121" s="412"/>
      <c r="D121" s="374">
        <f t="shared" si="50"/>
        <v>1</v>
      </c>
      <c r="E121" s="413"/>
      <c r="F121" s="408">
        <v>43201</v>
      </c>
      <c r="G121" s="412"/>
      <c r="H121" s="374">
        <f t="shared" si="51"/>
        <v>1</v>
      </c>
      <c r="I121" s="413"/>
      <c r="J121" s="408">
        <v>43201</v>
      </c>
      <c r="K121" s="412"/>
      <c r="L121" s="374">
        <f t="shared" si="52"/>
        <v>1</v>
      </c>
      <c r="M121" s="413"/>
      <c r="N121" s="408">
        <v>43201</v>
      </c>
      <c r="O121" s="412"/>
      <c r="P121" s="374">
        <f t="shared" si="53"/>
        <v>1</v>
      </c>
      <c r="Q121" s="413"/>
      <c r="R121" s="408">
        <v>43201</v>
      </c>
      <c r="S121" s="412"/>
      <c r="T121" s="374">
        <f t="shared" si="54"/>
        <v>1</v>
      </c>
      <c r="U121" s="413"/>
      <c r="V121" s="408">
        <v>43201</v>
      </c>
      <c r="W121" s="412"/>
      <c r="X121" s="374">
        <f t="shared" si="55"/>
        <v>1</v>
      </c>
      <c r="Y121" s="413"/>
      <c r="Z121" s="408">
        <v>43201</v>
      </c>
      <c r="AA121" s="412"/>
      <c r="AB121" s="374">
        <f t="shared" si="56"/>
        <v>1</v>
      </c>
      <c r="AC121" s="413"/>
      <c r="AD121" s="408">
        <v>43201</v>
      </c>
      <c r="AE121" s="412"/>
      <c r="AF121" s="374">
        <f t="shared" si="57"/>
        <v>1</v>
      </c>
      <c r="AG121" s="413"/>
      <c r="AH121" s="408">
        <v>43201</v>
      </c>
      <c r="AI121" s="412"/>
      <c r="AJ121" s="374">
        <f t="shared" si="58"/>
        <v>1</v>
      </c>
      <c r="AK121" s="413"/>
      <c r="AL121" s="408">
        <v>43201</v>
      </c>
      <c r="AM121" s="412"/>
      <c r="AN121" s="374">
        <f t="shared" si="59"/>
        <v>1</v>
      </c>
      <c r="AO121" s="375"/>
    </row>
    <row r="122" spans="1:41" ht="10" customHeight="1" x14ac:dyDescent="0.25">
      <c r="A122" s="373" t="s">
        <v>385</v>
      </c>
      <c r="B122" s="408">
        <v>43201</v>
      </c>
      <c r="C122" s="412"/>
      <c r="D122" s="374">
        <f t="shared" si="50"/>
        <v>1</v>
      </c>
      <c r="E122" s="413"/>
      <c r="F122" s="408">
        <v>43201</v>
      </c>
      <c r="G122" s="412"/>
      <c r="H122" s="374">
        <f t="shared" si="51"/>
        <v>1</v>
      </c>
      <c r="I122" s="413"/>
      <c r="J122" s="408">
        <v>43201</v>
      </c>
      <c r="K122" s="412"/>
      <c r="L122" s="374">
        <f t="shared" si="52"/>
        <v>1</v>
      </c>
      <c r="M122" s="413"/>
      <c r="N122" s="408">
        <v>43201</v>
      </c>
      <c r="O122" s="412"/>
      <c r="P122" s="374">
        <f t="shared" si="53"/>
        <v>1</v>
      </c>
      <c r="Q122" s="413"/>
      <c r="R122" s="408">
        <v>43201</v>
      </c>
      <c r="S122" s="412"/>
      <c r="T122" s="374">
        <f t="shared" si="54"/>
        <v>1</v>
      </c>
      <c r="U122" s="413"/>
      <c r="V122" s="408">
        <v>43201</v>
      </c>
      <c r="W122" s="412"/>
      <c r="X122" s="374">
        <f t="shared" si="55"/>
        <v>1</v>
      </c>
      <c r="Y122" s="413"/>
      <c r="Z122" s="408">
        <v>43201</v>
      </c>
      <c r="AA122" s="412"/>
      <c r="AB122" s="374">
        <f t="shared" si="56"/>
        <v>1</v>
      </c>
      <c r="AC122" s="413"/>
      <c r="AD122" s="408">
        <v>43201</v>
      </c>
      <c r="AE122" s="412"/>
      <c r="AF122" s="374">
        <f t="shared" si="57"/>
        <v>1</v>
      </c>
      <c r="AG122" s="413"/>
      <c r="AH122" s="408">
        <v>43201</v>
      </c>
      <c r="AI122" s="412"/>
      <c r="AJ122" s="374">
        <f t="shared" si="58"/>
        <v>1</v>
      </c>
      <c r="AK122" s="413"/>
      <c r="AL122" s="408">
        <v>43201</v>
      </c>
      <c r="AM122" s="412"/>
      <c r="AN122" s="374">
        <f t="shared" si="59"/>
        <v>1</v>
      </c>
      <c r="AO122" s="375"/>
    </row>
    <row r="123" spans="1:41" ht="10" customHeight="1" x14ac:dyDescent="0.25">
      <c r="A123" s="376"/>
      <c r="B123" s="409"/>
      <c r="C123" s="412"/>
      <c r="D123" s="412"/>
      <c r="E123" s="413"/>
      <c r="F123" s="409"/>
      <c r="G123" s="412"/>
      <c r="H123" s="412"/>
      <c r="I123" s="413"/>
      <c r="J123" s="409"/>
      <c r="K123" s="412"/>
      <c r="L123" s="412"/>
      <c r="M123" s="413"/>
      <c r="N123" s="409"/>
      <c r="O123" s="412"/>
      <c r="P123" s="412"/>
      <c r="Q123" s="413"/>
      <c r="R123" s="409"/>
      <c r="S123" s="412"/>
      <c r="T123" s="412"/>
      <c r="U123" s="413"/>
      <c r="V123" s="409"/>
      <c r="W123" s="412"/>
      <c r="X123" s="412"/>
      <c r="Y123" s="413"/>
      <c r="Z123" s="409"/>
      <c r="AA123" s="412"/>
      <c r="AB123" s="412"/>
      <c r="AC123" s="413"/>
      <c r="AD123" s="409"/>
      <c r="AE123" s="412"/>
      <c r="AF123" s="412"/>
      <c r="AG123" s="413"/>
      <c r="AH123" s="409"/>
      <c r="AI123" s="412"/>
      <c r="AJ123" s="412"/>
      <c r="AK123" s="413"/>
      <c r="AL123" s="409"/>
      <c r="AM123" s="412"/>
      <c r="AN123" s="412"/>
      <c r="AO123" s="375"/>
    </row>
    <row r="124" spans="1:41" ht="10" customHeight="1" x14ac:dyDescent="0.25">
      <c r="A124" s="373" t="s">
        <v>386</v>
      </c>
      <c r="B124" s="378">
        <f>AVERAGE(B111:B122)</f>
        <v>43201</v>
      </c>
      <c r="D124" s="389">
        <f>AVERAGE(D111:D122)</f>
        <v>1</v>
      </c>
      <c r="E124" s="375"/>
      <c r="F124" s="378">
        <f>AVERAGE(F111:F122)</f>
        <v>43201</v>
      </c>
      <c r="H124" s="389">
        <f>AVERAGE(H111:H122)</f>
        <v>1</v>
      </c>
      <c r="I124" s="375"/>
      <c r="J124" s="378">
        <f>AVERAGE(J111:J122)</f>
        <v>43201</v>
      </c>
      <c r="L124" s="389">
        <f>AVERAGE(L111:L122)</f>
        <v>1</v>
      </c>
      <c r="M124" s="375"/>
      <c r="N124" s="378">
        <f>AVERAGE(N111:N122)</f>
        <v>43201</v>
      </c>
      <c r="P124" s="389">
        <f>AVERAGE(P111:P122)</f>
        <v>1</v>
      </c>
      <c r="Q124" s="375"/>
      <c r="R124" s="378">
        <f>AVERAGE(R111:R122)</f>
        <v>43201</v>
      </c>
      <c r="T124" s="389">
        <f>AVERAGE(T111:T122)</f>
        <v>1</v>
      </c>
      <c r="U124" s="375"/>
      <c r="V124" s="378">
        <f>AVERAGE(V111:V122)</f>
        <v>43201</v>
      </c>
      <c r="X124" s="389">
        <f>AVERAGE(X111:X122)</f>
        <v>1</v>
      </c>
      <c r="Y124" s="375"/>
      <c r="Z124" s="378">
        <f>AVERAGE(Z111:Z122)</f>
        <v>43201</v>
      </c>
      <c r="AB124" s="389">
        <f>AVERAGE(AB111:AB122)</f>
        <v>1</v>
      </c>
      <c r="AC124" s="375"/>
      <c r="AD124" s="378">
        <f>AVERAGE(AD111:AD122)</f>
        <v>43201</v>
      </c>
      <c r="AF124" s="389">
        <f>AVERAGE(AF111:AF122)</f>
        <v>1</v>
      </c>
      <c r="AG124" s="375"/>
      <c r="AH124" s="378">
        <f>AVERAGE(AH111:AH122)</f>
        <v>43201</v>
      </c>
      <c r="AJ124" s="389">
        <f>AVERAGE(AJ111:AJ122)</f>
        <v>1</v>
      </c>
      <c r="AK124" s="375"/>
      <c r="AL124" s="378">
        <f>AVERAGE(AL111:AL122)</f>
        <v>43201</v>
      </c>
      <c r="AN124" s="389">
        <f>AVERAGE(AN111:AN122)</f>
        <v>1</v>
      </c>
      <c r="AO124" s="375"/>
    </row>
    <row r="125" spans="1:41" ht="10" customHeight="1" x14ac:dyDescent="0.25">
      <c r="A125" s="376"/>
      <c r="B125" s="409"/>
      <c r="C125" s="412"/>
      <c r="D125" s="412"/>
      <c r="E125" s="413"/>
      <c r="F125" s="409"/>
      <c r="G125" s="412"/>
      <c r="H125" s="412"/>
      <c r="I125" s="413"/>
      <c r="J125" s="409"/>
      <c r="K125" s="412"/>
      <c r="L125" s="412"/>
      <c r="M125" s="413"/>
      <c r="N125" s="409"/>
      <c r="O125" s="412"/>
      <c r="P125" s="412"/>
      <c r="Q125" s="413"/>
      <c r="R125" s="409"/>
      <c r="S125" s="412"/>
      <c r="T125" s="412"/>
      <c r="U125" s="413"/>
      <c r="V125" s="409"/>
      <c r="W125" s="412"/>
      <c r="X125" s="412"/>
      <c r="Y125" s="413"/>
      <c r="Z125" s="409"/>
      <c r="AA125" s="412"/>
      <c r="AB125" s="412"/>
      <c r="AC125" s="413"/>
      <c r="AD125" s="409"/>
      <c r="AE125" s="412"/>
      <c r="AF125" s="412"/>
      <c r="AG125" s="413"/>
      <c r="AH125" s="409"/>
      <c r="AI125" s="412"/>
      <c r="AJ125" s="412"/>
      <c r="AK125" s="413"/>
      <c r="AL125" s="409"/>
      <c r="AM125" s="412"/>
      <c r="AN125" s="412"/>
      <c r="AO125" s="375"/>
    </row>
    <row r="126" spans="1:41" ht="10" customHeight="1" x14ac:dyDescent="0.25">
      <c r="A126" s="379" t="s">
        <v>387</v>
      </c>
      <c r="B126" s="407">
        <v>43201</v>
      </c>
      <c r="C126" s="410"/>
      <c r="D126" s="410"/>
      <c r="E126" s="411"/>
      <c r="F126" s="407">
        <v>43201</v>
      </c>
      <c r="G126" s="410"/>
      <c r="H126" s="410"/>
      <c r="I126" s="411"/>
      <c r="J126" s="407">
        <v>43201</v>
      </c>
      <c r="K126" s="410"/>
      <c r="L126" s="410"/>
      <c r="M126" s="411"/>
      <c r="N126" s="407">
        <v>43201</v>
      </c>
      <c r="O126" s="410"/>
      <c r="P126" s="410"/>
      <c r="Q126" s="411"/>
      <c r="R126" s="407">
        <v>43201</v>
      </c>
      <c r="S126" s="410"/>
      <c r="T126" s="410"/>
      <c r="U126" s="411"/>
      <c r="V126" s="407">
        <v>43201</v>
      </c>
      <c r="W126" s="410"/>
      <c r="X126" s="410"/>
      <c r="Y126" s="411"/>
      <c r="Z126" s="407">
        <v>43201</v>
      </c>
      <c r="AA126" s="410"/>
      <c r="AB126" s="410"/>
      <c r="AC126" s="411"/>
      <c r="AD126" s="407">
        <v>43201</v>
      </c>
      <c r="AE126" s="410"/>
      <c r="AF126" s="410"/>
      <c r="AG126" s="411"/>
      <c r="AH126" s="407">
        <v>43201</v>
      </c>
      <c r="AI126" s="410"/>
      <c r="AJ126" s="410"/>
      <c r="AK126" s="411"/>
      <c r="AL126" s="407">
        <v>43201</v>
      </c>
      <c r="AM126" s="410"/>
      <c r="AN126" s="410"/>
      <c r="AO126" s="382"/>
    </row>
    <row r="128" spans="1:41" ht="10" customHeight="1" x14ac:dyDescent="0.25">
      <c r="A128" s="525" t="s">
        <v>396</v>
      </c>
      <c r="B128" s="525"/>
      <c r="C128" s="525"/>
      <c r="D128" s="525"/>
      <c r="E128" s="525"/>
      <c r="F128" s="525"/>
      <c r="G128" s="525"/>
      <c r="H128" s="525"/>
      <c r="I128" s="525"/>
      <c r="J128" s="525"/>
      <c r="K128" s="525"/>
      <c r="L128" s="525"/>
      <c r="M128" s="525"/>
      <c r="N128" s="525"/>
      <c r="O128" s="525"/>
      <c r="P128" s="525"/>
      <c r="Q128" s="525"/>
      <c r="R128" s="525"/>
    </row>
    <row r="129" spans="1:41" ht="10" customHeight="1" x14ac:dyDescent="0.25">
      <c r="A129" s="525" t="s">
        <v>297</v>
      </c>
      <c r="B129" s="525"/>
      <c r="C129" s="525"/>
      <c r="D129" s="525"/>
      <c r="E129" s="525"/>
      <c r="F129" s="525"/>
      <c r="G129" s="525"/>
      <c r="H129" s="525"/>
      <c r="I129" s="525"/>
      <c r="J129" s="525"/>
      <c r="K129" s="525"/>
      <c r="L129" s="525"/>
      <c r="M129" s="525"/>
      <c r="N129" s="525"/>
      <c r="O129" s="525"/>
      <c r="P129" s="525"/>
      <c r="Q129" s="525"/>
      <c r="R129" s="525"/>
    </row>
    <row r="130" spans="1:41" ht="10" customHeight="1" x14ac:dyDescent="0.25">
      <c r="A130" s="525" t="s">
        <v>397</v>
      </c>
      <c r="B130" s="525"/>
      <c r="C130" s="525"/>
      <c r="D130" s="525"/>
      <c r="E130" s="525"/>
      <c r="F130" s="525"/>
      <c r="G130" s="525"/>
      <c r="H130" s="525"/>
      <c r="I130" s="525"/>
      <c r="J130" s="525"/>
      <c r="K130" s="525"/>
      <c r="L130" s="525"/>
      <c r="M130" s="525"/>
      <c r="N130" s="525"/>
      <c r="O130" s="525"/>
      <c r="P130" s="525"/>
      <c r="Q130" s="525"/>
      <c r="R130" s="525"/>
    </row>
    <row r="132" spans="1:41" ht="10" customHeight="1" x14ac:dyDescent="0.25">
      <c r="A132" s="359"/>
      <c r="B132" s="386" t="s">
        <v>360</v>
      </c>
      <c r="C132" s="384" t="s">
        <v>361</v>
      </c>
      <c r="D132" s="384" t="s">
        <v>360</v>
      </c>
      <c r="E132" s="385" t="s">
        <v>360</v>
      </c>
      <c r="F132" s="386" t="s">
        <v>360</v>
      </c>
      <c r="G132" s="384" t="s">
        <v>362</v>
      </c>
      <c r="H132" s="384" t="s">
        <v>360</v>
      </c>
      <c r="I132" s="385" t="s">
        <v>360</v>
      </c>
      <c r="J132" s="386" t="s">
        <v>360</v>
      </c>
      <c r="K132" s="384" t="s">
        <v>363</v>
      </c>
      <c r="L132" s="384" t="s">
        <v>360</v>
      </c>
      <c r="M132" s="385" t="s">
        <v>360</v>
      </c>
      <c r="N132" s="386" t="s">
        <v>360</v>
      </c>
      <c r="O132" s="384" t="s">
        <v>364</v>
      </c>
      <c r="P132" s="384" t="s">
        <v>360</v>
      </c>
      <c r="Q132" s="385" t="s">
        <v>360</v>
      </c>
      <c r="R132" s="386" t="s">
        <v>360</v>
      </c>
      <c r="S132" s="384" t="s">
        <v>365</v>
      </c>
      <c r="T132" s="384" t="s">
        <v>360</v>
      </c>
      <c r="U132" s="385" t="s">
        <v>360</v>
      </c>
      <c r="V132" s="386" t="s">
        <v>360</v>
      </c>
      <c r="W132" s="384" t="s">
        <v>366</v>
      </c>
      <c r="X132" s="384" t="s">
        <v>360</v>
      </c>
      <c r="Y132" s="385" t="s">
        <v>360</v>
      </c>
      <c r="Z132" s="386" t="s">
        <v>360</v>
      </c>
      <c r="AA132" s="384" t="s">
        <v>367</v>
      </c>
      <c r="AB132" s="384" t="s">
        <v>360</v>
      </c>
      <c r="AC132" s="385" t="s">
        <v>360</v>
      </c>
      <c r="AD132" s="386" t="s">
        <v>360</v>
      </c>
      <c r="AE132" s="384" t="s">
        <v>368</v>
      </c>
      <c r="AF132" s="384" t="s">
        <v>360</v>
      </c>
      <c r="AG132" s="385" t="s">
        <v>360</v>
      </c>
      <c r="AH132" s="386" t="s">
        <v>360</v>
      </c>
      <c r="AI132" s="384" t="s">
        <v>369</v>
      </c>
      <c r="AJ132" s="384" t="s">
        <v>360</v>
      </c>
      <c r="AK132" s="385" t="s">
        <v>360</v>
      </c>
      <c r="AL132" s="386" t="s">
        <v>360</v>
      </c>
      <c r="AM132" s="384" t="s">
        <v>370</v>
      </c>
      <c r="AN132" s="384" t="s">
        <v>360</v>
      </c>
      <c r="AO132" s="385" t="s">
        <v>360</v>
      </c>
    </row>
    <row r="133" spans="1:41" ht="10" customHeight="1" x14ac:dyDescent="0.25">
      <c r="A133" s="383" t="s">
        <v>371</v>
      </c>
      <c r="B133" s="361" t="s">
        <v>360</v>
      </c>
      <c r="C133" s="362" t="s">
        <v>372</v>
      </c>
      <c r="D133" s="362" t="s">
        <v>360</v>
      </c>
      <c r="E133" s="363" t="s">
        <v>360</v>
      </c>
      <c r="F133" s="361" t="s">
        <v>360</v>
      </c>
      <c r="G133" s="362" t="s">
        <v>372</v>
      </c>
      <c r="H133" s="362" t="s">
        <v>360</v>
      </c>
      <c r="I133" s="363" t="s">
        <v>360</v>
      </c>
      <c r="J133" s="361" t="s">
        <v>360</v>
      </c>
      <c r="K133" s="362" t="s">
        <v>372</v>
      </c>
      <c r="L133" s="362" t="s">
        <v>360</v>
      </c>
      <c r="M133" s="363" t="s">
        <v>360</v>
      </c>
      <c r="N133" s="361" t="s">
        <v>360</v>
      </c>
      <c r="O133" s="362" t="s">
        <v>372</v>
      </c>
      <c r="P133" s="362" t="s">
        <v>360</v>
      </c>
      <c r="Q133" s="363" t="s">
        <v>360</v>
      </c>
      <c r="R133" s="361" t="s">
        <v>360</v>
      </c>
      <c r="S133" s="362" t="s">
        <v>372</v>
      </c>
      <c r="T133" s="362" t="s">
        <v>360</v>
      </c>
      <c r="U133" s="363" t="s">
        <v>360</v>
      </c>
      <c r="V133" s="361" t="s">
        <v>360</v>
      </c>
      <c r="W133" s="362" t="s">
        <v>372</v>
      </c>
      <c r="X133" s="362" t="s">
        <v>360</v>
      </c>
      <c r="Y133" s="363" t="s">
        <v>360</v>
      </c>
      <c r="Z133" s="361" t="s">
        <v>360</v>
      </c>
      <c r="AA133" s="362" t="s">
        <v>372</v>
      </c>
      <c r="AB133" s="362" t="s">
        <v>360</v>
      </c>
      <c r="AC133" s="363" t="s">
        <v>360</v>
      </c>
      <c r="AD133" s="361" t="s">
        <v>360</v>
      </c>
      <c r="AE133" s="362" t="s">
        <v>372</v>
      </c>
      <c r="AF133" s="362" t="s">
        <v>360</v>
      </c>
      <c r="AG133" s="363" t="s">
        <v>360</v>
      </c>
      <c r="AH133" s="361" t="s">
        <v>360</v>
      </c>
      <c r="AI133" s="362" t="s">
        <v>372</v>
      </c>
      <c r="AJ133" s="362" t="s">
        <v>360</v>
      </c>
      <c r="AK133" s="363" t="s">
        <v>360</v>
      </c>
      <c r="AL133" s="361" t="s">
        <v>360</v>
      </c>
      <c r="AM133" s="362" t="s">
        <v>372</v>
      </c>
      <c r="AN133" s="362" t="s">
        <v>360</v>
      </c>
      <c r="AO133" s="363" t="s">
        <v>360</v>
      </c>
    </row>
    <row r="134" spans="1:41" ht="10" customHeight="1" x14ac:dyDescent="0.25">
      <c r="A134" s="364"/>
      <c r="B134" s="365" t="s">
        <v>373</v>
      </c>
      <c r="C134" s="366"/>
      <c r="D134" s="367" t="s">
        <v>183</v>
      </c>
      <c r="E134" s="368"/>
      <c r="F134" s="365" t="s">
        <v>373</v>
      </c>
      <c r="G134" s="366"/>
      <c r="H134" s="367" t="s">
        <v>183</v>
      </c>
      <c r="I134" s="368"/>
      <c r="J134" s="365" t="s">
        <v>373</v>
      </c>
      <c r="K134" s="366"/>
      <c r="L134" s="367" t="s">
        <v>183</v>
      </c>
      <c r="M134" s="368"/>
      <c r="N134" s="365" t="s">
        <v>373</v>
      </c>
      <c r="O134" s="366"/>
      <c r="P134" s="367" t="s">
        <v>183</v>
      </c>
      <c r="Q134" s="368"/>
      <c r="R134" s="365" t="s">
        <v>373</v>
      </c>
      <c r="S134" s="366"/>
      <c r="T134" s="367" t="s">
        <v>183</v>
      </c>
      <c r="U134" s="368"/>
      <c r="V134" s="365" t="s">
        <v>373</v>
      </c>
      <c r="W134" s="366"/>
      <c r="X134" s="367" t="s">
        <v>183</v>
      </c>
      <c r="Y134" s="368"/>
      <c r="Z134" s="365" t="s">
        <v>373</v>
      </c>
      <c r="AA134" s="366"/>
      <c r="AB134" s="367" t="s">
        <v>183</v>
      </c>
      <c r="AC134" s="368"/>
      <c r="AD134" s="365" t="s">
        <v>373</v>
      </c>
      <c r="AE134" s="366"/>
      <c r="AF134" s="367" t="s">
        <v>183</v>
      </c>
      <c r="AG134" s="368"/>
      <c r="AH134" s="365" t="s">
        <v>373</v>
      </c>
      <c r="AI134" s="366"/>
      <c r="AJ134" s="367" t="s">
        <v>183</v>
      </c>
      <c r="AK134" s="368"/>
      <c r="AL134" s="365" t="s">
        <v>373</v>
      </c>
      <c r="AM134" s="366"/>
      <c r="AN134" s="367" t="s">
        <v>183</v>
      </c>
      <c r="AO134" s="368"/>
    </row>
    <row r="135" spans="1:41" ht="10" customHeight="1" x14ac:dyDescent="0.25">
      <c r="A135" s="369"/>
      <c r="B135" s="370"/>
      <c r="C135" s="371"/>
      <c r="D135" s="371"/>
      <c r="E135" s="372"/>
      <c r="F135" s="370"/>
      <c r="G135" s="371"/>
      <c r="H135" s="371"/>
      <c r="I135" s="372"/>
      <c r="J135" s="370"/>
      <c r="K135" s="371"/>
      <c r="L135" s="371"/>
      <c r="M135" s="372"/>
      <c r="N135" s="370"/>
      <c r="O135" s="371"/>
      <c r="P135" s="371"/>
      <c r="Q135" s="372"/>
      <c r="R135" s="370"/>
      <c r="S135" s="371"/>
      <c r="T135" s="371"/>
      <c r="U135" s="372"/>
      <c r="V135" s="370"/>
      <c r="W135" s="371"/>
      <c r="X135" s="371"/>
      <c r="Y135" s="372"/>
      <c r="Z135" s="370"/>
      <c r="AA135" s="371"/>
      <c r="AB135" s="371"/>
      <c r="AC135" s="372"/>
      <c r="AD135" s="370"/>
      <c r="AE135" s="371"/>
      <c r="AF135" s="371"/>
      <c r="AG135" s="372"/>
      <c r="AH135" s="370"/>
      <c r="AI135" s="371"/>
      <c r="AJ135" s="371"/>
      <c r="AK135" s="372"/>
      <c r="AL135" s="370"/>
      <c r="AM135" s="371"/>
      <c r="AN135" s="371"/>
      <c r="AO135" s="372"/>
    </row>
    <row r="136" spans="1:41" ht="10" customHeight="1" x14ac:dyDescent="0.25">
      <c r="A136" s="373" t="s">
        <v>374</v>
      </c>
      <c r="B136" s="408">
        <v>26150</v>
      </c>
      <c r="C136" s="412"/>
      <c r="D136" s="374">
        <f>B136/$B$151</f>
        <v>1</v>
      </c>
      <c r="E136" s="413"/>
      <c r="F136" s="408">
        <v>26150</v>
      </c>
      <c r="G136" s="412"/>
      <c r="H136" s="374">
        <f>F136/$B$151</f>
        <v>1</v>
      </c>
      <c r="I136" s="413"/>
      <c r="J136" s="408">
        <v>26150</v>
      </c>
      <c r="K136" s="412"/>
      <c r="L136" s="374">
        <f>J136/$B$151</f>
        <v>1</v>
      </c>
      <c r="M136" s="413"/>
      <c r="N136" s="408">
        <v>26150</v>
      </c>
      <c r="O136" s="412"/>
      <c r="P136" s="374">
        <f>N136/$B$151</f>
        <v>1</v>
      </c>
      <c r="Q136" s="413"/>
      <c r="R136" s="408">
        <v>26150</v>
      </c>
      <c r="S136" s="412"/>
      <c r="T136" s="374">
        <f>R136/$B$151</f>
        <v>1</v>
      </c>
      <c r="U136" s="413"/>
      <c r="V136" s="408">
        <v>26150</v>
      </c>
      <c r="W136" s="412"/>
      <c r="X136" s="374">
        <f>V136/$B$151</f>
        <v>1</v>
      </c>
      <c r="Y136" s="413"/>
      <c r="Z136" s="408">
        <v>26150</v>
      </c>
      <c r="AA136" s="412"/>
      <c r="AB136" s="374">
        <f>Z136/$B$151</f>
        <v>1</v>
      </c>
      <c r="AC136" s="413"/>
      <c r="AD136" s="408">
        <v>26150</v>
      </c>
      <c r="AE136" s="412"/>
      <c r="AF136" s="374">
        <f>AD136/$B$151</f>
        <v>1</v>
      </c>
      <c r="AG136" s="413"/>
      <c r="AH136" s="408">
        <v>26150</v>
      </c>
      <c r="AI136" s="412"/>
      <c r="AJ136" s="374">
        <f>AH136/$B$151</f>
        <v>1</v>
      </c>
      <c r="AK136" s="413"/>
      <c r="AL136" s="408">
        <v>26150</v>
      </c>
      <c r="AM136" s="412"/>
      <c r="AN136" s="374">
        <f>AL136/$B$151</f>
        <v>1</v>
      </c>
      <c r="AO136" s="375"/>
    </row>
    <row r="137" spans="1:41" ht="10" customHeight="1" x14ac:dyDescent="0.25">
      <c r="A137" s="373" t="s">
        <v>375</v>
      </c>
      <c r="B137" s="408">
        <v>26150</v>
      </c>
      <c r="C137" s="412"/>
      <c r="D137" s="374">
        <f t="shared" ref="D137:D147" si="60">B137/$B$151</f>
        <v>1</v>
      </c>
      <c r="E137" s="413"/>
      <c r="F137" s="408">
        <v>26150</v>
      </c>
      <c r="G137" s="412"/>
      <c r="H137" s="374">
        <f t="shared" ref="H137:H147" si="61">F137/$B$151</f>
        <v>1</v>
      </c>
      <c r="I137" s="413"/>
      <c r="J137" s="408">
        <v>26150</v>
      </c>
      <c r="K137" s="412"/>
      <c r="L137" s="374">
        <f t="shared" ref="L137:L147" si="62">J137/$B$151</f>
        <v>1</v>
      </c>
      <c r="M137" s="413"/>
      <c r="N137" s="408">
        <v>26150</v>
      </c>
      <c r="O137" s="412"/>
      <c r="P137" s="374">
        <f t="shared" ref="P137:P147" si="63">N137/$B$151</f>
        <v>1</v>
      </c>
      <c r="Q137" s="413"/>
      <c r="R137" s="408">
        <v>26150</v>
      </c>
      <c r="S137" s="412"/>
      <c r="T137" s="374">
        <f t="shared" ref="T137:T147" si="64">R137/$B$151</f>
        <v>1</v>
      </c>
      <c r="U137" s="413"/>
      <c r="V137" s="408">
        <v>26150</v>
      </c>
      <c r="W137" s="412"/>
      <c r="X137" s="374">
        <f t="shared" ref="X137:X147" si="65">V137/$B$151</f>
        <v>1</v>
      </c>
      <c r="Y137" s="413"/>
      <c r="Z137" s="408">
        <v>26150</v>
      </c>
      <c r="AA137" s="412"/>
      <c r="AB137" s="374">
        <f t="shared" ref="AB137:AB147" si="66">Z137/$B$151</f>
        <v>1</v>
      </c>
      <c r="AC137" s="413"/>
      <c r="AD137" s="408">
        <v>26150</v>
      </c>
      <c r="AE137" s="412"/>
      <c r="AF137" s="374">
        <f t="shared" ref="AF137:AF147" si="67">AD137/$B$151</f>
        <v>1</v>
      </c>
      <c r="AG137" s="413"/>
      <c r="AH137" s="408">
        <v>26150</v>
      </c>
      <c r="AI137" s="412"/>
      <c r="AJ137" s="374">
        <f t="shared" ref="AJ137:AJ147" si="68">AH137/$B$151</f>
        <v>1</v>
      </c>
      <c r="AK137" s="413"/>
      <c r="AL137" s="408">
        <v>26150</v>
      </c>
      <c r="AM137" s="412"/>
      <c r="AN137" s="374">
        <f t="shared" ref="AN137:AN147" si="69">AL137/$B$151</f>
        <v>1</v>
      </c>
      <c r="AO137" s="375"/>
    </row>
    <row r="138" spans="1:41" ht="10" customHeight="1" x14ac:dyDescent="0.25">
      <c r="A138" s="373" t="s">
        <v>376</v>
      </c>
      <c r="B138" s="408">
        <v>26150</v>
      </c>
      <c r="C138" s="412"/>
      <c r="D138" s="374">
        <f t="shared" si="60"/>
        <v>1</v>
      </c>
      <c r="E138" s="413"/>
      <c r="F138" s="408">
        <v>26150</v>
      </c>
      <c r="G138" s="412"/>
      <c r="H138" s="374">
        <f t="shared" si="61"/>
        <v>1</v>
      </c>
      <c r="I138" s="413"/>
      <c r="J138" s="408">
        <v>26150</v>
      </c>
      <c r="K138" s="412"/>
      <c r="L138" s="374">
        <f t="shared" si="62"/>
        <v>1</v>
      </c>
      <c r="M138" s="413"/>
      <c r="N138" s="408">
        <v>26150</v>
      </c>
      <c r="O138" s="412"/>
      <c r="P138" s="374">
        <f t="shared" si="63"/>
        <v>1</v>
      </c>
      <c r="Q138" s="413"/>
      <c r="R138" s="408">
        <v>26150</v>
      </c>
      <c r="S138" s="412"/>
      <c r="T138" s="374">
        <f t="shared" si="64"/>
        <v>1</v>
      </c>
      <c r="U138" s="413"/>
      <c r="V138" s="408">
        <v>26150</v>
      </c>
      <c r="W138" s="412"/>
      <c r="X138" s="374">
        <f t="shared" si="65"/>
        <v>1</v>
      </c>
      <c r="Y138" s="413"/>
      <c r="Z138" s="408">
        <v>26150</v>
      </c>
      <c r="AA138" s="412"/>
      <c r="AB138" s="374">
        <f t="shared" si="66"/>
        <v>1</v>
      </c>
      <c r="AC138" s="413"/>
      <c r="AD138" s="408">
        <v>26150</v>
      </c>
      <c r="AE138" s="412"/>
      <c r="AF138" s="374">
        <f t="shared" si="67"/>
        <v>1</v>
      </c>
      <c r="AG138" s="413"/>
      <c r="AH138" s="408">
        <v>26150</v>
      </c>
      <c r="AI138" s="412"/>
      <c r="AJ138" s="374">
        <f t="shared" si="68"/>
        <v>1</v>
      </c>
      <c r="AK138" s="413"/>
      <c r="AL138" s="408">
        <v>26150</v>
      </c>
      <c r="AM138" s="412"/>
      <c r="AN138" s="374">
        <f t="shared" si="69"/>
        <v>1</v>
      </c>
      <c r="AO138" s="375"/>
    </row>
    <row r="139" spans="1:41" ht="10" customHeight="1" x14ac:dyDescent="0.25">
      <c r="A139" s="373" t="s">
        <v>377</v>
      </c>
      <c r="B139" s="408">
        <v>26150</v>
      </c>
      <c r="C139" s="412"/>
      <c r="D139" s="374">
        <f t="shared" si="60"/>
        <v>1</v>
      </c>
      <c r="E139" s="413"/>
      <c r="F139" s="408">
        <v>26150</v>
      </c>
      <c r="G139" s="412"/>
      <c r="H139" s="374">
        <f t="shared" si="61"/>
        <v>1</v>
      </c>
      <c r="I139" s="413"/>
      <c r="J139" s="408">
        <v>26150</v>
      </c>
      <c r="K139" s="412"/>
      <c r="L139" s="374">
        <f t="shared" si="62"/>
        <v>1</v>
      </c>
      <c r="M139" s="413"/>
      <c r="N139" s="408">
        <v>26150</v>
      </c>
      <c r="O139" s="412"/>
      <c r="P139" s="374">
        <f t="shared" si="63"/>
        <v>1</v>
      </c>
      <c r="Q139" s="413"/>
      <c r="R139" s="408">
        <v>26150</v>
      </c>
      <c r="S139" s="412"/>
      <c r="T139" s="374">
        <f t="shared" si="64"/>
        <v>1</v>
      </c>
      <c r="U139" s="413"/>
      <c r="V139" s="408">
        <v>26150</v>
      </c>
      <c r="W139" s="412"/>
      <c r="X139" s="374">
        <f t="shared" si="65"/>
        <v>1</v>
      </c>
      <c r="Y139" s="413"/>
      <c r="Z139" s="408">
        <v>26150</v>
      </c>
      <c r="AA139" s="412"/>
      <c r="AB139" s="374">
        <f t="shared" si="66"/>
        <v>1</v>
      </c>
      <c r="AC139" s="413"/>
      <c r="AD139" s="408">
        <v>26150</v>
      </c>
      <c r="AE139" s="412"/>
      <c r="AF139" s="374">
        <f t="shared" si="67"/>
        <v>1</v>
      </c>
      <c r="AG139" s="413"/>
      <c r="AH139" s="408">
        <v>26150</v>
      </c>
      <c r="AI139" s="412"/>
      <c r="AJ139" s="374">
        <f t="shared" si="68"/>
        <v>1</v>
      </c>
      <c r="AK139" s="413"/>
      <c r="AL139" s="408">
        <v>26150</v>
      </c>
      <c r="AM139" s="412"/>
      <c r="AN139" s="374">
        <f t="shared" si="69"/>
        <v>1</v>
      </c>
      <c r="AO139" s="375"/>
    </row>
    <row r="140" spans="1:41" ht="10" customHeight="1" x14ac:dyDescent="0.25">
      <c r="A140" s="373" t="s">
        <v>378</v>
      </c>
      <c r="B140" s="408">
        <v>26150</v>
      </c>
      <c r="C140" s="412"/>
      <c r="D140" s="374">
        <f t="shared" si="60"/>
        <v>1</v>
      </c>
      <c r="E140" s="413"/>
      <c r="F140" s="408">
        <v>26150</v>
      </c>
      <c r="G140" s="412"/>
      <c r="H140" s="374">
        <f t="shared" si="61"/>
        <v>1</v>
      </c>
      <c r="I140" s="413"/>
      <c r="J140" s="408">
        <v>26150</v>
      </c>
      <c r="K140" s="412"/>
      <c r="L140" s="374">
        <f t="shared" si="62"/>
        <v>1</v>
      </c>
      <c r="M140" s="413"/>
      <c r="N140" s="408">
        <v>26150</v>
      </c>
      <c r="O140" s="412"/>
      <c r="P140" s="374">
        <f t="shared" si="63"/>
        <v>1</v>
      </c>
      <c r="Q140" s="413"/>
      <c r="R140" s="408">
        <v>26150</v>
      </c>
      <c r="S140" s="412"/>
      <c r="T140" s="374">
        <f t="shared" si="64"/>
        <v>1</v>
      </c>
      <c r="U140" s="413"/>
      <c r="V140" s="408">
        <v>26150</v>
      </c>
      <c r="W140" s="412"/>
      <c r="X140" s="374">
        <f t="shared" si="65"/>
        <v>1</v>
      </c>
      <c r="Y140" s="413"/>
      <c r="Z140" s="408">
        <v>26150</v>
      </c>
      <c r="AA140" s="412"/>
      <c r="AB140" s="374">
        <f t="shared" si="66"/>
        <v>1</v>
      </c>
      <c r="AC140" s="413"/>
      <c r="AD140" s="408">
        <v>26150</v>
      </c>
      <c r="AE140" s="412"/>
      <c r="AF140" s="374">
        <f t="shared" si="67"/>
        <v>1</v>
      </c>
      <c r="AG140" s="413"/>
      <c r="AH140" s="408">
        <v>26150</v>
      </c>
      <c r="AI140" s="412"/>
      <c r="AJ140" s="374">
        <f t="shared" si="68"/>
        <v>1</v>
      </c>
      <c r="AK140" s="413"/>
      <c r="AL140" s="408">
        <v>26150</v>
      </c>
      <c r="AM140" s="412"/>
      <c r="AN140" s="374">
        <f t="shared" si="69"/>
        <v>1</v>
      </c>
      <c r="AO140" s="375"/>
    </row>
    <row r="141" spans="1:41" ht="10" customHeight="1" x14ac:dyDescent="0.25">
      <c r="A141" s="373" t="s">
        <v>379</v>
      </c>
      <c r="B141" s="408">
        <v>26150</v>
      </c>
      <c r="C141" s="412"/>
      <c r="D141" s="374">
        <f t="shared" si="60"/>
        <v>1</v>
      </c>
      <c r="E141" s="413"/>
      <c r="F141" s="408">
        <v>26150</v>
      </c>
      <c r="G141" s="412"/>
      <c r="H141" s="374">
        <f t="shared" si="61"/>
        <v>1</v>
      </c>
      <c r="I141" s="413"/>
      <c r="J141" s="408">
        <v>26150</v>
      </c>
      <c r="K141" s="412"/>
      <c r="L141" s="374">
        <f t="shared" si="62"/>
        <v>1</v>
      </c>
      <c r="M141" s="413"/>
      <c r="N141" s="408">
        <v>26150</v>
      </c>
      <c r="O141" s="412"/>
      <c r="P141" s="374">
        <f t="shared" si="63"/>
        <v>1</v>
      </c>
      <c r="Q141" s="413"/>
      <c r="R141" s="408">
        <v>26150</v>
      </c>
      <c r="S141" s="412"/>
      <c r="T141" s="374">
        <f t="shared" si="64"/>
        <v>1</v>
      </c>
      <c r="U141" s="413"/>
      <c r="V141" s="408">
        <v>26150</v>
      </c>
      <c r="W141" s="412"/>
      <c r="X141" s="374">
        <f t="shared" si="65"/>
        <v>1</v>
      </c>
      <c r="Y141" s="413"/>
      <c r="Z141" s="408">
        <v>26150</v>
      </c>
      <c r="AA141" s="412"/>
      <c r="AB141" s="374">
        <f t="shared" si="66"/>
        <v>1</v>
      </c>
      <c r="AC141" s="413"/>
      <c r="AD141" s="408">
        <v>26150</v>
      </c>
      <c r="AE141" s="412"/>
      <c r="AF141" s="374">
        <f t="shared" si="67"/>
        <v>1</v>
      </c>
      <c r="AG141" s="413"/>
      <c r="AH141" s="408">
        <v>26150</v>
      </c>
      <c r="AI141" s="412"/>
      <c r="AJ141" s="374">
        <f t="shared" si="68"/>
        <v>1</v>
      </c>
      <c r="AK141" s="413"/>
      <c r="AL141" s="408">
        <v>26150</v>
      </c>
      <c r="AM141" s="412"/>
      <c r="AN141" s="374">
        <f t="shared" si="69"/>
        <v>1</v>
      </c>
      <c r="AO141" s="375"/>
    </row>
    <row r="142" spans="1:41" ht="10" customHeight="1" x14ac:dyDescent="0.25">
      <c r="A142" s="373" t="s">
        <v>380</v>
      </c>
      <c r="B142" s="408">
        <v>26150</v>
      </c>
      <c r="C142" s="412"/>
      <c r="D142" s="374">
        <f t="shared" si="60"/>
        <v>1</v>
      </c>
      <c r="E142" s="413"/>
      <c r="F142" s="408">
        <v>26150</v>
      </c>
      <c r="G142" s="412"/>
      <c r="H142" s="374">
        <f t="shared" si="61"/>
        <v>1</v>
      </c>
      <c r="I142" s="413"/>
      <c r="J142" s="408">
        <v>26150</v>
      </c>
      <c r="K142" s="412"/>
      <c r="L142" s="374">
        <f t="shared" si="62"/>
        <v>1</v>
      </c>
      <c r="M142" s="413"/>
      <c r="N142" s="408">
        <v>26150</v>
      </c>
      <c r="O142" s="412"/>
      <c r="P142" s="374">
        <f t="shared" si="63"/>
        <v>1</v>
      </c>
      <c r="Q142" s="413"/>
      <c r="R142" s="408">
        <v>26150</v>
      </c>
      <c r="S142" s="412"/>
      <c r="T142" s="374">
        <f t="shared" si="64"/>
        <v>1</v>
      </c>
      <c r="U142" s="413"/>
      <c r="V142" s="408">
        <v>26150</v>
      </c>
      <c r="W142" s="412"/>
      <c r="X142" s="374">
        <f t="shared" si="65"/>
        <v>1</v>
      </c>
      <c r="Y142" s="413"/>
      <c r="Z142" s="408">
        <v>26150</v>
      </c>
      <c r="AA142" s="412"/>
      <c r="AB142" s="374">
        <f t="shared" si="66"/>
        <v>1</v>
      </c>
      <c r="AC142" s="413"/>
      <c r="AD142" s="408">
        <v>26150</v>
      </c>
      <c r="AE142" s="412"/>
      <c r="AF142" s="374">
        <f t="shared" si="67"/>
        <v>1</v>
      </c>
      <c r="AG142" s="413"/>
      <c r="AH142" s="408">
        <v>26150</v>
      </c>
      <c r="AI142" s="412"/>
      <c r="AJ142" s="374">
        <f t="shared" si="68"/>
        <v>1</v>
      </c>
      <c r="AK142" s="413"/>
      <c r="AL142" s="408">
        <v>26150</v>
      </c>
      <c r="AM142" s="412"/>
      <c r="AN142" s="374">
        <f t="shared" si="69"/>
        <v>1</v>
      </c>
      <c r="AO142" s="375"/>
    </row>
    <row r="143" spans="1:41" ht="10" customHeight="1" x14ac:dyDescent="0.25">
      <c r="A143" s="373" t="s">
        <v>381</v>
      </c>
      <c r="B143" s="408">
        <v>26150</v>
      </c>
      <c r="C143" s="412"/>
      <c r="D143" s="374">
        <f t="shared" si="60"/>
        <v>1</v>
      </c>
      <c r="E143" s="413"/>
      <c r="F143" s="408">
        <v>26150</v>
      </c>
      <c r="G143" s="412"/>
      <c r="H143" s="374">
        <f t="shared" si="61"/>
        <v>1</v>
      </c>
      <c r="I143" s="413"/>
      <c r="J143" s="408">
        <v>26150</v>
      </c>
      <c r="K143" s="412"/>
      <c r="L143" s="374">
        <f t="shared" si="62"/>
        <v>1</v>
      </c>
      <c r="M143" s="413"/>
      <c r="N143" s="408">
        <v>26150</v>
      </c>
      <c r="O143" s="412"/>
      <c r="P143" s="374">
        <f t="shared" si="63"/>
        <v>1</v>
      </c>
      <c r="Q143" s="413"/>
      <c r="R143" s="408">
        <v>26150</v>
      </c>
      <c r="S143" s="412"/>
      <c r="T143" s="374">
        <f t="shared" si="64"/>
        <v>1</v>
      </c>
      <c r="U143" s="413"/>
      <c r="V143" s="408">
        <v>26150</v>
      </c>
      <c r="W143" s="412"/>
      <c r="X143" s="374">
        <f t="shared" si="65"/>
        <v>1</v>
      </c>
      <c r="Y143" s="413"/>
      <c r="Z143" s="408">
        <v>26150</v>
      </c>
      <c r="AA143" s="412"/>
      <c r="AB143" s="374">
        <f t="shared" si="66"/>
        <v>1</v>
      </c>
      <c r="AC143" s="413"/>
      <c r="AD143" s="408">
        <v>26150</v>
      </c>
      <c r="AE143" s="412"/>
      <c r="AF143" s="374">
        <f t="shared" si="67"/>
        <v>1</v>
      </c>
      <c r="AG143" s="413"/>
      <c r="AH143" s="408">
        <v>26150</v>
      </c>
      <c r="AI143" s="412"/>
      <c r="AJ143" s="374">
        <f t="shared" si="68"/>
        <v>1</v>
      </c>
      <c r="AK143" s="413"/>
      <c r="AL143" s="408">
        <v>26150</v>
      </c>
      <c r="AM143" s="412"/>
      <c r="AN143" s="374">
        <f t="shared" si="69"/>
        <v>1</v>
      </c>
      <c r="AO143" s="375"/>
    </row>
    <row r="144" spans="1:41" ht="10" customHeight="1" x14ac:dyDescent="0.25">
      <c r="A144" s="373" t="s">
        <v>382</v>
      </c>
      <c r="B144" s="408">
        <v>26150</v>
      </c>
      <c r="C144" s="412"/>
      <c r="D144" s="374">
        <f t="shared" si="60"/>
        <v>1</v>
      </c>
      <c r="E144" s="413"/>
      <c r="F144" s="408">
        <v>26150</v>
      </c>
      <c r="G144" s="412"/>
      <c r="H144" s="374">
        <f t="shared" si="61"/>
        <v>1</v>
      </c>
      <c r="I144" s="413"/>
      <c r="J144" s="408">
        <v>26150</v>
      </c>
      <c r="K144" s="412"/>
      <c r="L144" s="374">
        <f t="shared" si="62"/>
        <v>1</v>
      </c>
      <c r="M144" s="413"/>
      <c r="N144" s="408">
        <v>26150</v>
      </c>
      <c r="O144" s="412"/>
      <c r="P144" s="374">
        <f t="shared" si="63"/>
        <v>1</v>
      </c>
      <c r="Q144" s="413"/>
      <c r="R144" s="408">
        <v>26150</v>
      </c>
      <c r="S144" s="412"/>
      <c r="T144" s="374">
        <f t="shared" si="64"/>
        <v>1</v>
      </c>
      <c r="U144" s="413"/>
      <c r="V144" s="408">
        <v>26150</v>
      </c>
      <c r="W144" s="412"/>
      <c r="X144" s="374">
        <f t="shared" si="65"/>
        <v>1</v>
      </c>
      <c r="Y144" s="413"/>
      <c r="Z144" s="408">
        <v>26150</v>
      </c>
      <c r="AA144" s="412"/>
      <c r="AB144" s="374">
        <f t="shared" si="66"/>
        <v>1</v>
      </c>
      <c r="AC144" s="413"/>
      <c r="AD144" s="408">
        <v>26150</v>
      </c>
      <c r="AE144" s="412"/>
      <c r="AF144" s="374">
        <f t="shared" si="67"/>
        <v>1</v>
      </c>
      <c r="AG144" s="413"/>
      <c r="AH144" s="408">
        <v>26150</v>
      </c>
      <c r="AI144" s="412"/>
      <c r="AJ144" s="374">
        <f t="shared" si="68"/>
        <v>1</v>
      </c>
      <c r="AK144" s="413"/>
      <c r="AL144" s="408">
        <v>26150</v>
      </c>
      <c r="AM144" s="412"/>
      <c r="AN144" s="374">
        <f t="shared" si="69"/>
        <v>1</v>
      </c>
      <c r="AO144" s="375"/>
    </row>
    <row r="145" spans="1:41" ht="10" customHeight="1" x14ac:dyDescent="0.25">
      <c r="A145" s="373" t="s">
        <v>383</v>
      </c>
      <c r="B145" s="408">
        <v>26150</v>
      </c>
      <c r="C145" s="412"/>
      <c r="D145" s="374">
        <f t="shared" si="60"/>
        <v>1</v>
      </c>
      <c r="E145" s="413"/>
      <c r="F145" s="408">
        <v>26150</v>
      </c>
      <c r="G145" s="412"/>
      <c r="H145" s="374">
        <f t="shared" si="61"/>
        <v>1</v>
      </c>
      <c r="I145" s="413"/>
      <c r="J145" s="408">
        <v>26150</v>
      </c>
      <c r="K145" s="412"/>
      <c r="L145" s="374">
        <f t="shared" si="62"/>
        <v>1</v>
      </c>
      <c r="M145" s="413"/>
      <c r="N145" s="408">
        <v>26150</v>
      </c>
      <c r="O145" s="412"/>
      <c r="P145" s="374">
        <f t="shared" si="63"/>
        <v>1</v>
      </c>
      <c r="Q145" s="413"/>
      <c r="R145" s="408">
        <v>26150</v>
      </c>
      <c r="S145" s="412"/>
      <c r="T145" s="374">
        <f t="shared" si="64"/>
        <v>1</v>
      </c>
      <c r="U145" s="413"/>
      <c r="V145" s="408">
        <v>26150</v>
      </c>
      <c r="W145" s="412"/>
      <c r="X145" s="374">
        <f t="shared" si="65"/>
        <v>1</v>
      </c>
      <c r="Y145" s="413"/>
      <c r="Z145" s="408">
        <v>26150</v>
      </c>
      <c r="AA145" s="412"/>
      <c r="AB145" s="374">
        <f t="shared" si="66"/>
        <v>1</v>
      </c>
      <c r="AC145" s="413"/>
      <c r="AD145" s="408">
        <v>26150</v>
      </c>
      <c r="AE145" s="412"/>
      <c r="AF145" s="374">
        <f t="shared" si="67"/>
        <v>1</v>
      </c>
      <c r="AG145" s="413"/>
      <c r="AH145" s="408">
        <v>26150</v>
      </c>
      <c r="AI145" s="412"/>
      <c r="AJ145" s="374">
        <f t="shared" si="68"/>
        <v>1</v>
      </c>
      <c r="AK145" s="413"/>
      <c r="AL145" s="408">
        <v>26150</v>
      </c>
      <c r="AM145" s="412"/>
      <c r="AN145" s="374">
        <f t="shared" si="69"/>
        <v>1</v>
      </c>
      <c r="AO145" s="375"/>
    </row>
    <row r="146" spans="1:41" ht="10" customHeight="1" x14ac:dyDescent="0.25">
      <c r="A146" s="373" t="s">
        <v>384</v>
      </c>
      <c r="B146" s="408">
        <v>26150</v>
      </c>
      <c r="C146" s="412"/>
      <c r="D146" s="374">
        <f t="shared" si="60"/>
        <v>1</v>
      </c>
      <c r="E146" s="413"/>
      <c r="F146" s="408">
        <v>26150</v>
      </c>
      <c r="G146" s="412"/>
      <c r="H146" s="374">
        <f t="shared" si="61"/>
        <v>1</v>
      </c>
      <c r="I146" s="413"/>
      <c r="J146" s="408">
        <v>26150</v>
      </c>
      <c r="K146" s="412"/>
      <c r="L146" s="374">
        <f t="shared" si="62"/>
        <v>1</v>
      </c>
      <c r="M146" s="413"/>
      <c r="N146" s="408">
        <v>26150</v>
      </c>
      <c r="O146" s="412"/>
      <c r="P146" s="374">
        <f t="shared" si="63"/>
        <v>1</v>
      </c>
      <c r="Q146" s="413"/>
      <c r="R146" s="408">
        <v>26150</v>
      </c>
      <c r="S146" s="412"/>
      <c r="T146" s="374">
        <f t="shared" si="64"/>
        <v>1</v>
      </c>
      <c r="U146" s="413"/>
      <c r="V146" s="408">
        <v>26150</v>
      </c>
      <c r="W146" s="412"/>
      <c r="X146" s="374">
        <f t="shared" si="65"/>
        <v>1</v>
      </c>
      <c r="Y146" s="413"/>
      <c r="Z146" s="408">
        <v>26150</v>
      </c>
      <c r="AA146" s="412"/>
      <c r="AB146" s="374">
        <f t="shared" si="66"/>
        <v>1</v>
      </c>
      <c r="AC146" s="413"/>
      <c r="AD146" s="408">
        <v>26150</v>
      </c>
      <c r="AE146" s="412"/>
      <c r="AF146" s="374">
        <f t="shared" si="67"/>
        <v>1</v>
      </c>
      <c r="AG146" s="413"/>
      <c r="AH146" s="408">
        <v>26150</v>
      </c>
      <c r="AI146" s="412"/>
      <c r="AJ146" s="374">
        <f t="shared" si="68"/>
        <v>1</v>
      </c>
      <c r="AK146" s="413"/>
      <c r="AL146" s="408">
        <v>26150</v>
      </c>
      <c r="AM146" s="412"/>
      <c r="AN146" s="374">
        <f t="shared" si="69"/>
        <v>1</v>
      </c>
      <c r="AO146" s="375"/>
    </row>
    <row r="147" spans="1:41" ht="10" customHeight="1" x14ac:dyDescent="0.25">
      <c r="A147" s="373" t="s">
        <v>385</v>
      </c>
      <c r="B147" s="408">
        <v>26150</v>
      </c>
      <c r="C147" s="412"/>
      <c r="D147" s="374">
        <f t="shared" si="60"/>
        <v>1</v>
      </c>
      <c r="E147" s="413"/>
      <c r="F147" s="408">
        <v>26150</v>
      </c>
      <c r="G147" s="412"/>
      <c r="H147" s="374">
        <f t="shared" si="61"/>
        <v>1</v>
      </c>
      <c r="I147" s="413"/>
      <c r="J147" s="408">
        <v>26150</v>
      </c>
      <c r="K147" s="412"/>
      <c r="L147" s="374">
        <f t="shared" si="62"/>
        <v>1</v>
      </c>
      <c r="M147" s="413"/>
      <c r="N147" s="408">
        <v>26150</v>
      </c>
      <c r="O147" s="412"/>
      <c r="P147" s="374">
        <f t="shared" si="63"/>
        <v>1</v>
      </c>
      <c r="Q147" s="413"/>
      <c r="R147" s="408">
        <v>26150</v>
      </c>
      <c r="S147" s="412"/>
      <c r="T147" s="374">
        <f t="shared" si="64"/>
        <v>1</v>
      </c>
      <c r="U147" s="413"/>
      <c r="V147" s="408">
        <v>26150</v>
      </c>
      <c r="W147" s="412"/>
      <c r="X147" s="374">
        <f t="shared" si="65"/>
        <v>1</v>
      </c>
      <c r="Y147" s="413"/>
      <c r="Z147" s="408">
        <v>26150</v>
      </c>
      <c r="AA147" s="412"/>
      <c r="AB147" s="374">
        <f t="shared" si="66"/>
        <v>1</v>
      </c>
      <c r="AC147" s="413"/>
      <c r="AD147" s="408">
        <v>26150</v>
      </c>
      <c r="AE147" s="412"/>
      <c r="AF147" s="374">
        <f t="shared" si="67"/>
        <v>1</v>
      </c>
      <c r="AG147" s="413"/>
      <c r="AH147" s="408">
        <v>26150</v>
      </c>
      <c r="AI147" s="412"/>
      <c r="AJ147" s="374">
        <f t="shared" si="68"/>
        <v>1</v>
      </c>
      <c r="AK147" s="413"/>
      <c r="AL147" s="408">
        <v>26150</v>
      </c>
      <c r="AM147" s="412"/>
      <c r="AN147" s="374">
        <f t="shared" si="69"/>
        <v>1</v>
      </c>
      <c r="AO147" s="375"/>
    </row>
    <row r="148" spans="1:41" ht="10" customHeight="1" x14ac:dyDescent="0.25">
      <c r="A148" s="376"/>
      <c r="B148" s="409"/>
      <c r="C148" s="412"/>
      <c r="D148" s="412"/>
      <c r="E148" s="413"/>
      <c r="F148" s="409"/>
      <c r="G148" s="412"/>
      <c r="H148" s="412"/>
      <c r="I148" s="413"/>
      <c r="J148" s="409"/>
      <c r="K148" s="412"/>
      <c r="L148" s="412"/>
      <c r="M148" s="413"/>
      <c r="N148" s="409"/>
      <c r="O148" s="412"/>
      <c r="P148" s="412"/>
      <c r="Q148" s="413"/>
      <c r="R148" s="409"/>
      <c r="S148" s="412"/>
      <c r="T148" s="412"/>
      <c r="U148" s="413"/>
      <c r="V148" s="409"/>
      <c r="W148" s="412"/>
      <c r="X148" s="412"/>
      <c r="Y148" s="413"/>
      <c r="Z148" s="409"/>
      <c r="AA148" s="412"/>
      <c r="AB148" s="412"/>
      <c r="AC148" s="413"/>
      <c r="AD148" s="409"/>
      <c r="AE148" s="412"/>
      <c r="AF148" s="412"/>
      <c r="AG148" s="413"/>
      <c r="AH148" s="409"/>
      <c r="AI148" s="412"/>
      <c r="AJ148" s="412"/>
      <c r="AK148" s="413"/>
      <c r="AL148" s="409"/>
      <c r="AM148" s="412"/>
      <c r="AN148" s="412"/>
      <c r="AO148" s="375"/>
    </row>
    <row r="149" spans="1:41" ht="10" customHeight="1" x14ac:dyDescent="0.25">
      <c r="A149" s="373" t="s">
        <v>386</v>
      </c>
      <c r="B149" s="378">
        <f>AVERAGE(B136:B147)</f>
        <v>26150</v>
      </c>
      <c r="D149" s="389">
        <f>AVERAGE(D136:D147)</f>
        <v>1</v>
      </c>
      <c r="E149" s="375"/>
      <c r="F149" s="378">
        <f>AVERAGE(F136:F147)</f>
        <v>26150</v>
      </c>
      <c r="H149" s="389">
        <f>AVERAGE(H136:H147)</f>
        <v>1</v>
      </c>
      <c r="I149" s="375"/>
      <c r="J149" s="378">
        <f>AVERAGE(J136:J147)</f>
        <v>26150</v>
      </c>
      <c r="L149" s="389">
        <f>AVERAGE(L136:L147)</f>
        <v>1</v>
      </c>
      <c r="M149" s="375"/>
      <c r="N149" s="378">
        <f>AVERAGE(N136:N147)</f>
        <v>26150</v>
      </c>
      <c r="P149" s="389">
        <f>AVERAGE(P136:P147)</f>
        <v>1</v>
      </c>
      <c r="Q149" s="375"/>
      <c r="R149" s="378">
        <f>AVERAGE(R136:R147)</f>
        <v>26150</v>
      </c>
      <c r="T149" s="389">
        <f>AVERAGE(T136:T147)</f>
        <v>1</v>
      </c>
      <c r="U149" s="375"/>
      <c r="V149" s="378">
        <f>AVERAGE(V136:V147)</f>
        <v>26150</v>
      </c>
      <c r="X149" s="389">
        <f>AVERAGE(X136:X147)</f>
        <v>1</v>
      </c>
      <c r="Y149" s="375"/>
      <c r="Z149" s="378">
        <f>AVERAGE(Z136:Z147)</f>
        <v>26150</v>
      </c>
      <c r="AB149" s="389">
        <f>AVERAGE(AB136:AB147)</f>
        <v>1</v>
      </c>
      <c r="AC149" s="375"/>
      <c r="AD149" s="378">
        <f>AVERAGE(AD136:AD147)</f>
        <v>26150</v>
      </c>
      <c r="AF149" s="389">
        <f>AVERAGE(AF136:AF147)</f>
        <v>1</v>
      </c>
      <c r="AG149" s="375"/>
      <c r="AH149" s="378">
        <f>AVERAGE(AH136:AH147)</f>
        <v>26150</v>
      </c>
      <c r="AJ149" s="389">
        <f>AVERAGE(AJ136:AJ147)</f>
        <v>1</v>
      </c>
      <c r="AK149" s="375"/>
      <c r="AL149" s="378">
        <f>AVERAGE(AL136:AL147)</f>
        <v>26150</v>
      </c>
      <c r="AN149" s="389">
        <f>AVERAGE(AN136:AN147)</f>
        <v>1</v>
      </c>
      <c r="AO149" s="375"/>
    </row>
    <row r="150" spans="1:41" ht="10" customHeight="1" x14ac:dyDescent="0.25">
      <c r="A150" s="376"/>
      <c r="B150" s="409"/>
      <c r="C150" s="412"/>
      <c r="D150" s="412"/>
      <c r="E150" s="413"/>
      <c r="F150" s="409"/>
      <c r="G150" s="412"/>
      <c r="H150" s="412"/>
      <c r="I150" s="413"/>
      <c r="J150" s="409"/>
      <c r="K150" s="412"/>
      <c r="L150" s="412"/>
      <c r="M150" s="413"/>
      <c r="N150" s="409"/>
      <c r="O150" s="412"/>
      <c r="P150" s="412"/>
      <c r="Q150" s="413"/>
      <c r="R150" s="409"/>
      <c r="S150" s="412"/>
      <c r="T150" s="412"/>
      <c r="U150" s="413"/>
      <c r="V150" s="409"/>
      <c r="W150" s="412"/>
      <c r="X150" s="412"/>
      <c r="Y150" s="413"/>
      <c r="Z150" s="409"/>
      <c r="AA150" s="412"/>
      <c r="AB150" s="412"/>
      <c r="AC150" s="413"/>
      <c r="AD150" s="409"/>
      <c r="AE150" s="412"/>
      <c r="AF150" s="412"/>
      <c r="AG150" s="413"/>
      <c r="AH150" s="409"/>
      <c r="AI150" s="412"/>
      <c r="AJ150" s="412"/>
      <c r="AK150" s="413"/>
      <c r="AL150" s="409"/>
      <c r="AM150" s="412"/>
      <c r="AN150" s="412"/>
      <c r="AO150" s="375"/>
    </row>
    <row r="151" spans="1:41" ht="10" customHeight="1" x14ac:dyDescent="0.25">
      <c r="A151" s="379" t="s">
        <v>387</v>
      </c>
      <c r="B151" s="407">
        <v>26150</v>
      </c>
      <c r="C151" s="410"/>
      <c r="D151" s="410"/>
      <c r="E151" s="411"/>
      <c r="F151" s="407">
        <v>26150</v>
      </c>
      <c r="G151" s="410"/>
      <c r="H151" s="410"/>
      <c r="I151" s="411"/>
      <c r="J151" s="407">
        <v>26150</v>
      </c>
      <c r="K151" s="410"/>
      <c r="L151" s="410"/>
      <c r="M151" s="411"/>
      <c r="N151" s="407">
        <v>26150</v>
      </c>
      <c r="O151" s="410"/>
      <c r="P151" s="410"/>
      <c r="Q151" s="411"/>
      <c r="R151" s="407">
        <v>26150</v>
      </c>
      <c r="S151" s="410"/>
      <c r="T151" s="410"/>
      <c r="U151" s="411"/>
      <c r="V151" s="407">
        <v>26150</v>
      </c>
      <c r="W151" s="410"/>
      <c r="X151" s="410"/>
      <c r="Y151" s="411"/>
      <c r="Z151" s="407">
        <v>26150</v>
      </c>
      <c r="AA151" s="410"/>
      <c r="AB151" s="410"/>
      <c r="AC151" s="411"/>
      <c r="AD151" s="407">
        <v>26150</v>
      </c>
      <c r="AE151" s="410"/>
      <c r="AF151" s="410"/>
      <c r="AG151" s="411"/>
      <c r="AH151" s="407">
        <v>26150</v>
      </c>
      <c r="AI151" s="410"/>
      <c r="AJ151" s="410"/>
      <c r="AK151" s="411"/>
      <c r="AL151" s="407">
        <v>26150</v>
      </c>
      <c r="AM151" s="410"/>
      <c r="AN151" s="410"/>
      <c r="AO151" s="382"/>
    </row>
    <row r="153" spans="1:41" ht="10" customHeight="1" x14ac:dyDescent="0.25">
      <c r="A153" s="525" t="s">
        <v>398</v>
      </c>
      <c r="B153" s="525"/>
      <c r="C153" s="525"/>
      <c r="D153" s="525"/>
      <c r="E153" s="525"/>
      <c r="F153" s="525"/>
      <c r="G153" s="525"/>
      <c r="H153" s="525"/>
      <c r="I153" s="525"/>
      <c r="J153" s="525"/>
      <c r="K153" s="525"/>
      <c r="L153" s="525"/>
      <c r="M153" s="525"/>
      <c r="N153" s="525"/>
      <c r="O153" s="525"/>
      <c r="P153" s="525"/>
      <c r="Q153" s="525"/>
      <c r="R153" s="525"/>
    </row>
    <row r="154" spans="1:41" ht="10" customHeight="1" x14ac:dyDescent="0.25">
      <c r="A154" s="525" t="s">
        <v>297</v>
      </c>
      <c r="B154" s="525"/>
      <c r="C154" s="525"/>
      <c r="D154" s="525"/>
      <c r="E154" s="525"/>
      <c r="F154" s="525"/>
      <c r="G154" s="525"/>
      <c r="H154" s="525"/>
      <c r="I154" s="525"/>
      <c r="J154" s="525"/>
      <c r="K154" s="525"/>
      <c r="L154" s="525"/>
      <c r="M154" s="525"/>
      <c r="N154" s="525"/>
      <c r="O154" s="525"/>
      <c r="P154" s="525"/>
      <c r="Q154" s="525"/>
      <c r="R154" s="525"/>
    </row>
    <row r="155" spans="1:41" ht="10" customHeight="1" x14ac:dyDescent="0.25">
      <c r="A155" s="525" t="s">
        <v>399</v>
      </c>
      <c r="B155" s="525"/>
      <c r="C155" s="525"/>
      <c r="D155" s="525"/>
      <c r="E155" s="525"/>
      <c r="F155" s="525"/>
      <c r="G155" s="525"/>
      <c r="H155" s="525"/>
      <c r="I155" s="525"/>
      <c r="J155" s="525"/>
      <c r="K155" s="525"/>
      <c r="L155" s="525"/>
      <c r="M155" s="525"/>
      <c r="N155" s="525"/>
      <c r="O155" s="525"/>
      <c r="P155" s="525"/>
      <c r="Q155" s="525"/>
      <c r="R155" s="525"/>
    </row>
    <row r="157" spans="1:41" ht="10" customHeight="1" x14ac:dyDescent="0.25">
      <c r="A157" s="359"/>
      <c r="B157" s="386" t="s">
        <v>360</v>
      </c>
      <c r="C157" s="384" t="s">
        <v>361</v>
      </c>
      <c r="D157" s="384" t="s">
        <v>360</v>
      </c>
      <c r="E157" s="385" t="s">
        <v>360</v>
      </c>
      <c r="F157" s="386" t="s">
        <v>360</v>
      </c>
      <c r="G157" s="384" t="s">
        <v>362</v>
      </c>
      <c r="H157" s="384" t="s">
        <v>360</v>
      </c>
      <c r="I157" s="385" t="s">
        <v>360</v>
      </c>
      <c r="J157" s="386" t="s">
        <v>360</v>
      </c>
      <c r="K157" s="384" t="s">
        <v>363</v>
      </c>
      <c r="L157" s="384" t="s">
        <v>360</v>
      </c>
      <c r="M157" s="385" t="s">
        <v>360</v>
      </c>
      <c r="N157" s="386" t="s">
        <v>360</v>
      </c>
      <c r="O157" s="384" t="s">
        <v>364</v>
      </c>
      <c r="P157" s="384" t="s">
        <v>360</v>
      </c>
      <c r="Q157" s="385" t="s">
        <v>360</v>
      </c>
      <c r="R157" s="386" t="s">
        <v>360</v>
      </c>
      <c r="S157" s="384" t="s">
        <v>365</v>
      </c>
      <c r="T157" s="384" t="s">
        <v>360</v>
      </c>
      <c r="U157" s="385" t="s">
        <v>360</v>
      </c>
      <c r="V157" s="386" t="s">
        <v>360</v>
      </c>
      <c r="W157" s="384" t="s">
        <v>366</v>
      </c>
      <c r="X157" s="384" t="s">
        <v>360</v>
      </c>
      <c r="Y157" s="385" t="s">
        <v>360</v>
      </c>
      <c r="Z157" s="386" t="s">
        <v>360</v>
      </c>
      <c r="AA157" s="384" t="s">
        <v>367</v>
      </c>
      <c r="AB157" s="384" t="s">
        <v>360</v>
      </c>
      <c r="AC157" s="385" t="s">
        <v>360</v>
      </c>
      <c r="AD157" s="386" t="s">
        <v>360</v>
      </c>
      <c r="AE157" s="384" t="s">
        <v>368</v>
      </c>
      <c r="AF157" s="384" t="s">
        <v>360</v>
      </c>
      <c r="AG157" s="385" t="s">
        <v>360</v>
      </c>
      <c r="AH157" s="386" t="s">
        <v>360</v>
      </c>
      <c r="AI157" s="384" t="s">
        <v>369</v>
      </c>
      <c r="AJ157" s="384" t="s">
        <v>360</v>
      </c>
      <c r="AK157" s="385" t="s">
        <v>360</v>
      </c>
      <c r="AL157" s="386" t="s">
        <v>360</v>
      </c>
      <c r="AM157" s="384" t="s">
        <v>370</v>
      </c>
      <c r="AN157" s="384" t="s">
        <v>360</v>
      </c>
      <c r="AO157" s="385" t="s">
        <v>360</v>
      </c>
    </row>
    <row r="158" spans="1:41" ht="10" customHeight="1" x14ac:dyDescent="0.25">
      <c r="A158" s="383" t="s">
        <v>371</v>
      </c>
      <c r="B158" s="361" t="s">
        <v>360</v>
      </c>
      <c r="C158" s="362" t="s">
        <v>372</v>
      </c>
      <c r="D158" s="362" t="s">
        <v>360</v>
      </c>
      <c r="E158" s="363" t="s">
        <v>360</v>
      </c>
      <c r="F158" s="361" t="s">
        <v>360</v>
      </c>
      <c r="G158" s="362" t="s">
        <v>372</v>
      </c>
      <c r="H158" s="362" t="s">
        <v>360</v>
      </c>
      <c r="I158" s="363" t="s">
        <v>360</v>
      </c>
      <c r="J158" s="361" t="s">
        <v>360</v>
      </c>
      <c r="K158" s="362" t="s">
        <v>372</v>
      </c>
      <c r="L158" s="362" t="s">
        <v>360</v>
      </c>
      <c r="M158" s="363" t="s">
        <v>360</v>
      </c>
      <c r="N158" s="361" t="s">
        <v>360</v>
      </c>
      <c r="O158" s="362" t="s">
        <v>372</v>
      </c>
      <c r="P158" s="362" t="s">
        <v>360</v>
      </c>
      <c r="Q158" s="363" t="s">
        <v>360</v>
      </c>
      <c r="R158" s="361" t="s">
        <v>360</v>
      </c>
      <c r="S158" s="362" t="s">
        <v>372</v>
      </c>
      <c r="T158" s="362" t="s">
        <v>360</v>
      </c>
      <c r="U158" s="363" t="s">
        <v>360</v>
      </c>
      <c r="V158" s="361" t="s">
        <v>360</v>
      </c>
      <c r="W158" s="362" t="s">
        <v>372</v>
      </c>
      <c r="X158" s="362" t="s">
        <v>360</v>
      </c>
      <c r="Y158" s="363" t="s">
        <v>360</v>
      </c>
      <c r="Z158" s="361" t="s">
        <v>360</v>
      </c>
      <c r="AA158" s="362" t="s">
        <v>372</v>
      </c>
      <c r="AB158" s="362" t="s">
        <v>360</v>
      </c>
      <c r="AC158" s="363" t="s">
        <v>360</v>
      </c>
      <c r="AD158" s="361" t="s">
        <v>360</v>
      </c>
      <c r="AE158" s="362" t="s">
        <v>372</v>
      </c>
      <c r="AF158" s="362" t="s">
        <v>360</v>
      </c>
      <c r="AG158" s="363" t="s">
        <v>360</v>
      </c>
      <c r="AH158" s="361" t="s">
        <v>360</v>
      </c>
      <c r="AI158" s="362" t="s">
        <v>372</v>
      </c>
      <c r="AJ158" s="362" t="s">
        <v>360</v>
      </c>
      <c r="AK158" s="363" t="s">
        <v>360</v>
      </c>
      <c r="AL158" s="361" t="s">
        <v>360</v>
      </c>
      <c r="AM158" s="362" t="s">
        <v>372</v>
      </c>
      <c r="AN158" s="362" t="s">
        <v>360</v>
      </c>
      <c r="AO158" s="363" t="s">
        <v>360</v>
      </c>
    </row>
    <row r="159" spans="1:41" ht="10" customHeight="1" x14ac:dyDescent="0.25">
      <c r="A159" s="364"/>
      <c r="B159" s="365" t="s">
        <v>373</v>
      </c>
      <c r="C159" s="366"/>
      <c r="D159" s="367" t="s">
        <v>183</v>
      </c>
      <c r="E159" s="368"/>
      <c r="F159" s="365" t="s">
        <v>373</v>
      </c>
      <c r="G159" s="366"/>
      <c r="H159" s="367" t="s">
        <v>183</v>
      </c>
      <c r="I159" s="368"/>
      <c r="J159" s="365" t="s">
        <v>373</v>
      </c>
      <c r="K159" s="366"/>
      <c r="L159" s="367" t="s">
        <v>183</v>
      </c>
      <c r="M159" s="368"/>
      <c r="N159" s="365" t="s">
        <v>373</v>
      </c>
      <c r="O159" s="366"/>
      <c r="P159" s="367" t="s">
        <v>183</v>
      </c>
      <c r="Q159" s="368"/>
      <c r="R159" s="365" t="s">
        <v>373</v>
      </c>
      <c r="S159" s="366"/>
      <c r="T159" s="367" t="s">
        <v>183</v>
      </c>
      <c r="U159" s="368"/>
      <c r="V159" s="365" t="s">
        <v>373</v>
      </c>
      <c r="W159" s="366"/>
      <c r="X159" s="367" t="s">
        <v>183</v>
      </c>
      <c r="Y159" s="368"/>
      <c r="Z159" s="365" t="s">
        <v>373</v>
      </c>
      <c r="AA159" s="366"/>
      <c r="AB159" s="367" t="s">
        <v>183</v>
      </c>
      <c r="AC159" s="368"/>
      <c r="AD159" s="365" t="s">
        <v>373</v>
      </c>
      <c r="AE159" s="366"/>
      <c r="AF159" s="367" t="s">
        <v>183</v>
      </c>
      <c r="AG159" s="368"/>
      <c r="AH159" s="365" t="s">
        <v>373</v>
      </c>
      <c r="AI159" s="366"/>
      <c r="AJ159" s="367" t="s">
        <v>183</v>
      </c>
      <c r="AK159" s="368"/>
      <c r="AL159" s="365" t="s">
        <v>373</v>
      </c>
      <c r="AM159" s="366"/>
      <c r="AN159" s="367" t="s">
        <v>183</v>
      </c>
      <c r="AO159" s="368"/>
    </row>
    <row r="160" spans="1:41" ht="10" customHeight="1" x14ac:dyDescent="0.25">
      <c r="A160" s="369"/>
      <c r="B160" s="370"/>
      <c r="C160" s="371"/>
      <c r="D160" s="371"/>
      <c r="E160" s="372"/>
      <c r="F160" s="370"/>
      <c r="G160" s="371"/>
      <c r="H160" s="371"/>
      <c r="I160" s="372"/>
      <c r="J160" s="370"/>
      <c r="K160" s="371"/>
      <c r="L160" s="371"/>
      <c r="M160" s="372"/>
      <c r="N160" s="370"/>
      <c r="O160" s="371"/>
      <c r="P160" s="371"/>
      <c r="Q160" s="372"/>
      <c r="R160" s="370"/>
      <c r="S160" s="371"/>
      <c r="T160" s="371"/>
      <c r="U160" s="372"/>
      <c r="V160" s="370"/>
      <c r="W160" s="371"/>
      <c r="X160" s="371"/>
      <c r="Y160" s="372"/>
      <c r="Z160" s="370"/>
      <c r="AA160" s="371"/>
      <c r="AB160" s="371"/>
      <c r="AC160" s="372"/>
      <c r="AD160" s="370"/>
      <c r="AE160" s="371"/>
      <c r="AF160" s="371"/>
      <c r="AG160" s="372"/>
      <c r="AH160" s="370"/>
      <c r="AI160" s="371"/>
      <c r="AJ160" s="371"/>
      <c r="AK160" s="372"/>
      <c r="AL160" s="370"/>
      <c r="AM160" s="371"/>
      <c r="AN160" s="371"/>
      <c r="AO160" s="372"/>
    </row>
    <row r="161" spans="1:41" ht="10" customHeight="1" x14ac:dyDescent="0.25">
      <c r="A161" s="373" t="s">
        <v>374</v>
      </c>
      <c r="B161" s="408">
        <v>42707</v>
      </c>
      <c r="C161" s="412"/>
      <c r="D161" s="374">
        <f>B161/$B$176</f>
        <v>1</v>
      </c>
      <c r="E161" s="413"/>
      <c r="F161" s="408">
        <v>42707</v>
      </c>
      <c r="G161" s="412"/>
      <c r="H161" s="374">
        <f>F161/$B$176</f>
        <v>1</v>
      </c>
      <c r="I161" s="413"/>
      <c r="J161" s="408">
        <v>42707</v>
      </c>
      <c r="K161" s="412"/>
      <c r="L161" s="374">
        <f>J161/$B$176</f>
        <v>1</v>
      </c>
      <c r="M161" s="413"/>
      <c r="N161" s="408">
        <v>42707</v>
      </c>
      <c r="O161" s="412"/>
      <c r="P161" s="374">
        <f>N161/$B$176</f>
        <v>1</v>
      </c>
      <c r="Q161" s="413"/>
      <c r="R161" s="408">
        <v>42707</v>
      </c>
      <c r="S161" s="412"/>
      <c r="T161" s="374">
        <f>R161/$B$176</f>
        <v>1</v>
      </c>
      <c r="U161" s="413"/>
      <c r="V161" s="408">
        <v>42707</v>
      </c>
      <c r="W161" s="412"/>
      <c r="X161" s="374">
        <f>V161/$B$176</f>
        <v>1</v>
      </c>
      <c r="Y161" s="413"/>
      <c r="Z161" s="408">
        <v>42707</v>
      </c>
      <c r="AA161" s="412"/>
      <c r="AB161" s="374">
        <f>Z161/$B$176</f>
        <v>1</v>
      </c>
      <c r="AC161" s="413"/>
      <c r="AD161" s="408">
        <v>42707</v>
      </c>
      <c r="AE161" s="412"/>
      <c r="AF161" s="374">
        <f>AD161/$B$176</f>
        <v>1</v>
      </c>
      <c r="AG161" s="413"/>
      <c r="AH161" s="408">
        <v>42707</v>
      </c>
      <c r="AI161" s="412"/>
      <c r="AJ161" s="374">
        <f>AH161/$B$176</f>
        <v>1</v>
      </c>
      <c r="AK161" s="413"/>
      <c r="AL161" s="408">
        <v>42707</v>
      </c>
      <c r="AM161" s="412"/>
      <c r="AN161" s="374">
        <f>AL161/$B$176</f>
        <v>1</v>
      </c>
      <c r="AO161" s="375"/>
    </row>
    <row r="162" spans="1:41" ht="10" customHeight="1" x14ac:dyDescent="0.25">
      <c r="A162" s="373" t="s">
        <v>375</v>
      </c>
      <c r="B162" s="408">
        <v>42707</v>
      </c>
      <c r="C162" s="412"/>
      <c r="D162" s="374">
        <f t="shared" ref="D162:D172" si="70">B162/$B$176</f>
        <v>1</v>
      </c>
      <c r="E162" s="413"/>
      <c r="F162" s="408">
        <v>42707</v>
      </c>
      <c r="G162" s="412"/>
      <c r="H162" s="374">
        <f t="shared" ref="H162:H172" si="71">F162/$B$176</f>
        <v>1</v>
      </c>
      <c r="I162" s="413"/>
      <c r="J162" s="408">
        <v>42707</v>
      </c>
      <c r="K162" s="412"/>
      <c r="L162" s="374">
        <f t="shared" ref="L162:L172" si="72">J162/$B$176</f>
        <v>1</v>
      </c>
      <c r="M162" s="413"/>
      <c r="N162" s="408">
        <v>42707</v>
      </c>
      <c r="O162" s="412"/>
      <c r="P162" s="374">
        <f t="shared" ref="P162:P172" si="73">N162/$B$176</f>
        <v>1</v>
      </c>
      <c r="Q162" s="413"/>
      <c r="R162" s="408">
        <v>42707</v>
      </c>
      <c r="S162" s="412"/>
      <c r="T162" s="374">
        <f t="shared" ref="T162:T172" si="74">R162/$B$176</f>
        <v>1</v>
      </c>
      <c r="U162" s="413"/>
      <c r="V162" s="408">
        <v>42707</v>
      </c>
      <c r="W162" s="412"/>
      <c r="X162" s="374">
        <f t="shared" ref="X162:X172" si="75">V162/$B$176</f>
        <v>1</v>
      </c>
      <c r="Y162" s="413"/>
      <c r="Z162" s="408">
        <v>42707</v>
      </c>
      <c r="AA162" s="412"/>
      <c r="AB162" s="374">
        <f t="shared" ref="AB162:AB172" si="76">Z162/$B$176</f>
        <v>1</v>
      </c>
      <c r="AC162" s="413"/>
      <c r="AD162" s="408">
        <v>42707</v>
      </c>
      <c r="AE162" s="412"/>
      <c r="AF162" s="374">
        <f t="shared" ref="AF162:AF172" si="77">AD162/$B$176</f>
        <v>1</v>
      </c>
      <c r="AG162" s="413"/>
      <c r="AH162" s="408">
        <v>42707</v>
      </c>
      <c r="AI162" s="412"/>
      <c r="AJ162" s="374">
        <f t="shared" ref="AJ162:AJ172" si="78">AH162/$B$176</f>
        <v>1</v>
      </c>
      <c r="AK162" s="413"/>
      <c r="AL162" s="408">
        <v>42707</v>
      </c>
      <c r="AM162" s="412"/>
      <c r="AN162" s="374">
        <f t="shared" ref="AN162:AN172" si="79">AL162/$B$176</f>
        <v>1</v>
      </c>
      <c r="AO162" s="375"/>
    </row>
    <row r="163" spans="1:41" ht="10" customHeight="1" x14ac:dyDescent="0.25">
      <c r="A163" s="373" t="s">
        <v>376</v>
      </c>
      <c r="B163" s="408">
        <v>42707</v>
      </c>
      <c r="C163" s="412"/>
      <c r="D163" s="374">
        <f t="shared" si="70"/>
        <v>1</v>
      </c>
      <c r="E163" s="413"/>
      <c r="F163" s="408">
        <v>42707</v>
      </c>
      <c r="G163" s="412"/>
      <c r="H163" s="374">
        <f t="shared" si="71"/>
        <v>1</v>
      </c>
      <c r="I163" s="413"/>
      <c r="J163" s="408">
        <v>42707</v>
      </c>
      <c r="K163" s="412"/>
      <c r="L163" s="374">
        <f t="shared" si="72"/>
        <v>1</v>
      </c>
      <c r="M163" s="413"/>
      <c r="N163" s="408">
        <v>42707</v>
      </c>
      <c r="O163" s="412"/>
      <c r="P163" s="374">
        <f t="shared" si="73"/>
        <v>1</v>
      </c>
      <c r="Q163" s="413"/>
      <c r="R163" s="408">
        <v>42707</v>
      </c>
      <c r="S163" s="412"/>
      <c r="T163" s="374">
        <f t="shared" si="74"/>
        <v>1</v>
      </c>
      <c r="U163" s="413"/>
      <c r="V163" s="408">
        <v>42707</v>
      </c>
      <c r="W163" s="412"/>
      <c r="X163" s="374">
        <f t="shared" si="75"/>
        <v>1</v>
      </c>
      <c r="Y163" s="413"/>
      <c r="Z163" s="408">
        <v>42707</v>
      </c>
      <c r="AA163" s="412"/>
      <c r="AB163" s="374">
        <f t="shared" si="76"/>
        <v>1</v>
      </c>
      <c r="AC163" s="413"/>
      <c r="AD163" s="408">
        <v>42707</v>
      </c>
      <c r="AE163" s="412"/>
      <c r="AF163" s="374">
        <f t="shared" si="77"/>
        <v>1</v>
      </c>
      <c r="AG163" s="413"/>
      <c r="AH163" s="408">
        <v>42707</v>
      </c>
      <c r="AI163" s="412"/>
      <c r="AJ163" s="374">
        <f t="shared" si="78"/>
        <v>1</v>
      </c>
      <c r="AK163" s="413"/>
      <c r="AL163" s="408">
        <v>42707</v>
      </c>
      <c r="AM163" s="412"/>
      <c r="AN163" s="374">
        <f t="shared" si="79"/>
        <v>1</v>
      </c>
      <c r="AO163" s="375"/>
    </row>
    <row r="164" spans="1:41" ht="10" customHeight="1" x14ac:dyDescent="0.25">
      <c r="A164" s="373" t="s">
        <v>377</v>
      </c>
      <c r="B164" s="408">
        <v>42707</v>
      </c>
      <c r="C164" s="412"/>
      <c r="D164" s="374">
        <f t="shared" si="70"/>
        <v>1</v>
      </c>
      <c r="E164" s="413"/>
      <c r="F164" s="408">
        <v>42707</v>
      </c>
      <c r="G164" s="412"/>
      <c r="H164" s="374">
        <f t="shared" si="71"/>
        <v>1</v>
      </c>
      <c r="I164" s="413"/>
      <c r="J164" s="408">
        <v>42707</v>
      </c>
      <c r="K164" s="412"/>
      <c r="L164" s="374">
        <f t="shared" si="72"/>
        <v>1</v>
      </c>
      <c r="M164" s="413"/>
      <c r="N164" s="408">
        <v>42707</v>
      </c>
      <c r="O164" s="412"/>
      <c r="P164" s="374">
        <f t="shared" si="73"/>
        <v>1</v>
      </c>
      <c r="Q164" s="413"/>
      <c r="R164" s="408">
        <v>42707</v>
      </c>
      <c r="S164" s="412"/>
      <c r="T164" s="374">
        <f t="shared" si="74"/>
        <v>1</v>
      </c>
      <c r="U164" s="413"/>
      <c r="V164" s="408">
        <v>42707</v>
      </c>
      <c r="W164" s="412"/>
      <c r="X164" s="374">
        <f t="shared" si="75"/>
        <v>1</v>
      </c>
      <c r="Y164" s="413"/>
      <c r="Z164" s="408">
        <v>42707</v>
      </c>
      <c r="AA164" s="412"/>
      <c r="AB164" s="374">
        <f t="shared" si="76"/>
        <v>1</v>
      </c>
      <c r="AC164" s="413"/>
      <c r="AD164" s="408">
        <v>42707</v>
      </c>
      <c r="AE164" s="412"/>
      <c r="AF164" s="374">
        <f t="shared" si="77"/>
        <v>1</v>
      </c>
      <c r="AG164" s="413"/>
      <c r="AH164" s="408">
        <v>42707</v>
      </c>
      <c r="AI164" s="412"/>
      <c r="AJ164" s="374">
        <f t="shared" si="78"/>
        <v>1</v>
      </c>
      <c r="AK164" s="413"/>
      <c r="AL164" s="408">
        <v>42707</v>
      </c>
      <c r="AM164" s="412"/>
      <c r="AN164" s="374">
        <f t="shared" si="79"/>
        <v>1</v>
      </c>
      <c r="AO164" s="375"/>
    </row>
    <row r="165" spans="1:41" ht="10" customHeight="1" x14ac:dyDescent="0.25">
      <c r="A165" s="373" t="s">
        <v>378</v>
      </c>
      <c r="B165" s="408">
        <v>42707</v>
      </c>
      <c r="C165" s="412"/>
      <c r="D165" s="374">
        <f t="shared" si="70"/>
        <v>1</v>
      </c>
      <c r="E165" s="413"/>
      <c r="F165" s="408">
        <v>42707</v>
      </c>
      <c r="G165" s="412"/>
      <c r="H165" s="374">
        <f t="shared" si="71"/>
        <v>1</v>
      </c>
      <c r="I165" s="413"/>
      <c r="J165" s="408">
        <v>42707</v>
      </c>
      <c r="K165" s="412"/>
      <c r="L165" s="374">
        <f t="shared" si="72"/>
        <v>1</v>
      </c>
      <c r="M165" s="413"/>
      <c r="N165" s="408">
        <v>42707</v>
      </c>
      <c r="O165" s="412"/>
      <c r="P165" s="374">
        <f t="shared" si="73"/>
        <v>1</v>
      </c>
      <c r="Q165" s="413"/>
      <c r="R165" s="408">
        <v>42707</v>
      </c>
      <c r="S165" s="412"/>
      <c r="T165" s="374">
        <f t="shared" si="74"/>
        <v>1</v>
      </c>
      <c r="U165" s="413"/>
      <c r="V165" s="408">
        <v>42707</v>
      </c>
      <c r="W165" s="412"/>
      <c r="X165" s="374">
        <f t="shared" si="75"/>
        <v>1</v>
      </c>
      <c r="Y165" s="413"/>
      <c r="Z165" s="408">
        <v>42707</v>
      </c>
      <c r="AA165" s="412"/>
      <c r="AB165" s="374">
        <f t="shared" si="76"/>
        <v>1</v>
      </c>
      <c r="AC165" s="413"/>
      <c r="AD165" s="408">
        <v>42707</v>
      </c>
      <c r="AE165" s="412"/>
      <c r="AF165" s="374">
        <f t="shared" si="77"/>
        <v>1</v>
      </c>
      <c r="AG165" s="413"/>
      <c r="AH165" s="408">
        <v>42707</v>
      </c>
      <c r="AI165" s="412"/>
      <c r="AJ165" s="374">
        <f t="shared" si="78"/>
        <v>1</v>
      </c>
      <c r="AK165" s="413"/>
      <c r="AL165" s="408">
        <v>42707</v>
      </c>
      <c r="AM165" s="412"/>
      <c r="AN165" s="374">
        <f t="shared" si="79"/>
        <v>1</v>
      </c>
      <c r="AO165" s="375"/>
    </row>
    <row r="166" spans="1:41" ht="10" customHeight="1" x14ac:dyDescent="0.25">
      <c r="A166" s="373" t="s">
        <v>379</v>
      </c>
      <c r="B166" s="408">
        <v>42707</v>
      </c>
      <c r="C166" s="412"/>
      <c r="D166" s="374">
        <f t="shared" si="70"/>
        <v>1</v>
      </c>
      <c r="E166" s="413"/>
      <c r="F166" s="408">
        <v>42707</v>
      </c>
      <c r="G166" s="412"/>
      <c r="H166" s="374">
        <f t="shared" si="71"/>
        <v>1</v>
      </c>
      <c r="I166" s="413"/>
      <c r="J166" s="408">
        <v>42707</v>
      </c>
      <c r="K166" s="412"/>
      <c r="L166" s="374">
        <f t="shared" si="72"/>
        <v>1</v>
      </c>
      <c r="M166" s="413"/>
      <c r="N166" s="408">
        <v>42707</v>
      </c>
      <c r="O166" s="412"/>
      <c r="P166" s="374">
        <f t="shared" si="73"/>
        <v>1</v>
      </c>
      <c r="Q166" s="413"/>
      <c r="R166" s="408">
        <v>42707</v>
      </c>
      <c r="S166" s="412"/>
      <c r="T166" s="374">
        <f t="shared" si="74"/>
        <v>1</v>
      </c>
      <c r="U166" s="413"/>
      <c r="V166" s="408">
        <v>42707</v>
      </c>
      <c r="W166" s="412"/>
      <c r="X166" s="374">
        <f t="shared" si="75"/>
        <v>1</v>
      </c>
      <c r="Y166" s="413"/>
      <c r="Z166" s="408">
        <v>42707</v>
      </c>
      <c r="AA166" s="412"/>
      <c r="AB166" s="374">
        <f t="shared" si="76"/>
        <v>1</v>
      </c>
      <c r="AC166" s="413"/>
      <c r="AD166" s="408">
        <v>42707</v>
      </c>
      <c r="AE166" s="412"/>
      <c r="AF166" s="374">
        <f t="shared" si="77"/>
        <v>1</v>
      </c>
      <c r="AG166" s="413"/>
      <c r="AH166" s="408">
        <v>42707</v>
      </c>
      <c r="AI166" s="412"/>
      <c r="AJ166" s="374">
        <f t="shared" si="78"/>
        <v>1</v>
      </c>
      <c r="AK166" s="413"/>
      <c r="AL166" s="408">
        <v>42707</v>
      </c>
      <c r="AM166" s="412"/>
      <c r="AN166" s="374">
        <f t="shared" si="79"/>
        <v>1</v>
      </c>
      <c r="AO166" s="375"/>
    </row>
    <row r="167" spans="1:41" ht="10" customHeight="1" x14ac:dyDescent="0.25">
      <c r="A167" s="373" t="s">
        <v>380</v>
      </c>
      <c r="B167" s="408">
        <v>42707</v>
      </c>
      <c r="C167" s="412"/>
      <c r="D167" s="374">
        <f t="shared" si="70"/>
        <v>1</v>
      </c>
      <c r="E167" s="413"/>
      <c r="F167" s="408">
        <v>42707</v>
      </c>
      <c r="G167" s="412"/>
      <c r="H167" s="374">
        <f t="shared" si="71"/>
        <v>1</v>
      </c>
      <c r="I167" s="413"/>
      <c r="J167" s="408">
        <v>42707</v>
      </c>
      <c r="K167" s="412"/>
      <c r="L167" s="374">
        <f t="shared" si="72"/>
        <v>1</v>
      </c>
      <c r="M167" s="413"/>
      <c r="N167" s="408">
        <v>42707</v>
      </c>
      <c r="O167" s="412"/>
      <c r="P167" s="374">
        <f t="shared" si="73"/>
        <v>1</v>
      </c>
      <c r="Q167" s="413"/>
      <c r="R167" s="408">
        <v>42707</v>
      </c>
      <c r="S167" s="412"/>
      <c r="T167" s="374">
        <f t="shared" si="74"/>
        <v>1</v>
      </c>
      <c r="U167" s="413"/>
      <c r="V167" s="408">
        <v>42707</v>
      </c>
      <c r="W167" s="412"/>
      <c r="X167" s="374">
        <f t="shared" si="75"/>
        <v>1</v>
      </c>
      <c r="Y167" s="413"/>
      <c r="Z167" s="408">
        <v>42707</v>
      </c>
      <c r="AA167" s="412"/>
      <c r="AB167" s="374">
        <f t="shared" si="76"/>
        <v>1</v>
      </c>
      <c r="AC167" s="413"/>
      <c r="AD167" s="408">
        <v>42707</v>
      </c>
      <c r="AE167" s="412"/>
      <c r="AF167" s="374">
        <f t="shared" si="77"/>
        <v>1</v>
      </c>
      <c r="AG167" s="413"/>
      <c r="AH167" s="408">
        <v>42707</v>
      </c>
      <c r="AI167" s="412"/>
      <c r="AJ167" s="374">
        <f t="shared" si="78"/>
        <v>1</v>
      </c>
      <c r="AK167" s="413"/>
      <c r="AL167" s="408">
        <v>42707</v>
      </c>
      <c r="AM167" s="412"/>
      <c r="AN167" s="374">
        <f t="shared" si="79"/>
        <v>1</v>
      </c>
      <c r="AO167" s="375"/>
    </row>
    <row r="168" spans="1:41" ht="10" customHeight="1" x14ac:dyDescent="0.25">
      <c r="A168" s="373" t="s">
        <v>381</v>
      </c>
      <c r="B168" s="408">
        <v>42707</v>
      </c>
      <c r="C168" s="412"/>
      <c r="D168" s="374">
        <f t="shared" si="70"/>
        <v>1</v>
      </c>
      <c r="E168" s="413"/>
      <c r="F168" s="408">
        <v>42707</v>
      </c>
      <c r="G168" s="412"/>
      <c r="H168" s="374">
        <f t="shared" si="71"/>
        <v>1</v>
      </c>
      <c r="I168" s="413"/>
      <c r="J168" s="408">
        <v>42707</v>
      </c>
      <c r="K168" s="412"/>
      <c r="L168" s="374">
        <f t="shared" si="72"/>
        <v>1</v>
      </c>
      <c r="M168" s="413"/>
      <c r="N168" s="408">
        <v>42707</v>
      </c>
      <c r="O168" s="412"/>
      <c r="P168" s="374">
        <f t="shared" si="73"/>
        <v>1</v>
      </c>
      <c r="Q168" s="413"/>
      <c r="R168" s="408">
        <v>42707</v>
      </c>
      <c r="S168" s="412"/>
      <c r="T168" s="374">
        <f t="shared" si="74"/>
        <v>1</v>
      </c>
      <c r="U168" s="413"/>
      <c r="V168" s="408">
        <v>42707</v>
      </c>
      <c r="W168" s="412"/>
      <c r="X168" s="374">
        <f t="shared" si="75"/>
        <v>1</v>
      </c>
      <c r="Y168" s="413"/>
      <c r="Z168" s="408">
        <v>42707</v>
      </c>
      <c r="AA168" s="412"/>
      <c r="AB168" s="374">
        <f t="shared" si="76"/>
        <v>1</v>
      </c>
      <c r="AC168" s="413"/>
      <c r="AD168" s="408">
        <v>42707</v>
      </c>
      <c r="AE168" s="412"/>
      <c r="AF168" s="374">
        <f t="shared" si="77"/>
        <v>1</v>
      </c>
      <c r="AG168" s="413"/>
      <c r="AH168" s="408">
        <v>42707</v>
      </c>
      <c r="AI168" s="412"/>
      <c r="AJ168" s="374">
        <f t="shared" si="78"/>
        <v>1</v>
      </c>
      <c r="AK168" s="413"/>
      <c r="AL168" s="408">
        <v>42707</v>
      </c>
      <c r="AM168" s="412"/>
      <c r="AN168" s="374">
        <f t="shared" si="79"/>
        <v>1</v>
      </c>
      <c r="AO168" s="375"/>
    </row>
    <row r="169" spans="1:41" ht="10" customHeight="1" x14ac:dyDescent="0.25">
      <c r="A169" s="373" t="s">
        <v>382</v>
      </c>
      <c r="B169" s="408">
        <v>42707</v>
      </c>
      <c r="C169" s="412"/>
      <c r="D169" s="374">
        <f t="shared" si="70"/>
        <v>1</v>
      </c>
      <c r="E169" s="413"/>
      <c r="F169" s="408">
        <v>42707</v>
      </c>
      <c r="G169" s="412"/>
      <c r="H169" s="374">
        <f t="shared" si="71"/>
        <v>1</v>
      </c>
      <c r="I169" s="413"/>
      <c r="J169" s="408">
        <v>42707</v>
      </c>
      <c r="K169" s="412"/>
      <c r="L169" s="374">
        <f t="shared" si="72"/>
        <v>1</v>
      </c>
      <c r="M169" s="413"/>
      <c r="N169" s="408">
        <v>42707</v>
      </c>
      <c r="O169" s="412"/>
      <c r="P169" s="374">
        <f t="shared" si="73"/>
        <v>1</v>
      </c>
      <c r="Q169" s="413"/>
      <c r="R169" s="408">
        <v>42707</v>
      </c>
      <c r="S169" s="412"/>
      <c r="T169" s="374">
        <f t="shared" si="74"/>
        <v>1</v>
      </c>
      <c r="U169" s="413"/>
      <c r="V169" s="408">
        <v>42707</v>
      </c>
      <c r="W169" s="412"/>
      <c r="X169" s="374">
        <f t="shared" si="75"/>
        <v>1</v>
      </c>
      <c r="Y169" s="413"/>
      <c r="Z169" s="408">
        <v>42707</v>
      </c>
      <c r="AA169" s="412"/>
      <c r="AB169" s="374">
        <f t="shared" si="76"/>
        <v>1</v>
      </c>
      <c r="AC169" s="413"/>
      <c r="AD169" s="408">
        <v>42707</v>
      </c>
      <c r="AE169" s="412"/>
      <c r="AF169" s="374">
        <f t="shared" si="77"/>
        <v>1</v>
      </c>
      <c r="AG169" s="413"/>
      <c r="AH169" s="408">
        <v>42707</v>
      </c>
      <c r="AI169" s="412"/>
      <c r="AJ169" s="374">
        <f t="shared" si="78"/>
        <v>1</v>
      </c>
      <c r="AK169" s="413"/>
      <c r="AL169" s="408">
        <v>42707</v>
      </c>
      <c r="AM169" s="412"/>
      <c r="AN169" s="374">
        <f t="shared" si="79"/>
        <v>1</v>
      </c>
      <c r="AO169" s="375"/>
    </row>
    <row r="170" spans="1:41" ht="10" customHeight="1" x14ac:dyDescent="0.25">
      <c r="A170" s="373" t="s">
        <v>383</v>
      </c>
      <c r="B170" s="408">
        <v>42707</v>
      </c>
      <c r="C170" s="412"/>
      <c r="D170" s="374">
        <f t="shared" si="70"/>
        <v>1</v>
      </c>
      <c r="E170" s="413"/>
      <c r="F170" s="408">
        <v>42707</v>
      </c>
      <c r="G170" s="412"/>
      <c r="H170" s="374">
        <f t="shared" si="71"/>
        <v>1</v>
      </c>
      <c r="I170" s="413"/>
      <c r="J170" s="408">
        <v>42707</v>
      </c>
      <c r="K170" s="412"/>
      <c r="L170" s="374">
        <f t="shared" si="72"/>
        <v>1</v>
      </c>
      <c r="M170" s="413"/>
      <c r="N170" s="408">
        <v>42707</v>
      </c>
      <c r="O170" s="412"/>
      <c r="P170" s="374">
        <f t="shared" si="73"/>
        <v>1</v>
      </c>
      <c r="Q170" s="413"/>
      <c r="R170" s="408">
        <v>42707</v>
      </c>
      <c r="S170" s="412"/>
      <c r="T170" s="374">
        <f t="shared" si="74"/>
        <v>1</v>
      </c>
      <c r="U170" s="413"/>
      <c r="V170" s="408">
        <v>42707</v>
      </c>
      <c r="W170" s="412"/>
      <c r="X170" s="374">
        <f t="shared" si="75"/>
        <v>1</v>
      </c>
      <c r="Y170" s="413"/>
      <c r="Z170" s="408">
        <v>42707</v>
      </c>
      <c r="AA170" s="412"/>
      <c r="AB170" s="374">
        <f t="shared" si="76"/>
        <v>1</v>
      </c>
      <c r="AC170" s="413"/>
      <c r="AD170" s="408">
        <v>42707</v>
      </c>
      <c r="AE170" s="412"/>
      <c r="AF170" s="374">
        <f t="shared" si="77"/>
        <v>1</v>
      </c>
      <c r="AG170" s="413"/>
      <c r="AH170" s="408">
        <v>42707</v>
      </c>
      <c r="AI170" s="412"/>
      <c r="AJ170" s="374">
        <f t="shared" si="78"/>
        <v>1</v>
      </c>
      <c r="AK170" s="413"/>
      <c r="AL170" s="408">
        <v>42707</v>
      </c>
      <c r="AM170" s="412"/>
      <c r="AN170" s="374">
        <f t="shared" si="79"/>
        <v>1</v>
      </c>
      <c r="AO170" s="375"/>
    </row>
    <row r="171" spans="1:41" ht="10" customHeight="1" x14ac:dyDescent="0.25">
      <c r="A171" s="373" t="s">
        <v>384</v>
      </c>
      <c r="B171" s="408">
        <v>42707</v>
      </c>
      <c r="C171" s="412"/>
      <c r="D171" s="374">
        <f t="shared" si="70"/>
        <v>1</v>
      </c>
      <c r="E171" s="413"/>
      <c r="F171" s="408">
        <v>42707</v>
      </c>
      <c r="G171" s="412"/>
      <c r="H171" s="374">
        <f t="shared" si="71"/>
        <v>1</v>
      </c>
      <c r="I171" s="413"/>
      <c r="J171" s="408">
        <v>42707</v>
      </c>
      <c r="K171" s="412"/>
      <c r="L171" s="374">
        <f t="shared" si="72"/>
        <v>1</v>
      </c>
      <c r="M171" s="413"/>
      <c r="N171" s="408">
        <v>42707</v>
      </c>
      <c r="O171" s="412"/>
      <c r="P171" s="374">
        <f t="shared" si="73"/>
        <v>1</v>
      </c>
      <c r="Q171" s="413"/>
      <c r="R171" s="408">
        <v>42707</v>
      </c>
      <c r="S171" s="412"/>
      <c r="T171" s="374">
        <f t="shared" si="74"/>
        <v>1</v>
      </c>
      <c r="U171" s="413"/>
      <c r="V171" s="408">
        <v>42707</v>
      </c>
      <c r="W171" s="412"/>
      <c r="X171" s="374">
        <f t="shared" si="75"/>
        <v>1</v>
      </c>
      <c r="Y171" s="413"/>
      <c r="Z171" s="408">
        <v>42707</v>
      </c>
      <c r="AA171" s="412"/>
      <c r="AB171" s="374">
        <f t="shared" si="76"/>
        <v>1</v>
      </c>
      <c r="AC171" s="413"/>
      <c r="AD171" s="408">
        <v>42707</v>
      </c>
      <c r="AE171" s="412"/>
      <c r="AF171" s="374">
        <f t="shared" si="77"/>
        <v>1</v>
      </c>
      <c r="AG171" s="413"/>
      <c r="AH171" s="408">
        <v>42707</v>
      </c>
      <c r="AI171" s="412"/>
      <c r="AJ171" s="374">
        <f t="shared" si="78"/>
        <v>1</v>
      </c>
      <c r="AK171" s="413"/>
      <c r="AL171" s="408">
        <v>42707</v>
      </c>
      <c r="AM171" s="412"/>
      <c r="AN171" s="374">
        <f t="shared" si="79"/>
        <v>1</v>
      </c>
      <c r="AO171" s="375"/>
    </row>
    <row r="172" spans="1:41" ht="10" customHeight="1" x14ac:dyDescent="0.25">
      <c r="A172" s="373" t="s">
        <v>385</v>
      </c>
      <c r="B172" s="408">
        <v>42707</v>
      </c>
      <c r="C172" s="412"/>
      <c r="D172" s="374">
        <f t="shared" si="70"/>
        <v>1</v>
      </c>
      <c r="E172" s="413"/>
      <c r="F172" s="408">
        <v>42707</v>
      </c>
      <c r="G172" s="412"/>
      <c r="H172" s="374">
        <f t="shared" si="71"/>
        <v>1</v>
      </c>
      <c r="I172" s="413"/>
      <c r="J172" s="408">
        <v>42707</v>
      </c>
      <c r="K172" s="412"/>
      <c r="L172" s="374">
        <f t="shared" si="72"/>
        <v>1</v>
      </c>
      <c r="M172" s="413"/>
      <c r="N172" s="408">
        <v>42707</v>
      </c>
      <c r="O172" s="412"/>
      <c r="P172" s="374">
        <f t="shared" si="73"/>
        <v>1</v>
      </c>
      <c r="Q172" s="413"/>
      <c r="R172" s="408">
        <v>42707</v>
      </c>
      <c r="S172" s="412"/>
      <c r="T172" s="374">
        <f t="shared" si="74"/>
        <v>1</v>
      </c>
      <c r="U172" s="413"/>
      <c r="V172" s="408">
        <v>42707</v>
      </c>
      <c r="W172" s="412"/>
      <c r="X172" s="374">
        <f t="shared" si="75"/>
        <v>1</v>
      </c>
      <c r="Y172" s="413"/>
      <c r="Z172" s="408">
        <v>42707</v>
      </c>
      <c r="AA172" s="412"/>
      <c r="AB172" s="374">
        <f t="shared" si="76"/>
        <v>1</v>
      </c>
      <c r="AC172" s="413"/>
      <c r="AD172" s="408">
        <v>42707</v>
      </c>
      <c r="AE172" s="412"/>
      <c r="AF172" s="374">
        <f t="shared" si="77"/>
        <v>1</v>
      </c>
      <c r="AG172" s="413"/>
      <c r="AH172" s="408">
        <v>42707</v>
      </c>
      <c r="AI172" s="412"/>
      <c r="AJ172" s="374">
        <f t="shared" si="78"/>
        <v>1</v>
      </c>
      <c r="AK172" s="413"/>
      <c r="AL172" s="408">
        <v>42707</v>
      </c>
      <c r="AM172" s="412"/>
      <c r="AN172" s="374">
        <f t="shared" si="79"/>
        <v>1</v>
      </c>
      <c r="AO172" s="375"/>
    </row>
    <row r="173" spans="1:41" ht="10" customHeight="1" x14ac:dyDescent="0.25">
      <c r="A173" s="376"/>
      <c r="B173" s="409"/>
      <c r="C173" s="412"/>
      <c r="D173" s="412"/>
      <c r="E173" s="413"/>
      <c r="F173" s="409"/>
      <c r="G173" s="412"/>
      <c r="H173" s="412"/>
      <c r="I173" s="413"/>
      <c r="J173" s="409"/>
      <c r="K173" s="412"/>
      <c r="L173" s="412"/>
      <c r="M173" s="413"/>
      <c r="N173" s="409"/>
      <c r="O173" s="412"/>
      <c r="P173" s="412"/>
      <c r="Q173" s="413"/>
      <c r="R173" s="409"/>
      <c r="S173" s="412"/>
      <c r="T173" s="412"/>
      <c r="U173" s="413"/>
      <c r="V173" s="409"/>
      <c r="W173" s="412"/>
      <c r="X173" s="412"/>
      <c r="Y173" s="413"/>
      <c r="Z173" s="409"/>
      <c r="AA173" s="412"/>
      <c r="AB173" s="412"/>
      <c r="AC173" s="413"/>
      <c r="AD173" s="409"/>
      <c r="AE173" s="412"/>
      <c r="AF173" s="412"/>
      <c r="AG173" s="413"/>
      <c r="AH173" s="409"/>
      <c r="AI173" s="412"/>
      <c r="AJ173" s="412"/>
      <c r="AK173" s="413"/>
      <c r="AL173" s="409"/>
      <c r="AM173" s="412"/>
      <c r="AN173" s="412"/>
      <c r="AO173" s="375"/>
    </row>
    <row r="174" spans="1:41" ht="10" customHeight="1" x14ac:dyDescent="0.25">
      <c r="A174" s="373" t="s">
        <v>386</v>
      </c>
      <c r="B174" s="378">
        <f>AVERAGE(B161:B172)</f>
        <v>42707</v>
      </c>
      <c r="D174" s="389">
        <f>AVERAGE(D161:D172)</f>
        <v>1</v>
      </c>
      <c r="E174" s="375"/>
      <c r="F174" s="378">
        <f>AVERAGE(F161:F172)</f>
        <v>42707</v>
      </c>
      <c r="H174" s="389">
        <f>AVERAGE(H161:H172)</f>
        <v>1</v>
      </c>
      <c r="I174" s="375"/>
      <c r="J174" s="378">
        <f>AVERAGE(J161:J172)</f>
        <v>42707</v>
      </c>
      <c r="L174" s="389">
        <f>AVERAGE(L161:L172)</f>
        <v>1</v>
      </c>
      <c r="M174" s="375"/>
      <c r="N174" s="378">
        <f>AVERAGE(N161:N172)</f>
        <v>42707</v>
      </c>
      <c r="P174" s="389">
        <f>AVERAGE(P161:P172)</f>
        <v>1</v>
      </c>
      <c r="Q174" s="375"/>
      <c r="R174" s="378">
        <f>AVERAGE(R161:R172)</f>
        <v>42707</v>
      </c>
      <c r="T174" s="389">
        <f>AVERAGE(T161:T172)</f>
        <v>1</v>
      </c>
      <c r="U174" s="375"/>
      <c r="V174" s="378">
        <f>AVERAGE(V161:V172)</f>
        <v>42707</v>
      </c>
      <c r="X174" s="389">
        <f>AVERAGE(X161:X172)</f>
        <v>1</v>
      </c>
      <c r="Y174" s="375"/>
      <c r="Z174" s="378">
        <f>AVERAGE(Z161:Z172)</f>
        <v>42707</v>
      </c>
      <c r="AB174" s="389">
        <f>AVERAGE(AB161:AB172)</f>
        <v>1</v>
      </c>
      <c r="AC174" s="375"/>
      <c r="AD174" s="378">
        <f>AVERAGE(AD161:AD172)</f>
        <v>42707</v>
      </c>
      <c r="AF174" s="389">
        <f>AVERAGE(AF161:AF172)</f>
        <v>1</v>
      </c>
      <c r="AG174" s="375"/>
      <c r="AH174" s="378">
        <f>AVERAGE(AH161:AH172)</f>
        <v>42707</v>
      </c>
      <c r="AJ174" s="389">
        <f>AVERAGE(AJ161:AJ172)</f>
        <v>1</v>
      </c>
      <c r="AK174" s="375"/>
      <c r="AL174" s="378">
        <f>AVERAGE(AL161:AL172)</f>
        <v>42707</v>
      </c>
      <c r="AN174" s="389">
        <f>AVERAGE(AN161:AN172)</f>
        <v>1</v>
      </c>
      <c r="AO174" s="375"/>
    </row>
    <row r="175" spans="1:41" ht="10" customHeight="1" x14ac:dyDescent="0.25">
      <c r="A175" s="376"/>
      <c r="B175" s="409"/>
      <c r="C175" s="412"/>
      <c r="D175" s="412"/>
      <c r="E175" s="413"/>
      <c r="F175" s="409"/>
      <c r="G175" s="412"/>
      <c r="H175" s="412"/>
      <c r="I175" s="413"/>
      <c r="J175" s="409"/>
      <c r="K175" s="412"/>
      <c r="L175" s="412"/>
      <c r="M175" s="413"/>
      <c r="N175" s="409"/>
      <c r="O175" s="412"/>
      <c r="P175" s="412"/>
      <c r="Q175" s="413"/>
      <c r="R175" s="409"/>
      <c r="S175" s="412"/>
      <c r="T175" s="412"/>
      <c r="U175" s="413"/>
      <c r="V175" s="409"/>
      <c r="W175" s="412"/>
      <c r="X175" s="412"/>
      <c r="Y175" s="413"/>
      <c r="Z175" s="409"/>
      <c r="AA175" s="412"/>
      <c r="AB175" s="412"/>
      <c r="AC175" s="413"/>
      <c r="AD175" s="409"/>
      <c r="AE175" s="412"/>
      <c r="AF175" s="412"/>
      <c r="AG175" s="413"/>
      <c r="AH175" s="409"/>
      <c r="AI175" s="412"/>
      <c r="AJ175" s="412"/>
      <c r="AK175" s="413"/>
      <c r="AL175" s="409"/>
      <c r="AM175" s="412"/>
      <c r="AN175" s="412"/>
      <c r="AO175" s="375"/>
    </row>
    <row r="176" spans="1:41" ht="10" customHeight="1" x14ac:dyDescent="0.25">
      <c r="A176" s="379" t="s">
        <v>387</v>
      </c>
      <c r="B176" s="407">
        <v>42707</v>
      </c>
      <c r="C176" s="410"/>
      <c r="D176" s="410"/>
      <c r="E176" s="411"/>
      <c r="F176" s="407">
        <v>42707</v>
      </c>
      <c r="G176" s="410"/>
      <c r="H176" s="410"/>
      <c r="I176" s="411"/>
      <c r="J176" s="407">
        <v>42707</v>
      </c>
      <c r="K176" s="410"/>
      <c r="L176" s="410"/>
      <c r="M176" s="411"/>
      <c r="N176" s="407">
        <v>42707</v>
      </c>
      <c r="O176" s="410"/>
      <c r="P176" s="410"/>
      <c r="Q176" s="411"/>
      <c r="R176" s="407">
        <v>42707</v>
      </c>
      <c r="S176" s="410"/>
      <c r="T176" s="410"/>
      <c r="U176" s="411"/>
      <c r="V176" s="407">
        <v>42707</v>
      </c>
      <c r="W176" s="410"/>
      <c r="X176" s="410"/>
      <c r="Y176" s="411"/>
      <c r="Z176" s="407">
        <v>42707</v>
      </c>
      <c r="AA176" s="410"/>
      <c r="AB176" s="410"/>
      <c r="AC176" s="411"/>
      <c r="AD176" s="407">
        <v>42707</v>
      </c>
      <c r="AE176" s="410"/>
      <c r="AF176" s="410"/>
      <c r="AG176" s="411"/>
      <c r="AH176" s="407">
        <v>42707</v>
      </c>
      <c r="AI176" s="410"/>
      <c r="AJ176" s="410"/>
      <c r="AK176" s="411"/>
      <c r="AL176" s="407">
        <v>42707</v>
      </c>
      <c r="AM176" s="410"/>
      <c r="AN176" s="410"/>
      <c r="AO176" s="382"/>
    </row>
  </sheetData>
  <sheetProtection formatCells="0" formatColumns="0" formatRows="0" insertColumns="0" insertRows="0" insertHyperlinks="0" deleteColumns="0" deleteRows="0" sort="0" autoFilter="0" pivotTables="0"/>
  <mergeCells count="21">
    <mergeCell ref="A154:R154"/>
    <mergeCell ref="A155:R155"/>
    <mergeCell ref="A129:R129"/>
    <mergeCell ref="A130:R130"/>
    <mergeCell ref="A54:R54"/>
    <mergeCell ref="A55:R55"/>
    <mergeCell ref="A78:R78"/>
    <mergeCell ref="A79:R79"/>
    <mergeCell ref="A80:R80"/>
    <mergeCell ref="A103:R103"/>
    <mergeCell ref="A104:R104"/>
    <mergeCell ref="A105:R105"/>
    <mergeCell ref="A153:R153"/>
    <mergeCell ref="A128:R128"/>
    <mergeCell ref="A2:R2"/>
    <mergeCell ref="A28:R28"/>
    <mergeCell ref="A29:R29"/>
    <mergeCell ref="A30:R30"/>
    <mergeCell ref="A53:R53"/>
    <mergeCell ref="A4:R4"/>
    <mergeCell ref="A5:R5"/>
  </mergeCells>
  <pageMargins left="0.15999999642372131" right="0.17000000178813934" top="0.40000000596046448" bottom="0.31999999284744263" header="0.3" footer="0.3"/>
  <pageSetup orientation="landscape" errors="blank"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B0A0-4BFD-4A24-B846-5DE517E886F7}">
  <sheetPr codeName="Sheet8">
    <tabColor theme="0" tint="-0.249977111117893"/>
  </sheetPr>
  <dimension ref="B1:V48"/>
  <sheetViews>
    <sheetView topLeftCell="A6" zoomScale="60" zoomScaleNormal="60" workbookViewId="0">
      <selection activeCell="AB17" sqref="AB17"/>
    </sheetView>
  </sheetViews>
  <sheetFormatPr defaultColWidth="8.7265625" defaultRowHeight="13" x14ac:dyDescent="0.3"/>
  <cols>
    <col min="1" max="1" width="8.7265625" style="115"/>
    <col min="2" max="2" width="8.7265625" style="115" customWidth="1"/>
    <col min="3" max="8" width="8.7265625" style="115"/>
    <col min="9" max="9" width="2.81640625" style="115" customWidth="1"/>
    <col min="10" max="16" width="8.7265625" style="115"/>
    <col min="17" max="17" width="2.81640625" style="115" customWidth="1"/>
    <col min="18" max="16384" width="8.7265625" style="115"/>
  </cols>
  <sheetData>
    <row r="1" spans="2:2" x14ac:dyDescent="0.3">
      <c r="B1" s="254"/>
    </row>
    <row r="2" spans="2:2" x14ac:dyDescent="0.3">
      <c r="B2" s="344"/>
    </row>
    <row r="4" spans="2:2" x14ac:dyDescent="0.3">
      <c r="B4" s="255"/>
    </row>
    <row r="5" spans="2:2" x14ac:dyDescent="0.3">
      <c r="B5" s="256"/>
    </row>
    <row r="6" spans="2:2" x14ac:dyDescent="0.3">
      <c r="B6" s="256"/>
    </row>
    <row r="7" spans="2:2" x14ac:dyDescent="0.3">
      <c r="B7" s="256"/>
    </row>
    <row r="8" spans="2:2" x14ac:dyDescent="0.3">
      <c r="B8" s="257"/>
    </row>
    <row r="10" spans="2:2" x14ac:dyDescent="0.3">
      <c r="B10" s="255"/>
    </row>
    <row r="11" spans="2:2" x14ac:dyDescent="0.3">
      <c r="B11" s="255"/>
    </row>
    <row r="38" spans="10:22" x14ac:dyDescent="0.3">
      <c r="J38" s="345"/>
      <c r="K38" s="345"/>
      <c r="L38" s="345"/>
      <c r="M38" s="345"/>
      <c r="N38" s="345"/>
      <c r="O38" s="345"/>
      <c r="P38" s="345"/>
      <c r="Q38" s="345"/>
      <c r="R38" s="345"/>
      <c r="S38" s="345"/>
      <c r="T38" s="345"/>
      <c r="U38" s="345"/>
      <c r="V38" s="345"/>
    </row>
    <row r="48" spans="10:22" x14ac:dyDescent="0.3">
      <c r="J48" s="345"/>
      <c r="K48" s="345"/>
    </row>
  </sheetData>
  <sheetProtection formatCells="0" formatColumns="0" formatRows="0" insertColumns="0" insertRows="0" insertHyperlinks="0" deleteColumns="0" deleteRows="0" sort="0" autoFilter="0" pivotTables="0"/>
  <pageMargins left="1" right="1" top="1" bottom="1" header="0.5" footer="0.5"/>
  <pageSetup paperSize="3"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56317FB7927F44BC67949A0B5392C9" ma:contentTypeVersion="29" ma:contentTypeDescription="Create a new document." ma:contentTypeScope="" ma:versionID="678418cce3c747ea6c326850c2dd4c1d">
  <xsd:schema xmlns:xsd="http://www.w3.org/2001/XMLSchema" xmlns:xs="http://www.w3.org/2001/XMLSchema" xmlns:p="http://schemas.microsoft.com/office/2006/metadata/properties" xmlns:ns2="613b4267-bd14-4360-ba47-8fc7d892a3ab" xmlns:ns3="07588646-d8bf-4d76-a3d8-8ddb2e3ff410" xmlns:ns4="62748ae9-4c70-43af-ba1e-fb7879ebc30b" targetNamespace="http://schemas.microsoft.com/office/2006/metadata/properties" ma:root="true" ma:fieldsID="80451cea3e0405cb4628ccbcc047ff42" ns2:_="" ns3:_="" ns4:_="">
    <xsd:import namespace="613b4267-bd14-4360-ba47-8fc7d892a3ab"/>
    <xsd:import namespace="07588646-d8bf-4d76-a3d8-8ddb2e3ff410"/>
    <xsd:import namespace="62748ae9-4c70-43af-ba1e-fb7879ebc30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b4267-bd14-4360-ba47-8fc7d892a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588646-d8bf-4d76-a3d8-8ddb2e3ff41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748ae9-4c70-43af-ba1e-fb7879ebc30b" elementFormDefault="qualified">
    <xsd:import namespace="http://schemas.microsoft.com/office/2006/documentManagement/types"/>
    <xsd:import namespace="http://schemas.microsoft.com/office/infopath/2007/PartnerControls"/>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A35BC1-5C33-468B-BAA8-557A07B072E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7848968-0546-49A6-A841-37D6FA99D21D}">
  <ds:schemaRefs>
    <ds:schemaRef ds:uri="http://schemas.microsoft.com/sharepoint/v3/contenttype/forms"/>
  </ds:schemaRefs>
</ds:datastoreItem>
</file>

<file path=customXml/itemProps3.xml><?xml version="1.0" encoding="utf-8"?>
<ds:datastoreItem xmlns:ds="http://schemas.openxmlformats.org/officeDocument/2006/customXml" ds:itemID="{D3F7DA40-2E60-4402-8DFF-5F48DC7BE7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b4267-bd14-4360-ba47-8fc7d892a3ab"/>
    <ds:schemaRef ds:uri="07588646-d8bf-4d76-a3d8-8ddb2e3ff410"/>
    <ds:schemaRef ds:uri="62748ae9-4c70-43af-ba1e-fb7879ebc3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Summary</vt:lpstr>
      <vt:lpstr>Portfolio-Level CF</vt:lpstr>
      <vt:lpstr>Property-Level CF</vt:lpstr>
      <vt:lpstr>JV Waterfall</vt:lpstr>
      <vt:lpstr>Rent Roll</vt:lpstr>
      <vt:lpstr>Cash Flow Dump</vt:lpstr>
      <vt:lpstr>Occupancy Report</vt:lpstr>
      <vt:lpstr>Narrative</vt:lpstr>
      <vt:lpstr>Aspect_Equity_Interest</vt:lpstr>
      <vt:lpstr>Asset_Management_Fee</vt:lpstr>
      <vt:lpstr>Capital_Reserves__RSF</vt:lpstr>
      <vt:lpstr>Cost_of_Sale__Transfer_Tax___Broker_Fee</vt:lpstr>
      <vt:lpstr>'JV Waterfall'!Equity_Share_GP</vt:lpstr>
      <vt:lpstr>'JV Waterfall'!Equity_Share_LP</vt:lpstr>
      <vt:lpstr>Interest_Rate</vt:lpstr>
      <vt:lpstr>LTC</vt:lpstr>
      <vt:lpstr>'JV Waterfall'!Preferred_Return</vt:lpstr>
      <vt:lpstr>'JV Waterfall'!Total_Equity</vt:lpstr>
      <vt:lpstr>Welltower_Equity_Interest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Chase Smith</dc:creator>
  <cp:keywords/>
  <dc:description/>
  <cp:lastModifiedBy>Chase Smith</cp:lastModifiedBy>
  <cp:revision/>
  <dcterms:created xsi:type="dcterms:W3CDTF">2021-05-12T13:14:32Z</dcterms:created>
  <dcterms:modified xsi:type="dcterms:W3CDTF">2026-03-10T16:03:07Z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0x0101005056317FB7927F44BC67949A0B5392C9</vt:lpwstr>
  </property>
</Properties>
</file>