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aspecthealthre-my.sharepoint.com/personal/chasesmith_aspecthealthre_com/Documents/Desktop/"/>
    </mc:Choice>
  </mc:AlternateContent>
  <xr:revisionPtr revIDLastSave="3804" documentId="13_ncr:1_{4AE577E7-905F-497A-B1FC-9A0015B712A6}" xr6:coauthVersionLast="47" xr6:coauthVersionMax="47" xr10:uidLastSave="{E42F3B6C-6D91-42A3-B2F9-48DF3B6FDB55}"/>
  <bookViews>
    <workbookView xWindow="-110" yWindow="-110" windowWidth="19420" windowHeight="10420" tabRatio="947" xr2:uid="{47E9847A-43B9-4EF0-89C6-77594E57F652}"/>
  </bookViews>
  <sheets>
    <sheet name="Budget" sheetId="1" r:id="rId1"/>
    <sheet name="Property CF" sheetId="2" r:id="rId2"/>
    <sheet name="JV Waterfall" sheetId="3" r:id="rId3"/>
    <sheet name="Refinance Analysis" sheetId="8" r:id="rId4"/>
    <sheet name="Strategy Summary" sheetId="9" r:id="rId5"/>
    <sheet name="Offering Memorandum" sheetId="7" r:id="rId6"/>
    <sheet name="Closing Costs " sheetId="14" r:id="rId7"/>
    <sheet name="Forward Curve" sheetId="15" r:id="rId8"/>
  </sheets>
  <definedNames>
    <definedName name="_Order1" hidden="1">0</definedName>
    <definedName name="CU?">'JV Waterfall'!$A$5</definedName>
    <definedName name="Equity_Share_GP" localSheetId="2">'JV Waterfall'!$C$8</definedName>
    <definedName name="Equity_Share_LP" localSheetId="2">'JV Waterfall'!$C$9</definedName>
    <definedName name="ExternalData_1" localSheetId="7" hidden="1">'Forward Curve'!$A$1:$C$121</definedName>
    <definedName name="IntroPrintArea" localSheetId="6" hidden="1">#REF!</definedName>
    <definedName name="IntroPrintArea" localSheetId="7" hidden="1">#REF!</definedName>
    <definedName name="IntroPrintArea" localSheetId="2" hidden="1">#REF!</definedName>
    <definedName name="IntroPrintArea" localSheetId="5" hidden="1">#REF!</definedName>
    <definedName name="IntroPrintArea" localSheetId="3" hidden="1">#REF!</definedName>
    <definedName name="IntroPrintArea" localSheetId="4" hidden="1">#REF!</definedName>
    <definedName name="IntroPrintArea" hidden="1">#REF!</definedName>
    <definedName name="Preferred_Return" localSheetId="2">'JV Waterfall'!$E$14</definedName>
    <definedName name="_xlnm.Print_Area" localSheetId="0">Budget!$D$2:$G$33</definedName>
    <definedName name="_xlnm.Print_Area" localSheetId="1">'Property CF'!$D$3:$AQ$149</definedName>
    <definedName name="_xlnm.Print_Area" localSheetId="3">'Refinance Analysis'!$A$2:$V$40</definedName>
    <definedName name="_xlnm.Print_Area" localSheetId="4">'Strategy Summary'!$B$2:$E$73</definedName>
    <definedName name="_xlnm.Print_Titles" localSheetId="4">'Strategy Summary'!$2:$3</definedName>
    <definedName name="SF">Budget!$E$5</definedName>
    <definedName name="Total_Equity" localSheetId="2">'JV Waterfall'!$D$10</definedName>
  </definedNames>
  <calcPr calcId="191029" calcMode="autoNoTable"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7" i="14" l="1"/>
  <c r="D36" i="14"/>
  <c r="S12" i="3"/>
  <c r="C12" i="3"/>
  <c r="Q23" i="1"/>
  <c r="L13" i="1"/>
  <c r="E13" i="14" l="1"/>
  <c r="CD15" i="7" l="1"/>
  <c r="O12" i="2"/>
  <c r="EM4" i="7" l="1"/>
  <c r="EM5" i="7" s="1"/>
  <c r="EM6" i="7" s="1"/>
  <c r="EM7" i="7" s="1"/>
  <c r="EM8" i="7" s="1"/>
  <c r="EM9" i="7" s="1"/>
  <c r="EM10" i="7" s="1"/>
  <c r="EM11" i="7" s="1"/>
  <c r="EM12" i="7" s="1"/>
  <c r="K100" i="2"/>
  <c r="L100" i="2"/>
  <c r="J100" i="2"/>
  <c r="I100" i="2"/>
  <c r="BF6" i="7"/>
  <c r="BF7" i="7"/>
  <c r="BF8" i="7"/>
  <c r="BF9" i="7"/>
  <c r="BF10" i="7"/>
  <c r="BF11" i="7"/>
  <c r="BF12" i="7"/>
  <c r="BF13" i="7"/>
  <c r="BF14" i="7"/>
  <c r="BF15" i="7"/>
  <c r="BF16" i="7"/>
  <c r="BF17" i="7"/>
  <c r="BF18" i="7"/>
  <c r="BF19" i="7"/>
  <c r="BF20" i="7"/>
  <c r="BF21" i="7"/>
  <c r="BF22" i="7"/>
  <c r="BF23" i="7"/>
  <c r="BF24" i="7"/>
  <c r="BF25" i="7"/>
  <c r="BF26" i="7"/>
  <c r="BF27" i="7"/>
  <c r="BF28" i="7"/>
  <c r="BF29" i="7"/>
  <c r="BF5" i="7"/>
  <c r="BF4" i="7"/>
  <c r="BD30" i="7"/>
  <c r="BD31" i="7"/>
  <c r="BD32" i="7"/>
  <c r="BD33" i="7"/>
  <c r="BD34" i="7"/>
  <c r="BD35" i="7"/>
  <c r="BD36" i="7"/>
  <c r="BD37" i="7"/>
  <c r="BD38" i="7"/>
  <c r="BD39" i="7"/>
  <c r="BD40" i="7"/>
  <c r="BD5" i="7"/>
  <c r="BD6" i="7"/>
  <c r="BD7" i="7"/>
  <c r="BD8" i="7"/>
  <c r="BD9" i="7"/>
  <c r="BD10" i="7"/>
  <c r="BD11" i="7"/>
  <c r="BD12" i="7"/>
  <c r="BD13" i="7"/>
  <c r="BD14" i="7"/>
  <c r="BD15" i="7"/>
  <c r="BD16" i="7"/>
  <c r="BD17" i="7"/>
  <c r="BD18" i="7"/>
  <c r="BD19" i="7"/>
  <c r="BD20" i="7"/>
  <c r="BD21" i="7"/>
  <c r="BD22" i="7"/>
  <c r="BD23" i="7"/>
  <c r="BD24" i="7"/>
  <c r="BD25" i="7"/>
  <c r="BD26" i="7"/>
  <c r="BD27" i="7"/>
  <c r="BD28" i="7"/>
  <c r="BD29" i="7"/>
  <c r="BD4" i="7"/>
  <c r="E121" i="15"/>
  <c r="E120" i="15"/>
  <c r="E119" i="15"/>
  <c r="E118" i="15"/>
  <c r="E117" i="15"/>
  <c r="E116" i="15"/>
  <c r="E115" i="15"/>
  <c r="E114" i="15"/>
  <c r="E113" i="15"/>
  <c r="E112" i="15"/>
  <c r="E111" i="15"/>
  <c r="E110" i="15"/>
  <c r="E109" i="15"/>
  <c r="E108" i="15"/>
  <c r="E107" i="15"/>
  <c r="E106" i="15"/>
  <c r="E105" i="15"/>
  <c r="E104" i="15"/>
  <c r="E103" i="15"/>
  <c r="E102" i="15"/>
  <c r="E101" i="15"/>
  <c r="E100" i="15"/>
  <c r="E99" i="15"/>
  <c r="E98" i="15"/>
  <c r="E97" i="15"/>
  <c r="E96" i="15"/>
  <c r="E95" i="15"/>
  <c r="E94" i="15"/>
  <c r="E93" i="15"/>
  <c r="E92" i="15"/>
  <c r="E91" i="15"/>
  <c r="E90" i="15"/>
  <c r="E89" i="15"/>
  <c r="E88" i="15"/>
  <c r="E87" i="15"/>
  <c r="E86" i="15"/>
  <c r="E85" i="15"/>
  <c r="E84" i="15"/>
  <c r="E83" i="15"/>
  <c r="E82" i="15"/>
  <c r="E81" i="15"/>
  <c r="E80" i="15"/>
  <c r="E79" i="15"/>
  <c r="E78" i="15"/>
  <c r="E77" i="15"/>
  <c r="E76" i="15"/>
  <c r="E75" i="15"/>
  <c r="E74" i="15"/>
  <c r="E73" i="15"/>
  <c r="E72" i="15"/>
  <c r="E71" i="15"/>
  <c r="E70" i="15"/>
  <c r="E69" i="15"/>
  <c r="E68" i="15"/>
  <c r="E67" i="15"/>
  <c r="E66" i="15"/>
  <c r="E65" i="15"/>
  <c r="E64" i="15"/>
  <c r="E63" i="15"/>
  <c r="E62" i="15"/>
  <c r="E61" i="15"/>
  <c r="E60" i="15"/>
  <c r="E59" i="15"/>
  <c r="E58" i="15"/>
  <c r="E57" i="15"/>
  <c r="E56" i="15"/>
  <c r="E55" i="15"/>
  <c r="E54" i="15"/>
  <c r="E53" i="15"/>
  <c r="E52" i="15"/>
  <c r="E51" i="15"/>
  <c r="E50" i="15"/>
  <c r="E49" i="15"/>
  <c r="E48" i="15"/>
  <c r="E47" i="15"/>
  <c r="E46" i="15"/>
  <c r="E45" i="15"/>
  <c r="E44" i="15"/>
  <c r="E43" i="15"/>
  <c r="E42"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3" i="15"/>
  <c r="E2" i="15"/>
  <c r="F37" i="15" s="1"/>
  <c r="AR84" i="2" l="1"/>
  <c r="EE15" i="7" l="1"/>
  <c r="EE6" i="7"/>
  <c r="V24" i="1"/>
  <c r="W24" i="1" s="1"/>
  <c r="X24" i="1" s="1"/>
  <c r="Y24" i="1" s="1"/>
  <c r="Z24" i="1" s="1"/>
  <c r="AA24" i="1" s="1"/>
  <c r="AB24" i="1" s="1"/>
  <c r="U23" i="1"/>
  <c r="U26" i="1" s="1"/>
  <c r="EG16" i="7"/>
  <c r="EE16" i="7" s="1"/>
  <c r="EH13" i="7"/>
  <c r="EI13" i="7" s="1"/>
  <c r="EJ13" i="7" s="1"/>
  <c r="EK13" i="7" s="1"/>
  <c r="EL13" i="7" s="1"/>
  <c r="U29" i="1"/>
  <c r="V29" i="1" s="1"/>
  <c r="W29" i="1" s="1"/>
  <c r="X29" i="1" s="1"/>
  <c r="Y29" i="1" s="1"/>
  <c r="Z29" i="1" s="1"/>
  <c r="AA29" i="1" s="1"/>
  <c r="AB29" i="1" s="1"/>
  <c r="V21" i="1"/>
  <c r="W21" i="1" s="1"/>
  <c r="X21" i="1" s="1"/>
  <c r="Y21" i="1" s="1"/>
  <c r="Z21" i="1" s="1"/>
  <c r="AA21" i="1" s="1"/>
  <c r="AB21" i="1" s="1"/>
  <c r="U19" i="1"/>
  <c r="V19" i="1" s="1"/>
  <c r="W19" i="1" s="1"/>
  <c r="X19" i="1" s="1"/>
  <c r="Y19" i="1" s="1"/>
  <c r="Z19" i="1" s="1"/>
  <c r="AA19" i="1" s="1"/>
  <c r="AB19" i="1" s="1"/>
  <c r="AC19" i="1" s="1"/>
  <c r="AD19" i="1" s="1"/>
  <c r="AE19" i="1" s="1"/>
  <c r="AF19" i="1" s="1"/>
  <c r="AG19" i="1" s="1"/>
  <c r="AH19" i="1" s="1"/>
  <c r="AI19" i="1" s="1"/>
  <c r="AJ19" i="1" s="1"/>
  <c r="AK19" i="1" s="1"/>
  <c r="AL19" i="1" s="1"/>
  <c r="EH4" i="7"/>
  <c r="EI4" i="7" s="1"/>
  <c r="EJ4" i="7" s="1"/>
  <c r="DY6" i="7"/>
  <c r="E12" i="1"/>
  <c r="E11" i="1"/>
  <c r="D30" i="14"/>
  <c r="D24" i="14"/>
  <c r="E32" i="14" s="1"/>
  <c r="D13" i="14"/>
  <c r="E21" i="14" s="1"/>
  <c r="E10" i="14"/>
  <c r="E34" i="14" s="1"/>
  <c r="E39" i="14" s="1"/>
  <c r="V23" i="1" l="1"/>
  <c r="U30" i="1"/>
  <c r="W23" i="1" l="1"/>
  <c r="V26" i="1"/>
  <c r="V30" i="1" s="1"/>
  <c r="X23" i="1" l="1"/>
  <c r="W26" i="1"/>
  <c r="W30" i="1" s="1"/>
  <c r="Y23" i="1" l="1"/>
  <c r="X26" i="1"/>
  <c r="X30" i="1" s="1"/>
  <c r="Z23" i="1" l="1"/>
  <c r="Y26" i="1"/>
  <c r="Y30" i="1" s="1"/>
  <c r="AA23" i="1" l="1"/>
  <c r="Z26" i="1"/>
  <c r="Z30" i="1" s="1"/>
  <c r="AB23" i="1" l="1"/>
  <c r="AB26" i="1" s="1"/>
  <c r="AB30" i="1" s="1"/>
  <c r="AA26" i="1"/>
  <c r="AA30" i="1" s="1"/>
  <c r="AL32" i="1" l="1"/>
  <c r="DY7" i="7" l="1"/>
  <c r="EG7" i="7" s="1"/>
  <c r="EE7" i="7" s="1"/>
  <c r="CH4" i="7" l="1"/>
  <c r="CI4" i="7" s="1"/>
  <c r="CJ4" i="7" s="1"/>
  <c r="CK4" i="7" s="1"/>
  <c r="CL4" i="7" s="1"/>
  <c r="CM4" i="7" s="1"/>
  <c r="CN4" i="7" s="1"/>
  <c r="CO4" i="7" s="1"/>
  <c r="CP4" i="7" s="1"/>
  <c r="CQ4" i="7" s="1"/>
  <c r="U13" i="1" l="1"/>
  <c r="V13" i="1" s="1"/>
  <c r="W13" i="1" s="1"/>
  <c r="X13" i="1" s="1"/>
  <c r="Y13" i="1" s="1"/>
  <c r="Z13" i="1" s="1"/>
  <c r="AA13" i="1" s="1"/>
  <c r="V5" i="1"/>
  <c r="W5" i="1" s="1"/>
  <c r="X5" i="1" s="1"/>
  <c r="Y5" i="1" s="1"/>
  <c r="Z5" i="1" s="1"/>
  <c r="AA5" i="1" s="1"/>
  <c r="AB5" i="1" s="1"/>
  <c r="AC5" i="1" s="1"/>
  <c r="AD5" i="1" s="1"/>
  <c r="AE5" i="1" s="1"/>
  <c r="AF5" i="1" s="1"/>
  <c r="AG5" i="1" s="1"/>
  <c r="AH5" i="1" s="1"/>
  <c r="AI5" i="1" s="1"/>
  <c r="AJ5" i="1" s="1"/>
  <c r="AK5" i="1" s="1"/>
  <c r="AL5" i="1" s="1"/>
  <c r="U3" i="1"/>
  <c r="V3" i="1" s="1"/>
  <c r="W3" i="1" s="1"/>
  <c r="X3" i="1" s="1"/>
  <c r="Y3" i="1" s="1"/>
  <c r="Z3" i="1" s="1"/>
  <c r="AA3" i="1" s="1"/>
  <c r="AB3" i="1" s="1"/>
  <c r="AC3" i="1" s="1"/>
  <c r="AD3" i="1" s="1"/>
  <c r="AE3" i="1" s="1"/>
  <c r="AF3" i="1" s="1"/>
  <c r="AG3" i="1" s="1"/>
  <c r="AH3" i="1" s="1"/>
  <c r="AI3" i="1" s="1"/>
  <c r="AJ3" i="1" s="1"/>
  <c r="AK3" i="1" s="1"/>
  <c r="AL3" i="1" s="1"/>
  <c r="I80" i="2"/>
  <c r="J80" i="2" s="1"/>
  <c r="K80" i="2" s="1"/>
  <c r="L80" i="2" s="1"/>
  <c r="I101" i="2" l="1"/>
  <c r="AB13" i="1"/>
  <c r="AC13" i="1" l="1"/>
  <c r="I7" i="2"/>
  <c r="I12" i="2" s="1"/>
  <c r="C10" i="2"/>
  <c r="M80" i="2" l="1"/>
  <c r="M79" i="2"/>
  <c r="M100" i="2" s="1"/>
  <c r="AD13" i="1"/>
  <c r="AE13" i="1" l="1"/>
  <c r="BM4" i="7"/>
  <c r="C11" i="2" s="1"/>
  <c r="C12" i="2" s="1"/>
  <c r="BI5" i="7"/>
  <c r="BJ5" i="7"/>
  <c r="BJ6" i="7" s="1"/>
  <c r="BJ7" i="7" s="1"/>
  <c r="BJ8" i="7" s="1"/>
  <c r="BJ9" i="7" s="1"/>
  <c r="BJ10" i="7" s="1"/>
  <c r="BJ11" i="7" s="1"/>
  <c r="BJ12" i="7" s="1"/>
  <c r="BJ13" i="7" s="1"/>
  <c r="BJ14" i="7" s="1"/>
  <c r="BJ15" i="7" s="1"/>
  <c r="BJ16" i="7" s="1"/>
  <c r="BJ17" i="7" s="1"/>
  <c r="BJ18" i="7" s="1"/>
  <c r="BJ19" i="7" s="1"/>
  <c r="BJ20" i="7" s="1"/>
  <c r="BJ21" i="7" s="1"/>
  <c r="BJ22" i="7" s="1"/>
  <c r="BJ23" i="7" s="1"/>
  <c r="BJ24" i="7" s="1"/>
  <c r="BJ25" i="7" s="1"/>
  <c r="BJ26" i="7" s="1"/>
  <c r="BJ27" i="7" s="1"/>
  <c r="BJ28" i="7" s="1"/>
  <c r="BJ29" i="7" s="1"/>
  <c r="BJ30" i="7" s="1"/>
  <c r="BJ31" i="7" s="1"/>
  <c r="BJ32" i="7" s="1"/>
  <c r="BJ33" i="7" s="1"/>
  <c r="BJ34" i="7" s="1"/>
  <c r="BJ35" i="7" s="1"/>
  <c r="BJ36" i="7" s="1"/>
  <c r="BJ37" i="7" s="1"/>
  <c r="BJ38" i="7" s="1"/>
  <c r="BJ39" i="7" s="1"/>
  <c r="BH5" i="7"/>
  <c r="BH6" i="7" s="1"/>
  <c r="BH7" i="7" s="1"/>
  <c r="BH8" i="7" s="1"/>
  <c r="BH9" i="7" s="1"/>
  <c r="BH10" i="7" s="1"/>
  <c r="BH11" i="7" s="1"/>
  <c r="BH12" i="7" s="1"/>
  <c r="BH13" i="7" s="1"/>
  <c r="BH14" i="7" s="1"/>
  <c r="BH15" i="7" s="1"/>
  <c r="BH16" i="7" s="1"/>
  <c r="BH17" i="7" s="1"/>
  <c r="BH18" i="7" s="1"/>
  <c r="BH19" i="7" s="1"/>
  <c r="BH20" i="7" s="1"/>
  <c r="BH21" i="7" s="1"/>
  <c r="BH22" i="7" s="1"/>
  <c r="BH23" i="7" s="1"/>
  <c r="BH24" i="7" s="1"/>
  <c r="BH25" i="7" s="1"/>
  <c r="BH26" i="7" s="1"/>
  <c r="BH27" i="7" s="1"/>
  <c r="BH28" i="7" s="1"/>
  <c r="BH29" i="7" s="1"/>
  <c r="J12" i="2"/>
  <c r="BK4" i="7"/>
  <c r="BH30" i="7" l="1"/>
  <c r="BH31" i="7" s="1"/>
  <c r="BH32" i="7" s="1"/>
  <c r="BH33" i="7" s="1"/>
  <c r="BH34" i="7" s="1"/>
  <c r="BH35" i="7" s="1"/>
  <c r="BH36" i="7" s="1"/>
  <c r="BH37" i="7" s="1"/>
  <c r="BH38" i="7" s="1"/>
  <c r="BH39" i="7" s="1"/>
  <c r="AF13" i="1"/>
  <c r="T27" i="8"/>
  <c r="C9" i="8" s="1"/>
  <c r="AG13" i="1" l="1"/>
  <c r="H67" i="2"/>
  <c r="AH13" i="1" l="1"/>
  <c r="AR82" i="2"/>
  <c r="AI13" i="1" l="1"/>
  <c r="AJ13" i="1" s="1"/>
  <c r="E40" i="2"/>
  <c r="AK13" i="1" l="1"/>
  <c r="AR80" i="2"/>
  <c r="AS26" i="2"/>
  <c r="I11" i="2"/>
  <c r="AL13" i="1" l="1"/>
  <c r="X8" i="7" l="1"/>
  <c r="AB5" i="7"/>
  <c r="Z5" i="7"/>
  <c r="AQ20" i="7"/>
  <c r="AN20" i="7"/>
  <c r="Q26" i="1" l="1"/>
  <c r="C13" i="2"/>
  <c r="I25" i="1" l="1"/>
  <c r="Q8" i="1"/>
  <c r="CU5" i="7"/>
  <c r="CV5" i="7" s="1"/>
  <c r="CW5" i="7" s="1"/>
  <c r="CD11" i="7"/>
  <c r="CX5" i="7" l="1"/>
  <c r="CY5" i="7" l="1"/>
  <c r="CZ5" i="7" l="1"/>
  <c r="DA5" i="7" l="1"/>
  <c r="DB5" i="7" l="1"/>
  <c r="DC5" i="7" l="1"/>
  <c r="DD5" i="7" l="1"/>
  <c r="AS41" i="2" l="1"/>
  <c r="BJ15" i="2" l="1"/>
  <c r="BK35" i="2"/>
  <c r="BJ19" i="2"/>
  <c r="BJ16" i="2"/>
  <c r="BK16" i="2" s="1"/>
  <c r="AX13" i="7"/>
  <c r="AU5" i="7" l="1"/>
  <c r="BE4" i="7"/>
  <c r="CT8" i="7"/>
  <c r="CU8" i="7" s="1"/>
  <c r="CV8" i="7" s="1"/>
  <c r="CW8" i="7" s="1"/>
  <c r="CX8" i="7" s="1"/>
  <c r="CY8" i="7" s="1"/>
  <c r="CZ8" i="7" s="1"/>
  <c r="DA8" i="7" s="1"/>
  <c r="DB8" i="7" s="1"/>
  <c r="DC8" i="7" s="1"/>
  <c r="DD8" i="7" s="1"/>
  <c r="P2" i="1"/>
  <c r="H86" i="2"/>
  <c r="I86" i="2" s="1"/>
  <c r="J86" i="2" s="1"/>
  <c r="K86" i="2" s="1"/>
  <c r="L86" i="2" s="1"/>
  <c r="M86" i="2" s="1"/>
  <c r="N86" i="2" s="1"/>
  <c r="O86" i="2" s="1"/>
  <c r="P86" i="2" s="1"/>
  <c r="Q86" i="2" s="1"/>
  <c r="R86" i="2" s="1"/>
  <c r="S86" i="2" s="1"/>
  <c r="T86" i="2" s="1"/>
  <c r="U86" i="2" s="1"/>
  <c r="V86" i="2" s="1"/>
  <c r="W86" i="2" s="1"/>
  <c r="X86" i="2" s="1"/>
  <c r="Y86" i="2" s="1"/>
  <c r="Z86" i="2" s="1"/>
  <c r="AA86" i="2" s="1"/>
  <c r="AB86" i="2" s="1"/>
  <c r="AC86" i="2" s="1"/>
  <c r="AD86" i="2" s="1"/>
  <c r="AE86" i="2" s="1"/>
  <c r="AF86" i="2" s="1"/>
  <c r="AG86" i="2" s="1"/>
  <c r="AH86" i="2" s="1"/>
  <c r="AI86" i="2" s="1"/>
  <c r="AJ86" i="2" s="1"/>
  <c r="AK86" i="2" s="1"/>
  <c r="AL86" i="2" s="1"/>
  <c r="AM86" i="2" s="1"/>
  <c r="AN86" i="2" s="1"/>
  <c r="AO22" i="2"/>
  <c r="AP22" i="2" s="1"/>
  <c r="E22" i="2"/>
  <c r="Q6" i="1"/>
  <c r="F26" i="1"/>
  <c r="BL4" i="7" l="1"/>
  <c r="BO4" i="7"/>
  <c r="E5" i="9"/>
  <c r="J101" i="2"/>
  <c r="K101" i="2" s="1"/>
  <c r="L101" i="2" s="1"/>
  <c r="M101" i="2" s="1"/>
  <c r="N101" i="2" s="1"/>
  <c r="O101" i="2" s="1"/>
  <c r="P101" i="2" s="1"/>
  <c r="Q101" i="2" s="1"/>
  <c r="R101" i="2" s="1"/>
  <c r="S101" i="2" s="1"/>
  <c r="T101" i="2" s="1"/>
  <c r="U101" i="2" s="1"/>
  <c r="V101" i="2" s="1"/>
  <c r="W101" i="2" s="1"/>
  <c r="X101" i="2" s="1"/>
  <c r="Y101" i="2" s="1"/>
  <c r="Z101" i="2" s="1"/>
  <c r="AA101" i="2" s="1"/>
  <c r="AB101" i="2" s="1"/>
  <c r="AC101" i="2" s="1"/>
  <c r="AD101" i="2" s="1"/>
  <c r="AE101" i="2" s="1"/>
  <c r="AF101" i="2" s="1"/>
  <c r="AG101" i="2" s="1"/>
  <c r="AH101" i="2" s="1"/>
  <c r="AI101" i="2" s="1"/>
  <c r="AJ101" i="2" s="1"/>
  <c r="AK101" i="2" s="1"/>
  <c r="AL101" i="2" s="1"/>
  <c r="AM101" i="2" s="1"/>
  <c r="AN101" i="2" s="1"/>
  <c r="L40" i="1" l="1"/>
  <c r="M12" i="1"/>
  <c r="N12" i="1" s="1"/>
  <c r="L12" i="1"/>
  <c r="L39" i="1" s="1"/>
  <c r="F13" i="1"/>
  <c r="I23" i="1"/>
  <c r="J23" i="1" s="1"/>
  <c r="Q28" i="1"/>
  <c r="R24" i="1"/>
  <c r="R6" i="1"/>
  <c r="R28" i="1" l="1"/>
  <c r="E21" i="1"/>
  <c r="M39" i="1"/>
  <c r="I5" i="1"/>
  <c r="AM58" i="2" l="1"/>
  <c r="BT8" i="7" l="1"/>
  <c r="DY5" i="7" s="1"/>
  <c r="EG5" i="7" s="1"/>
  <c r="BT6" i="7"/>
  <c r="BN5" i="7"/>
  <c r="BG5" i="7"/>
  <c r="BK5" i="7" s="1"/>
  <c r="BC5" i="7"/>
  <c r="BC6" i="7" s="1"/>
  <c r="BC7" i="7" s="1"/>
  <c r="BC8" i="7" s="1"/>
  <c r="BC9" i="7" s="1"/>
  <c r="BC10" i="7" s="1"/>
  <c r="BC11" i="7" s="1"/>
  <c r="BC12" i="7" s="1"/>
  <c r="BC13" i="7" s="1"/>
  <c r="BC14" i="7" s="1"/>
  <c r="BC15" i="7" s="1"/>
  <c r="BC16" i="7" s="1"/>
  <c r="BC17" i="7" s="1"/>
  <c r="BC18" i="7" s="1"/>
  <c r="BC19" i="7" s="1"/>
  <c r="BC20" i="7" s="1"/>
  <c r="BC21" i="7" s="1"/>
  <c r="BC22" i="7" s="1"/>
  <c r="BC23" i="7" s="1"/>
  <c r="BC24" i="7" s="1"/>
  <c r="BC25" i="7" s="1"/>
  <c r="BC26" i="7" s="1"/>
  <c r="BC27" i="7" s="1"/>
  <c r="BC28" i="7" s="1"/>
  <c r="BC29" i="7" s="1"/>
  <c r="BC30" i="7" s="1"/>
  <c r="BC31" i="7" s="1"/>
  <c r="BC32" i="7" s="1"/>
  <c r="BC33" i="7" s="1"/>
  <c r="BC34" i="7" s="1"/>
  <c r="BC35" i="7" s="1"/>
  <c r="BC36" i="7" s="1"/>
  <c r="BC37" i="7" s="1"/>
  <c r="BC38" i="7" s="1"/>
  <c r="BC39" i="7" s="1"/>
  <c r="BM5" i="7"/>
  <c r="BM6" i="7" s="1"/>
  <c r="BM7" i="7" s="1"/>
  <c r="BM8" i="7" s="1"/>
  <c r="BM9" i="7" s="1"/>
  <c r="BM10" i="7" s="1"/>
  <c r="BM11" i="7" s="1"/>
  <c r="BM12" i="7" s="1"/>
  <c r="BM13" i="7" s="1"/>
  <c r="BM14" i="7" s="1"/>
  <c r="BM15" i="7" s="1"/>
  <c r="BM16" i="7" s="1"/>
  <c r="BM17" i="7" s="1"/>
  <c r="BM18" i="7" s="1"/>
  <c r="BM19" i="7" s="1"/>
  <c r="BM20" i="7" s="1"/>
  <c r="BM21" i="7" s="1"/>
  <c r="BM22" i="7" s="1"/>
  <c r="BM23" i="7" s="1"/>
  <c r="BM24" i="7" s="1"/>
  <c r="BM25" i="7" s="1"/>
  <c r="BM26" i="7" s="1"/>
  <c r="BM27" i="7" s="1"/>
  <c r="BM28" i="7" s="1"/>
  <c r="BM29" i="7" s="1"/>
  <c r="BM30" i="7" s="1"/>
  <c r="BM31" i="7" s="1"/>
  <c r="BM32" i="7" s="1"/>
  <c r="BM33" i="7" s="1"/>
  <c r="BM34" i="7" s="1"/>
  <c r="BM35" i="7" s="1"/>
  <c r="BM36" i="7" s="1"/>
  <c r="BM37" i="7" s="1"/>
  <c r="BM38" i="7" s="1"/>
  <c r="BM39" i="7" s="1"/>
  <c r="E19" i="2"/>
  <c r="E32" i="2"/>
  <c r="L8" i="1"/>
  <c r="L26" i="1" s="1"/>
  <c r="L7" i="1"/>
  <c r="L25" i="1" s="1"/>
  <c r="EE5" i="7" l="1"/>
  <c r="EE8" i="7" s="1"/>
  <c r="EE9" i="7" s="1"/>
  <c r="EE10" i="7" s="1"/>
  <c r="DY8" i="7"/>
  <c r="DY9" i="7" s="1"/>
  <c r="DY10" i="7" s="1"/>
  <c r="BG6" i="7"/>
  <c r="BK6" i="7" s="1"/>
  <c r="BN6" i="7"/>
  <c r="BG7" i="7" l="1"/>
  <c r="BK7" i="7" s="1"/>
  <c r="BN7" i="7"/>
  <c r="I102" i="2"/>
  <c r="BG8" i="7" l="1"/>
  <c r="BK8" i="7" s="1"/>
  <c r="BN8" i="7"/>
  <c r="J102" i="2"/>
  <c r="BG9" i="7" l="1"/>
  <c r="BK9" i="7" s="1"/>
  <c r="BN9" i="7"/>
  <c r="K102" i="2"/>
  <c r="BG10" i="7" l="1"/>
  <c r="BK10" i="7" s="1"/>
  <c r="BN10" i="7"/>
  <c r="L102" i="2"/>
  <c r="BG11" i="7"/>
  <c r="BK11" i="7" s="1"/>
  <c r="BN11" i="7" l="1"/>
  <c r="M102" i="2"/>
  <c r="BG12" i="7"/>
  <c r="BK12" i="7" s="1"/>
  <c r="BN12" i="7" l="1"/>
  <c r="BG13" i="7"/>
  <c r="BK13" i="7" s="1"/>
  <c r="BN13" i="7" l="1"/>
  <c r="BG14" i="7"/>
  <c r="BK14" i="7" s="1"/>
  <c r="BN14" i="7" l="1"/>
  <c r="BG15" i="7"/>
  <c r="BK15" i="7" s="1"/>
  <c r="BN15" i="7" l="1"/>
  <c r="BG16" i="7"/>
  <c r="BK16" i="7" s="1"/>
  <c r="BN16" i="7" l="1"/>
  <c r="BG17" i="7"/>
  <c r="BK17" i="7" s="1"/>
  <c r="BN17" i="7" l="1"/>
  <c r="BG18" i="7"/>
  <c r="BK18" i="7" s="1"/>
  <c r="BN18" i="7" l="1"/>
  <c r="BG19" i="7"/>
  <c r="BK19" i="7" s="1"/>
  <c r="BN19" i="7" l="1"/>
  <c r="BG20" i="7"/>
  <c r="BK20" i="7" s="1"/>
  <c r="BN20" i="7" l="1"/>
  <c r="BG21" i="7"/>
  <c r="BK21" i="7" s="1"/>
  <c r="BN21" i="7" l="1"/>
  <c r="BG22" i="7"/>
  <c r="BK22" i="7" s="1"/>
  <c r="BN22" i="7" l="1"/>
  <c r="BG23" i="7"/>
  <c r="BK23" i="7" s="1"/>
  <c r="BN23" i="7" l="1"/>
  <c r="BG24" i="7"/>
  <c r="BK24" i="7" s="1"/>
  <c r="BN24" i="7" l="1"/>
  <c r="BG25" i="7"/>
  <c r="BK25" i="7" s="1"/>
  <c r="BN25" i="7" l="1"/>
  <c r="BG26" i="7"/>
  <c r="BK26" i="7" s="1"/>
  <c r="BN26" i="7" l="1"/>
  <c r="BG27" i="7"/>
  <c r="BK27" i="7" s="1"/>
  <c r="BN27" i="7" l="1"/>
  <c r="BG28" i="7"/>
  <c r="BK28" i="7" s="1"/>
  <c r="BN28" i="7" l="1"/>
  <c r="BG29" i="7"/>
  <c r="BK29" i="7" s="1"/>
  <c r="BN29" i="7" l="1"/>
  <c r="BG30" i="7"/>
  <c r="BK30" i="7" s="1"/>
  <c r="BN30" i="7" l="1"/>
  <c r="BG31" i="7"/>
  <c r="BK31" i="7" s="1"/>
  <c r="BN31" i="7" l="1"/>
  <c r="BG32" i="7"/>
  <c r="BK32" i="7" s="1"/>
  <c r="BN32" i="7" l="1"/>
  <c r="BG33" i="7"/>
  <c r="BK33" i="7" s="1"/>
  <c r="BG34" i="7" l="1"/>
  <c r="BK34" i="7" s="1"/>
  <c r="BN33" i="7"/>
  <c r="BN34" i="7" l="1"/>
  <c r="BG35" i="7"/>
  <c r="BK35" i="7" s="1"/>
  <c r="BN35" i="7" l="1"/>
  <c r="BG36" i="7"/>
  <c r="BK36" i="7" s="1"/>
  <c r="BN36" i="7" l="1"/>
  <c r="BG37" i="7"/>
  <c r="BK37" i="7" s="1"/>
  <c r="BN37" i="7" l="1"/>
  <c r="BG38" i="7"/>
  <c r="BK38" i="7" s="1"/>
  <c r="BN38" i="7" l="1"/>
  <c r="BG39" i="7"/>
  <c r="BK39" i="7" s="1"/>
  <c r="BN39" i="7" l="1"/>
  <c r="M15" i="1" l="1"/>
  <c r="M30" i="1" s="1"/>
  <c r="N30" i="1" s="1"/>
  <c r="L16" i="1"/>
  <c r="L38" i="1" s="1"/>
  <c r="L14" i="1"/>
  <c r="L37" i="1" s="1"/>
  <c r="L15" i="1"/>
  <c r="L30" i="1" s="1"/>
  <c r="E34" i="2"/>
  <c r="AO33" i="2"/>
  <c r="AP33" i="2" s="1"/>
  <c r="E33" i="2"/>
  <c r="E27" i="2"/>
  <c r="N15" i="1" l="1"/>
  <c r="F27" i="1" l="1"/>
  <c r="C12" i="9" l="1"/>
  <c r="BA6" i="7" l="1"/>
  <c r="BA10" i="7"/>
  <c r="BA12" i="7"/>
  <c r="AP22" i="7"/>
  <c r="AX15" i="7"/>
  <c r="BR24" i="2"/>
  <c r="H54" i="2"/>
  <c r="AS6" i="2"/>
  <c r="AW11" i="2" s="1"/>
  <c r="AY11" i="2" s="1"/>
  <c r="AZ11" i="2" s="1"/>
  <c r="BA11" i="2" s="1"/>
  <c r="BB11" i="2" s="1"/>
  <c r="BC11" i="2" s="1"/>
  <c r="BD11" i="2" s="1"/>
  <c r="BE11" i="2" s="1"/>
  <c r="BF11" i="2" s="1"/>
  <c r="BG11" i="2" s="1"/>
  <c r="AO18" i="2"/>
  <c r="AO17" i="2"/>
  <c r="E18" i="2"/>
  <c r="E20" i="2"/>
  <c r="E21" i="2"/>
  <c r="E39" i="2"/>
  <c r="E17" i="2"/>
  <c r="E16" i="2"/>
  <c r="M6" i="1"/>
  <c r="M5" i="1"/>
  <c r="L6" i="1"/>
  <c r="L24" i="1" s="1"/>
  <c r="L9" i="1"/>
  <c r="L27" i="1" s="1"/>
  <c r="L10" i="1"/>
  <c r="L28" i="1" s="1"/>
  <c r="L11" i="1"/>
  <c r="L29" i="1" s="1"/>
  <c r="L5" i="1"/>
  <c r="L23" i="1" s="1"/>
  <c r="F9" i="1"/>
  <c r="I81" i="2" l="1"/>
  <c r="N6" i="1"/>
  <c r="M24" i="1"/>
  <c r="N24" i="1" s="1"/>
  <c r="N5" i="1"/>
  <c r="M23" i="1"/>
  <c r="N23" i="1" s="1"/>
  <c r="BA13" i="7"/>
  <c r="BA14" i="7" s="1"/>
  <c r="J11" i="2"/>
  <c r="H107" i="2"/>
  <c r="L111" i="2"/>
  <c r="O111" i="2" s="1"/>
  <c r="R111" i="2" s="1"/>
  <c r="V111" i="2" s="1"/>
  <c r="X111" i="2" s="1"/>
  <c r="AA111" i="2" s="1"/>
  <c r="AH111" i="2"/>
  <c r="AJ111" i="2" s="1"/>
  <c r="E115" i="2"/>
  <c r="E124" i="2"/>
  <c r="E123" i="2" s="1"/>
  <c r="BT9" i="7" l="1"/>
  <c r="EG14" i="7"/>
  <c r="N79" i="2"/>
  <c r="J81" i="2"/>
  <c r="V11" i="2"/>
  <c r="AH11" i="2" s="1"/>
  <c r="E33" i="1"/>
  <c r="K11" i="2"/>
  <c r="W11" i="2" s="1"/>
  <c r="AI11" i="2" s="1"/>
  <c r="I107" i="2"/>
  <c r="J107" i="2" s="1"/>
  <c r="P12" i="2" l="1"/>
  <c r="AX4" i="7"/>
  <c r="BT11" i="7"/>
  <c r="O79" i="2"/>
  <c r="N100" i="2"/>
  <c r="N102" i="2" s="1"/>
  <c r="EH14" i="7"/>
  <c r="Z174" i="2" s="1"/>
  <c r="C6" i="7"/>
  <c r="F33" i="1"/>
  <c r="C13" i="9" s="1"/>
  <c r="G8" i="1"/>
  <c r="AA10" i="7" s="1"/>
  <c r="L11" i="2"/>
  <c r="X11" i="2" s="1"/>
  <c r="AJ11" i="2" s="1"/>
  <c r="K81" i="2"/>
  <c r="K107" i="2"/>
  <c r="P79" i="2" l="1"/>
  <c r="O100" i="2"/>
  <c r="O102" i="2" s="1"/>
  <c r="EI14" i="7"/>
  <c r="U8" i="1"/>
  <c r="V8" i="1" s="1"/>
  <c r="U7" i="1"/>
  <c r="V7" i="1" s="1"/>
  <c r="W7" i="1" s="1"/>
  <c r="X7" i="1" s="1"/>
  <c r="Y7" i="1" s="1"/>
  <c r="Z7" i="1" s="1"/>
  <c r="AA7" i="1" s="1"/>
  <c r="AB7" i="1" s="1"/>
  <c r="AC7" i="1" s="1"/>
  <c r="AO19" i="2"/>
  <c r="M8" i="1"/>
  <c r="N8" i="1" s="1"/>
  <c r="F10" i="1"/>
  <c r="M11" i="2"/>
  <c r="Y11" i="2" s="1"/>
  <c r="AK11" i="2" s="1"/>
  <c r="L107" i="2"/>
  <c r="L81" i="2"/>
  <c r="Q79" i="2" l="1"/>
  <c r="P100" i="2"/>
  <c r="P102" i="2" s="1"/>
  <c r="EJ14" i="7"/>
  <c r="U10" i="1"/>
  <c r="U14" i="1" s="1"/>
  <c r="AD7" i="1"/>
  <c r="AC10" i="1"/>
  <c r="AC14" i="1" s="1"/>
  <c r="W8" i="1"/>
  <c r="V10" i="1"/>
  <c r="V14" i="1" s="1"/>
  <c r="M26" i="1"/>
  <c r="AP19" i="2"/>
  <c r="N11" i="2"/>
  <c r="Z11" i="2" s="1"/>
  <c r="AL11" i="2" s="1"/>
  <c r="M81" i="2"/>
  <c r="N80" i="2"/>
  <c r="M107" i="2"/>
  <c r="R79" i="2" l="1"/>
  <c r="Q100" i="2"/>
  <c r="Q102" i="2" s="1"/>
  <c r="EK14" i="7"/>
  <c r="AD10" i="1"/>
  <c r="AD14" i="1" s="1"/>
  <c r="AE7" i="1"/>
  <c r="X8" i="1"/>
  <c r="W10" i="1"/>
  <c r="O11" i="2"/>
  <c r="AA11" i="2" s="1"/>
  <c r="N107" i="2"/>
  <c r="N81" i="2"/>
  <c r="O80" i="2"/>
  <c r="S79" i="2" l="1"/>
  <c r="R100" i="2"/>
  <c r="R102" i="2" s="1"/>
  <c r="EL14" i="7"/>
  <c r="AE10" i="1"/>
  <c r="AE14" i="1" s="1"/>
  <c r="AF7" i="1"/>
  <c r="W14" i="1"/>
  <c r="Y8" i="1"/>
  <c r="X10" i="1"/>
  <c r="P11" i="2"/>
  <c r="AB11" i="2" s="1"/>
  <c r="O81" i="2"/>
  <c r="P80" i="2"/>
  <c r="O107" i="2"/>
  <c r="EB5" i="7" l="1"/>
  <c r="EB8" i="7" s="1"/>
  <c r="EB9" i="7" s="1"/>
  <c r="EB10" i="7" s="1"/>
  <c r="EE14" i="7"/>
  <c r="EE17" i="7" s="1"/>
  <c r="EE18" i="7" s="1"/>
  <c r="EE19" i="7" s="1"/>
  <c r="AS32" i="2"/>
  <c r="T79" i="2"/>
  <c r="S100" i="2"/>
  <c r="S102" i="2" s="1"/>
  <c r="X14" i="1"/>
  <c r="AG7" i="1"/>
  <c r="AF10" i="1"/>
  <c r="AF14" i="1" s="1"/>
  <c r="Z8" i="1"/>
  <c r="Y10" i="1"/>
  <c r="Q11" i="2"/>
  <c r="AC11" i="2" s="1"/>
  <c r="P107" i="2"/>
  <c r="P81" i="2"/>
  <c r="Q80" i="2"/>
  <c r="U79" i="2" l="1"/>
  <c r="T100" i="2"/>
  <c r="T102" i="2" s="1"/>
  <c r="AG10" i="1"/>
  <c r="AG14" i="1" s="1"/>
  <c r="AH7" i="1"/>
  <c r="Y14" i="1"/>
  <c r="AA8" i="1"/>
  <c r="Z10" i="1"/>
  <c r="Z14" i="1" s="1"/>
  <c r="R11" i="2"/>
  <c r="AD11" i="2" s="1"/>
  <c r="Q81" i="2"/>
  <c r="R80" i="2"/>
  <c r="Q107" i="2"/>
  <c r="V79" i="2" l="1"/>
  <c r="U100" i="2"/>
  <c r="U102" i="2" s="1"/>
  <c r="AH10" i="1"/>
  <c r="AH14" i="1" s="1"/>
  <c r="AI7" i="1"/>
  <c r="AB8" i="1"/>
  <c r="AB10" i="1" s="1"/>
  <c r="AB14" i="1" s="1"/>
  <c r="AA10" i="1"/>
  <c r="AA14" i="1" s="1"/>
  <c r="S11" i="2"/>
  <c r="AE11" i="2" s="1"/>
  <c r="R107" i="2"/>
  <c r="R81" i="2"/>
  <c r="S80" i="2"/>
  <c r="W79" i="2" l="1"/>
  <c r="V100" i="2"/>
  <c r="V102" i="2" s="1"/>
  <c r="AI10" i="1"/>
  <c r="AI14" i="1" s="1"/>
  <c r="AJ7" i="1"/>
  <c r="T11" i="2"/>
  <c r="AF11" i="2" s="1"/>
  <c r="T80" i="2"/>
  <c r="S81" i="2"/>
  <c r="S107" i="2"/>
  <c r="X79" i="2" l="1"/>
  <c r="W100" i="2"/>
  <c r="W102" i="2" s="1"/>
  <c r="AJ10" i="1"/>
  <c r="AJ14" i="1" s="1"/>
  <c r="AK7" i="1"/>
  <c r="U11" i="2"/>
  <c r="T107" i="2"/>
  <c r="T81" i="2"/>
  <c r="U80" i="2"/>
  <c r="Y79" i="2" l="1"/>
  <c r="X100" i="2"/>
  <c r="X102" i="2" s="1"/>
  <c r="AK10" i="1"/>
  <c r="AK14" i="1" s="1"/>
  <c r="AL7" i="1"/>
  <c r="AL10" i="1" s="1"/>
  <c r="AG11" i="2"/>
  <c r="C7" i="7"/>
  <c r="C8" i="7" s="1"/>
  <c r="U81" i="2"/>
  <c r="V80" i="2"/>
  <c r="U107" i="2"/>
  <c r="Z79" i="2" l="1"/>
  <c r="Y100" i="2"/>
  <c r="Y102" i="2" s="1"/>
  <c r="AL14" i="1"/>
  <c r="AL16" i="1" s="1"/>
  <c r="V107" i="2"/>
  <c r="V81" i="2"/>
  <c r="W80" i="2"/>
  <c r="AA79" i="2" l="1"/>
  <c r="Z100" i="2"/>
  <c r="Z102" i="2" s="1"/>
  <c r="W81" i="2"/>
  <c r="X80" i="2"/>
  <c r="W107" i="2"/>
  <c r="AB79" i="2" l="1"/>
  <c r="AA100" i="2"/>
  <c r="AA102" i="2" s="1"/>
  <c r="X107" i="2"/>
  <c r="X81" i="2"/>
  <c r="Y80" i="2"/>
  <c r="AC79" i="2" l="1"/>
  <c r="AB100" i="2"/>
  <c r="AB102" i="2" s="1"/>
  <c r="Y81" i="2"/>
  <c r="Z80" i="2"/>
  <c r="Y107" i="2"/>
  <c r="AD79" i="2" l="1"/>
  <c r="AC100" i="2"/>
  <c r="AC102" i="2" s="1"/>
  <c r="Z107" i="2"/>
  <c r="Z81" i="2"/>
  <c r="AA80" i="2"/>
  <c r="AE79" i="2" l="1"/>
  <c r="AD100" i="2"/>
  <c r="AD102" i="2" s="1"/>
  <c r="AA81" i="2"/>
  <c r="AB80" i="2"/>
  <c r="AA107" i="2"/>
  <c r="AF79" i="2" l="1"/>
  <c r="AE100" i="2"/>
  <c r="AE102" i="2" s="1"/>
  <c r="AB107" i="2"/>
  <c r="AB81" i="2"/>
  <c r="AC80" i="2"/>
  <c r="AG79" i="2" l="1"/>
  <c r="AF100" i="2"/>
  <c r="AF102" i="2" s="1"/>
  <c r="AC81" i="2"/>
  <c r="AD80" i="2"/>
  <c r="AC107" i="2"/>
  <c r="AH79" i="2" l="1"/>
  <c r="AG100" i="2"/>
  <c r="AG102" i="2" s="1"/>
  <c r="AD107" i="2"/>
  <c r="AE80" i="2"/>
  <c r="AD81" i="2"/>
  <c r="AI79" i="2" l="1"/>
  <c r="AH100" i="2"/>
  <c r="AH102" i="2" s="1"/>
  <c r="AF80" i="2"/>
  <c r="AE81" i="2"/>
  <c r="AE107" i="2"/>
  <c r="AJ79" i="2" l="1"/>
  <c r="AI100" i="2"/>
  <c r="AI102" i="2" s="1"/>
  <c r="E7" i="7"/>
  <c r="AF107" i="2"/>
  <c r="AF81" i="2"/>
  <c r="AG80" i="2"/>
  <c r="AK79" i="2" l="1"/>
  <c r="AJ100" i="2"/>
  <c r="AJ102" i="2" s="1"/>
  <c r="G7" i="7"/>
  <c r="AG81" i="2"/>
  <c r="AH80" i="2"/>
  <c r="AG107" i="2"/>
  <c r="AL79" i="2" l="1"/>
  <c r="AK100" i="2"/>
  <c r="AK102" i="2" s="1"/>
  <c r="AH107" i="2"/>
  <c r="AH81" i="2"/>
  <c r="AI80" i="2"/>
  <c r="AM79" i="2" l="1"/>
  <c r="AL100" i="2"/>
  <c r="AL102" i="2" s="1"/>
  <c r="AI81" i="2"/>
  <c r="AJ80" i="2"/>
  <c r="AI107" i="2"/>
  <c r="AN79" i="2" l="1"/>
  <c r="AN100" i="2" s="1"/>
  <c r="AN102" i="2" s="1"/>
  <c r="AM100" i="2"/>
  <c r="AM102" i="2" s="1"/>
  <c r="AJ107" i="2"/>
  <c r="AJ81" i="2"/>
  <c r="AK80" i="2"/>
  <c r="AL80" i="2" s="1"/>
  <c r="AL81" i="2" l="1"/>
  <c r="AM80" i="2"/>
  <c r="AK81" i="2"/>
  <c r="AK107" i="2"/>
  <c r="AL107" i="2" s="1"/>
  <c r="AM107" i="2" l="1"/>
  <c r="AM81" i="2"/>
  <c r="AN80" i="2"/>
  <c r="AN81" i="2" s="1"/>
  <c r="AO11" i="2"/>
  <c r="AP11" i="2" s="1"/>
  <c r="AN107" i="2" l="1"/>
  <c r="N124" i="2" s="1"/>
  <c r="P20" i="1"/>
  <c r="P33" i="1" s="1"/>
  <c r="AA123" i="2" l="1"/>
  <c r="AA124" i="2"/>
  <c r="Z124" i="2"/>
  <c r="AJ124" i="2"/>
  <c r="K123" i="2"/>
  <c r="K124" i="2"/>
  <c r="AI123" i="2"/>
  <c r="AH124" i="2"/>
  <c r="M124" i="2"/>
  <c r="AG124" i="2"/>
  <c r="L123" i="2"/>
  <c r="Z123" i="2"/>
  <c r="AK124" i="2"/>
  <c r="T123" i="2"/>
  <c r="T124" i="2"/>
  <c r="S123" i="2"/>
  <c r="S124" i="2"/>
  <c r="AG123" i="2"/>
  <c r="M123" i="2"/>
  <c r="AF123" i="2"/>
  <c r="L124" i="2"/>
  <c r="Y123" i="2"/>
  <c r="J123" i="2"/>
  <c r="X123" i="2"/>
  <c r="P124" i="2"/>
  <c r="Y124" i="2"/>
  <c r="AF124" i="2"/>
  <c r="J124" i="2"/>
  <c r="X124" i="2"/>
  <c r="AD123" i="2"/>
  <c r="V124" i="2"/>
  <c r="N123" i="2"/>
  <c r="R124" i="2"/>
  <c r="R123" i="2"/>
  <c r="AE123" i="2"/>
  <c r="Q123" i="2"/>
  <c r="AE124" i="2"/>
  <c r="I124" i="2"/>
  <c r="W123" i="2"/>
  <c r="O124" i="2"/>
  <c r="I123" i="2"/>
  <c r="AD124" i="2"/>
  <c r="O123" i="2"/>
  <c r="H123" i="2"/>
  <c r="AC123" i="2"/>
  <c r="U123" i="2"/>
  <c r="H124" i="2"/>
  <c r="AB124" i="2"/>
  <c r="U124" i="2"/>
  <c r="AM123" i="2"/>
  <c r="AL123" i="2"/>
  <c r="AS88" i="2" s="1"/>
  <c r="AI124" i="2"/>
  <c r="AC124" i="2"/>
  <c r="W124" i="2"/>
  <c r="Q124" i="2"/>
  <c r="AM124" i="2"/>
  <c r="AK123" i="2"/>
  <c r="AJ123" i="2"/>
  <c r="AH123" i="2"/>
  <c r="AB123" i="2"/>
  <c r="V123" i="2"/>
  <c r="P123" i="2"/>
  <c r="AU5" i="2" l="1"/>
  <c r="AR83" i="2"/>
  <c r="E131" i="2"/>
  <c r="E139" i="2"/>
  <c r="AM139" i="2" l="1"/>
  <c r="AM145" i="2" s="1"/>
  <c r="T31" i="8"/>
  <c r="L139" i="2"/>
  <c r="M139" i="2"/>
  <c r="N139" i="2"/>
  <c r="O139" i="2"/>
  <c r="P139" i="2"/>
  <c r="Q139" i="2"/>
  <c r="R139" i="2"/>
  <c r="S139" i="2"/>
  <c r="T139" i="2"/>
  <c r="U139" i="2"/>
  <c r="V139" i="2"/>
  <c r="W139" i="2"/>
  <c r="X139" i="2"/>
  <c r="Y139" i="2"/>
  <c r="Z139" i="2"/>
  <c r="AA139" i="2"/>
  <c r="AB139" i="2"/>
  <c r="AC139" i="2"/>
  <c r="AD139" i="2"/>
  <c r="AE139" i="2"/>
  <c r="AF139" i="2"/>
  <c r="AG139" i="2"/>
  <c r="AH139" i="2"/>
  <c r="AI139" i="2"/>
  <c r="H139" i="2" l="1"/>
  <c r="B2" i="1" l="1"/>
  <c r="AR81" i="2" l="1"/>
  <c r="AR79" i="2"/>
  <c r="C41" i="9" l="1"/>
  <c r="E14" i="9" l="1"/>
  <c r="E13" i="9"/>
  <c r="E12" i="9"/>
  <c r="Y9" i="8" l="1"/>
  <c r="Z9" i="8" s="1"/>
  <c r="AA9" i="8" s="1"/>
  <c r="AB9" i="8" s="1"/>
  <c r="AC9" i="8" s="1"/>
  <c r="AD9" i="8" s="1"/>
  <c r="AE9" i="8" s="1"/>
  <c r="AF9" i="8" s="1"/>
  <c r="AG9" i="8" s="1"/>
  <c r="AH9" i="8" s="1"/>
  <c r="AI9" i="8" s="1"/>
  <c r="AJ9" i="8" s="1"/>
  <c r="AK9" i="8" s="1"/>
  <c r="AL9" i="8" s="1"/>
  <c r="AM9" i="8" s="1"/>
  <c r="AN9" i="8" s="1"/>
  <c r="AO9" i="8" s="1"/>
  <c r="AP9" i="8" s="1"/>
  <c r="AQ9" i="8" s="1"/>
  <c r="AR9" i="8" s="1"/>
  <c r="AS9" i="8" s="1"/>
  <c r="AT9" i="8" s="1"/>
  <c r="AU9" i="8" s="1"/>
  <c r="AV9" i="8" s="1"/>
  <c r="AW9" i="8" s="1"/>
  <c r="AX9" i="8" s="1"/>
  <c r="AY9" i="8" s="1"/>
  <c r="AZ9" i="8" s="1"/>
  <c r="BA9" i="8" s="1"/>
  <c r="BB9" i="8" s="1"/>
  <c r="BC9" i="8" s="1"/>
  <c r="BD9" i="8" s="1"/>
  <c r="BE9" i="8" s="1"/>
  <c r="BF9" i="8" s="1"/>
  <c r="BG9" i="8" s="1"/>
  <c r="BH9" i="8" s="1"/>
  <c r="BI9" i="8" s="1"/>
  <c r="BJ9" i="8" s="1"/>
  <c r="BK9" i="8" s="1"/>
  <c r="BL9" i="8" s="1"/>
  <c r="BM9" i="8" s="1"/>
  <c r="BN9" i="8" s="1"/>
  <c r="BO9" i="8" s="1"/>
  <c r="BP9" i="8" s="1"/>
  <c r="BQ9" i="8" s="1"/>
  <c r="BR9" i="8" s="1"/>
  <c r="BS9" i="8" s="1"/>
  <c r="BT9" i="8" s="1"/>
  <c r="BU9" i="8" s="1"/>
  <c r="BV9" i="8" s="1"/>
  <c r="BW9" i="8" s="1"/>
  <c r="BX9" i="8" s="1"/>
  <c r="BY9" i="8" s="1"/>
  <c r="BZ9" i="8" s="1"/>
  <c r="CA9" i="8" s="1"/>
  <c r="CB9" i="8" s="1"/>
  <c r="CC9" i="8" s="1"/>
  <c r="CD9" i="8" s="1"/>
  <c r="CE9" i="8" s="1"/>
  <c r="CF9" i="8" s="1"/>
  <c r="CG9" i="8" s="1"/>
  <c r="CH9" i="8" s="1"/>
  <c r="CI9" i="8" s="1"/>
  <c r="CJ9" i="8" s="1"/>
  <c r="CK9" i="8" s="1"/>
  <c r="CL9" i="8" s="1"/>
  <c r="CM9" i="8" s="1"/>
  <c r="CN9" i="8" s="1"/>
  <c r="CO9" i="8" s="1"/>
  <c r="CP9" i="8" s="1"/>
  <c r="CQ9" i="8" s="1"/>
  <c r="CR9" i="8" s="1"/>
  <c r="CS9" i="8" s="1"/>
  <c r="CT9" i="8" s="1"/>
  <c r="CU9" i="8" s="1"/>
  <c r="CV9" i="8" s="1"/>
  <c r="CW9" i="8" s="1"/>
  <c r="CX9" i="8" s="1"/>
  <c r="CY9" i="8" s="1"/>
  <c r="CZ9" i="8" s="1"/>
  <c r="DA9" i="8" s="1"/>
  <c r="DB9" i="8" s="1"/>
  <c r="DC9" i="8" s="1"/>
  <c r="DD9" i="8" s="1"/>
  <c r="DE9" i="8" s="1"/>
  <c r="DF9" i="8" s="1"/>
  <c r="DG9" i="8" s="1"/>
  <c r="DH9" i="8" s="1"/>
  <c r="DI9" i="8" s="1"/>
  <c r="DJ9" i="8" s="1"/>
  <c r="DK9" i="8" s="1"/>
  <c r="DL9" i="8" s="1"/>
  <c r="DM9" i="8" s="1"/>
  <c r="DN9" i="8" s="1"/>
  <c r="DO9" i="8" s="1"/>
  <c r="DP9" i="8" s="1"/>
  <c r="DQ9" i="8" s="1"/>
  <c r="DR9" i="8" s="1"/>
  <c r="DS9" i="8" s="1"/>
  <c r="DT9" i="8" s="1"/>
  <c r="DU9" i="8" s="1"/>
  <c r="DV9" i="8" s="1"/>
  <c r="DW9" i="8" s="1"/>
  <c r="DX9" i="8" s="1"/>
  <c r="DY9" i="8" s="1"/>
  <c r="DZ9" i="8" s="1"/>
  <c r="EA9" i="8" s="1"/>
  <c r="EB9" i="8" s="1"/>
  <c r="EC9" i="8" s="1"/>
  <c r="ED9" i="8" s="1"/>
  <c r="EE9" i="8" s="1"/>
  <c r="EF9" i="8" s="1"/>
  <c r="EG9" i="8" s="1"/>
  <c r="EH9" i="8" s="1"/>
  <c r="EI9" i="8" s="1"/>
  <c r="EJ9" i="8" s="1"/>
  <c r="EK9" i="8" s="1"/>
  <c r="EL9" i="8" s="1"/>
  <c r="EM9" i="8" s="1"/>
  <c r="EN9" i="8" s="1"/>
  <c r="EO9" i="8" s="1"/>
  <c r="EP9" i="8" s="1"/>
  <c r="EQ9" i="8" s="1"/>
  <c r="ER9" i="8" s="1"/>
  <c r="ES9" i="8" s="1"/>
  <c r="ET9" i="8" s="1"/>
  <c r="EU9" i="8" s="1"/>
  <c r="EV9" i="8" s="1"/>
  <c r="EW9" i="8" s="1"/>
  <c r="EX9" i="8" s="1"/>
  <c r="EY9" i="8" s="1"/>
  <c r="EZ9" i="8" s="1"/>
  <c r="FA9" i="8" s="1"/>
  <c r="FB9" i="8" s="1"/>
  <c r="FC9" i="8" s="1"/>
  <c r="FD9" i="8" s="1"/>
  <c r="FE9" i="8" s="1"/>
  <c r="FF9" i="8" s="1"/>
  <c r="FG9" i="8" s="1"/>
  <c r="FH9" i="8" s="1"/>
  <c r="FI9" i="8" s="1"/>
  <c r="FJ9" i="8" s="1"/>
  <c r="FK9" i="8" s="1"/>
  <c r="FL9" i="8" s="1"/>
  <c r="FM9" i="8" s="1"/>
  <c r="FN9" i="8" s="1"/>
  <c r="FO9" i="8" s="1"/>
  <c r="FP9" i="8" s="1"/>
  <c r="FQ9" i="8" s="1"/>
  <c r="FR9" i="8" s="1"/>
  <c r="FS9" i="8" s="1"/>
  <c r="E46" i="9"/>
  <c r="C42" i="9"/>
  <c r="E42" i="9"/>
  <c r="C40" i="9"/>
  <c r="C11" i="9"/>
  <c r="FJ21" i="8"/>
  <c r="FK21" i="8" s="1"/>
  <c r="FL21" i="8" s="1"/>
  <c r="FM21" i="8" s="1"/>
  <c r="FN21" i="8" s="1"/>
  <c r="FO21" i="8" s="1"/>
  <c r="FP21" i="8" s="1"/>
  <c r="FQ21" i="8" s="1"/>
  <c r="FR21" i="8" s="1"/>
  <c r="FS21" i="8" s="1"/>
  <c r="X18" i="8"/>
  <c r="Y18" i="8" s="1"/>
  <c r="Z18" i="8" s="1"/>
  <c r="AA18" i="8" s="1"/>
  <c r="FJ16" i="8"/>
  <c r="FK16" i="8" s="1"/>
  <c r="FL16" i="8" s="1"/>
  <c r="FM16" i="8" s="1"/>
  <c r="FN16" i="8" s="1"/>
  <c r="FO16" i="8" s="1"/>
  <c r="FP16" i="8" s="1"/>
  <c r="FQ16" i="8" s="1"/>
  <c r="FR16" i="8" s="1"/>
  <c r="FS16" i="8" s="1"/>
  <c r="X15" i="8"/>
  <c r="Y15" i="8" s="1"/>
  <c r="Z15" i="8" s="1"/>
  <c r="AA15" i="8" s="1"/>
  <c r="AB15" i="8" s="1"/>
  <c r="AC15" i="8" s="1"/>
  <c r="AD15" i="8" s="1"/>
  <c r="AE15" i="8" s="1"/>
  <c r="AF15" i="8" s="1"/>
  <c r="AG15" i="8" s="1"/>
  <c r="AH15" i="8" s="1"/>
  <c r="AI15" i="8" s="1"/>
  <c r="AJ15" i="8" s="1"/>
  <c r="AK15" i="8" s="1"/>
  <c r="AL15" i="8" s="1"/>
  <c r="AM15" i="8" s="1"/>
  <c r="AN15" i="8" s="1"/>
  <c r="AO15" i="8" s="1"/>
  <c r="AP15" i="8" s="1"/>
  <c r="AQ15" i="8" s="1"/>
  <c r="AR15" i="8" s="1"/>
  <c r="AS15" i="8" s="1"/>
  <c r="AT15" i="8" s="1"/>
  <c r="AU15" i="8" s="1"/>
  <c r="AV15" i="8" s="1"/>
  <c r="AW15" i="8" s="1"/>
  <c r="AX15" i="8" s="1"/>
  <c r="AY15" i="8" s="1"/>
  <c r="AZ15" i="8" s="1"/>
  <c r="BA15" i="8" s="1"/>
  <c r="BB15" i="8" s="1"/>
  <c r="BC15" i="8" s="1"/>
  <c r="BD15" i="8" s="1"/>
  <c r="BE15" i="8" s="1"/>
  <c r="BF15" i="8" s="1"/>
  <c r="BG15" i="8" s="1"/>
  <c r="BH15" i="8" s="1"/>
  <c r="BI15" i="8" s="1"/>
  <c r="BJ15" i="8" s="1"/>
  <c r="BK15" i="8" s="1"/>
  <c r="BL15" i="8" s="1"/>
  <c r="BM15" i="8" s="1"/>
  <c r="BN15" i="8" s="1"/>
  <c r="BO15" i="8" s="1"/>
  <c r="BP15" i="8" s="1"/>
  <c r="BQ15" i="8" s="1"/>
  <c r="BR15" i="8" s="1"/>
  <c r="BS15" i="8" s="1"/>
  <c r="BT15" i="8" s="1"/>
  <c r="BU15" i="8" s="1"/>
  <c r="BV15" i="8" s="1"/>
  <c r="BW15" i="8" s="1"/>
  <c r="BX15" i="8" s="1"/>
  <c r="BY15" i="8" s="1"/>
  <c r="BZ15" i="8" s="1"/>
  <c r="CA15" i="8" s="1"/>
  <c r="CB15" i="8" s="1"/>
  <c r="CC15" i="8" s="1"/>
  <c r="CD15" i="8" s="1"/>
  <c r="CE15" i="8" s="1"/>
  <c r="CF15" i="8" s="1"/>
  <c r="CG15" i="8" s="1"/>
  <c r="CH15" i="8" s="1"/>
  <c r="CI15" i="8" s="1"/>
  <c r="CJ15" i="8" s="1"/>
  <c r="CK15" i="8" s="1"/>
  <c r="CL15" i="8" s="1"/>
  <c r="CM15" i="8" s="1"/>
  <c r="CN15" i="8" s="1"/>
  <c r="CO15" i="8" s="1"/>
  <c r="CP15" i="8" s="1"/>
  <c r="CQ15" i="8" s="1"/>
  <c r="CR15" i="8" s="1"/>
  <c r="CS15" i="8" s="1"/>
  <c r="CT15" i="8" s="1"/>
  <c r="CU15" i="8" s="1"/>
  <c r="CV15" i="8" s="1"/>
  <c r="CW15" i="8" s="1"/>
  <c r="CX15" i="8" s="1"/>
  <c r="CY15" i="8" s="1"/>
  <c r="CZ15" i="8" s="1"/>
  <c r="DA15" i="8" s="1"/>
  <c r="DB15" i="8" s="1"/>
  <c r="DC15" i="8" s="1"/>
  <c r="DD15" i="8" s="1"/>
  <c r="DE15" i="8" s="1"/>
  <c r="DF15" i="8" s="1"/>
  <c r="DG15" i="8" s="1"/>
  <c r="DH15" i="8" s="1"/>
  <c r="DI15" i="8" s="1"/>
  <c r="DJ15" i="8" s="1"/>
  <c r="DK15" i="8" s="1"/>
  <c r="DL15" i="8" s="1"/>
  <c r="DM15" i="8" s="1"/>
  <c r="DN15" i="8" s="1"/>
  <c r="DO15" i="8" s="1"/>
  <c r="DP15" i="8" s="1"/>
  <c r="DQ15" i="8" s="1"/>
  <c r="DR15" i="8" s="1"/>
  <c r="DS15" i="8" s="1"/>
  <c r="DT15" i="8" s="1"/>
  <c r="DU15" i="8" s="1"/>
  <c r="DV15" i="8" s="1"/>
  <c r="DW15" i="8" s="1"/>
  <c r="DX15" i="8" s="1"/>
  <c r="DY15" i="8" s="1"/>
  <c r="DZ15" i="8" s="1"/>
  <c r="EA15" i="8" s="1"/>
  <c r="EB15" i="8" s="1"/>
  <c r="EC15" i="8" s="1"/>
  <c r="ED15" i="8" s="1"/>
  <c r="EE15" i="8" s="1"/>
  <c r="EF15" i="8" s="1"/>
  <c r="EG15" i="8" s="1"/>
  <c r="EH15" i="8" s="1"/>
  <c r="EI15" i="8" s="1"/>
  <c r="EJ15" i="8" s="1"/>
  <c r="EK15" i="8" s="1"/>
  <c r="EL15" i="8" s="1"/>
  <c r="EM15" i="8" s="1"/>
  <c r="EN15" i="8" s="1"/>
  <c r="EO15" i="8" s="1"/>
  <c r="EP15" i="8" s="1"/>
  <c r="EQ15" i="8" s="1"/>
  <c r="ER15" i="8" s="1"/>
  <c r="ES15" i="8" s="1"/>
  <c r="ET15" i="8" s="1"/>
  <c r="EU15" i="8" s="1"/>
  <c r="EV15" i="8" s="1"/>
  <c r="EW15" i="8" s="1"/>
  <c r="EX15" i="8" s="1"/>
  <c r="EY15" i="8" s="1"/>
  <c r="EZ15" i="8" s="1"/>
  <c r="FA15" i="8" s="1"/>
  <c r="FB15" i="8" s="1"/>
  <c r="FC15" i="8" s="1"/>
  <c r="FD15" i="8" s="1"/>
  <c r="FE15" i="8" s="1"/>
  <c r="FF15" i="8" s="1"/>
  <c r="FG15" i="8" s="1"/>
  <c r="FH15" i="8" s="1"/>
  <c r="FI15" i="8" s="1"/>
  <c r="FJ15" i="8" s="1"/>
  <c r="FK15" i="8" s="1"/>
  <c r="FL15" i="8" s="1"/>
  <c r="FM15" i="8" s="1"/>
  <c r="FN15" i="8" s="1"/>
  <c r="FO15" i="8" s="1"/>
  <c r="FP15" i="8" s="1"/>
  <c r="FQ15" i="8" s="1"/>
  <c r="FR15" i="8" s="1"/>
  <c r="FS15" i="8" s="1"/>
  <c r="X11" i="8"/>
  <c r="Y11" i="8" s="1"/>
  <c r="Z11" i="8" s="1"/>
  <c r="AA11" i="8" s="1"/>
  <c r="AB11" i="8" s="1"/>
  <c r="AC11" i="8" s="1"/>
  <c r="AD11" i="8" s="1"/>
  <c r="AE11" i="8" s="1"/>
  <c r="AF11" i="8" s="1"/>
  <c r="AG11" i="8" s="1"/>
  <c r="AH11" i="8" s="1"/>
  <c r="AI11" i="8" s="1"/>
  <c r="X20" i="8"/>
  <c r="U8" i="8"/>
  <c r="S8" i="8" s="1"/>
  <c r="S7" i="8"/>
  <c r="E5" i="8"/>
  <c r="C45" i="9" l="1"/>
  <c r="AJ11" i="8"/>
  <c r="E6" i="8"/>
  <c r="F6" i="8"/>
  <c r="F7" i="8" s="1"/>
  <c r="F8" i="8" s="1"/>
  <c r="F9" i="8" s="1"/>
  <c r="F10" i="8" s="1"/>
  <c r="F11" i="8" s="1"/>
  <c r="F12" i="8" s="1"/>
  <c r="F13" i="8" s="1"/>
  <c r="F14" i="8" s="1"/>
  <c r="F15" i="8" s="1"/>
  <c r="F16" i="8" s="1"/>
  <c r="F17" i="8" s="1"/>
  <c r="F18" i="8" s="1"/>
  <c r="F19" i="8" s="1"/>
  <c r="F20" i="8" s="1"/>
  <c r="F21" i="8" s="1"/>
  <c r="F22" i="8" s="1"/>
  <c r="F23" i="8" s="1"/>
  <c r="F24" i="8" s="1"/>
  <c r="F25" i="8" s="1"/>
  <c r="F26" i="8" s="1"/>
  <c r="F27" i="8" s="1"/>
  <c r="F28" i="8" s="1"/>
  <c r="F29" i="8" s="1"/>
  <c r="F30" i="8" s="1"/>
  <c r="F31" i="8" s="1"/>
  <c r="F32" i="8" s="1"/>
  <c r="F33" i="8" s="1"/>
  <c r="F34" i="8" s="1"/>
  <c r="F35" i="8" s="1"/>
  <c r="F36" i="8" s="1"/>
  <c r="F37" i="8" s="1"/>
  <c r="F38" i="8" s="1"/>
  <c r="F39" i="8" s="1"/>
  <c r="F40" i="8" s="1"/>
  <c r="F41" i="8" s="1"/>
  <c r="F42" i="8" s="1"/>
  <c r="F43" i="8" s="1"/>
  <c r="F44" i="8" s="1"/>
  <c r="F45" i="8" s="1"/>
  <c r="F46" i="8" s="1"/>
  <c r="F47" i="8" s="1"/>
  <c r="F48" i="8" s="1"/>
  <c r="F49" i="8" s="1"/>
  <c r="F50" i="8" s="1"/>
  <c r="F51" i="8" s="1"/>
  <c r="F52" i="8" s="1"/>
  <c r="F53" i="8" s="1"/>
  <c r="F54" i="8" s="1"/>
  <c r="F55" i="8" s="1"/>
  <c r="F56" i="8" s="1"/>
  <c r="F57" i="8" s="1"/>
  <c r="F58" i="8" s="1"/>
  <c r="F59" i="8" s="1"/>
  <c r="F60" i="8" s="1"/>
  <c r="F61" i="8" s="1"/>
  <c r="F62" i="8" s="1"/>
  <c r="F63" i="8" s="1"/>
  <c r="F64" i="8" s="1"/>
  <c r="F65" i="8" s="1"/>
  <c r="F66" i="8" s="1"/>
  <c r="F67" i="8" s="1"/>
  <c r="F68" i="8" s="1"/>
  <c r="F69" i="8" s="1"/>
  <c r="F70" i="8" s="1"/>
  <c r="F71" i="8" s="1"/>
  <c r="F72" i="8" s="1"/>
  <c r="F73" i="8" s="1"/>
  <c r="F74" i="8" s="1"/>
  <c r="F75" i="8" s="1"/>
  <c r="F76" i="8" s="1"/>
  <c r="F77" i="8" s="1"/>
  <c r="F78" i="8" s="1"/>
  <c r="F79" i="8" s="1"/>
  <c r="F80" i="8" s="1"/>
  <c r="F81" i="8" s="1"/>
  <c r="F82" i="8" s="1"/>
  <c r="F83" i="8" s="1"/>
  <c r="F84" i="8" s="1"/>
  <c r="F85" i="8" s="1"/>
  <c r="F86" i="8" s="1"/>
  <c r="F87" i="8" s="1"/>
  <c r="F88" i="8" s="1"/>
  <c r="F89" i="8" s="1"/>
  <c r="F90" i="8" s="1"/>
  <c r="F91" i="8" s="1"/>
  <c r="F92" i="8" s="1"/>
  <c r="F93" i="8" s="1"/>
  <c r="F94" i="8" s="1"/>
  <c r="F95" i="8" s="1"/>
  <c r="F96" i="8" s="1"/>
  <c r="F97" i="8" s="1"/>
  <c r="F98" i="8" s="1"/>
  <c r="F99" i="8" s="1"/>
  <c r="F100" i="8" s="1"/>
  <c r="F101" i="8" s="1"/>
  <c r="F102" i="8" s="1"/>
  <c r="F103" i="8" s="1"/>
  <c r="F104" i="8" s="1"/>
  <c r="F105" i="8" s="1"/>
  <c r="F106" i="8" s="1"/>
  <c r="F107" i="8" s="1"/>
  <c r="F108" i="8" s="1"/>
  <c r="F109" i="8" s="1"/>
  <c r="F110" i="8" s="1"/>
  <c r="F111" i="8" s="1"/>
  <c r="F112" i="8" s="1"/>
  <c r="F113" i="8" s="1"/>
  <c r="F114" i="8" s="1"/>
  <c r="F115" i="8" s="1"/>
  <c r="F116" i="8" s="1"/>
  <c r="F117" i="8" s="1"/>
  <c r="F118" i="8" s="1"/>
  <c r="F119" i="8" s="1"/>
  <c r="F120" i="8" s="1"/>
  <c r="F121" i="8" s="1"/>
  <c r="F122" i="8" s="1"/>
  <c r="F123" i="8" s="1"/>
  <c r="F124" i="8" s="1"/>
  <c r="F125" i="8" s="1"/>
  <c r="F126" i="8" s="1"/>
  <c r="F127" i="8" s="1"/>
  <c r="F128" i="8" s="1"/>
  <c r="F129" i="8" s="1"/>
  <c r="F130" i="8" s="1"/>
  <c r="F131" i="8" s="1"/>
  <c r="F132" i="8" s="1"/>
  <c r="F133" i="8" s="1"/>
  <c r="F134" i="8" s="1"/>
  <c r="F135" i="8" s="1"/>
  <c r="F136" i="8" s="1"/>
  <c r="F137" i="8" s="1"/>
  <c r="F138" i="8" s="1"/>
  <c r="F139" i="8" s="1"/>
  <c r="F140" i="8" s="1"/>
  <c r="F141" i="8" s="1"/>
  <c r="F142" i="8" s="1"/>
  <c r="F143" i="8" s="1"/>
  <c r="F144" i="8" s="1"/>
  <c r="F145" i="8" s="1"/>
  <c r="F146" i="8" s="1"/>
  <c r="F147" i="8" s="1"/>
  <c r="F148" i="8" s="1"/>
  <c r="F149" i="8" s="1"/>
  <c r="F150" i="8" s="1"/>
  <c r="F151" i="8" s="1"/>
  <c r="F152" i="8" s="1"/>
  <c r="F153" i="8" s="1"/>
  <c r="F154" i="8" s="1"/>
  <c r="F155" i="8" s="1"/>
  <c r="F156" i="8" s="1"/>
  <c r="F157" i="8" s="1"/>
  <c r="F158" i="8" s="1"/>
  <c r="F159" i="8" s="1"/>
  <c r="F160" i="8" s="1"/>
  <c r="F161" i="8" s="1"/>
  <c r="F162" i="8" s="1"/>
  <c r="F163" i="8" s="1"/>
  <c r="F164" i="8" s="1"/>
  <c r="F165" i="8" s="1"/>
  <c r="F166" i="8" s="1"/>
  <c r="F167" i="8" s="1"/>
  <c r="F168" i="8" s="1"/>
  <c r="F169" i="8" s="1"/>
  <c r="F170" i="8" s="1"/>
  <c r="F171" i="8" s="1"/>
  <c r="F172" i="8" s="1"/>
  <c r="F173" i="8" s="1"/>
  <c r="F174" i="8" s="1"/>
  <c r="F175" i="8" s="1"/>
  <c r="F176" i="8" s="1"/>
  <c r="F177" i="8" s="1"/>
  <c r="F178" i="8" s="1"/>
  <c r="F179" i="8" s="1"/>
  <c r="F180" i="8" s="1"/>
  <c r="F181" i="8" s="1"/>
  <c r="F182" i="8" s="1"/>
  <c r="F183" i="8" s="1"/>
  <c r="F184" i="8" s="1"/>
  <c r="F185" i="8" s="1"/>
  <c r="F186" i="8" s="1"/>
  <c r="F187" i="8" s="1"/>
  <c r="F188" i="8" s="1"/>
  <c r="F189" i="8" s="1"/>
  <c r="F190" i="8" s="1"/>
  <c r="F191" i="8" s="1"/>
  <c r="F192" i="8" s="1"/>
  <c r="F193" i="8" s="1"/>
  <c r="F194" i="8" s="1"/>
  <c r="F195" i="8" s="1"/>
  <c r="F196" i="8" s="1"/>
  <c r="F197" i="8" s="1"/>
  <c r="F198" i="8" s="1"/>
  <c r="F199" i="8" s="1"/>
  <c r="F200" i="8" s="1"/>
  <c r="F201" i="8" s="1"/>
  <c r="F202" i="8" s="1"/>
  <c r="F203" i="8" s="1"/>
  <c r="F204" i="8" s="1"/>
  <c r="F205" i="8" s="1"/>
  <c r="F206" i="8" s="1"/>
  <c r="F207" i="8" s="1"/>
  <c r="F208" i="8" s="1"/>
  <c r="F209" i="8" s="1"/>
  <c r="F210" i="8" s="1"/>
  <c r="F211" i="8" s="1"/>
  <c r="F212" i="8" s="1"/>
  <c r="F213" i="8" s="1"/>
  <c r="F214" i="8" s="1"/>
  <c r="F215" i="8" s="1"/>
  <c r="F216" i="8" s="1"/>
  <c r="F217" i="8" s="1"/>
  <c r="F218" i="8" s="1"/>
  <c r="F219" i="8" s="1"/>
  <c r="F220" i="8" s="1"/>
  <c r="F221" i="8" s="1"/>
  <c r="F222" i="8" s="1"/>
  <c r="F223" i="8" s="1"/>
  <c r="F224" i="8" s="1"/>
  <c r="F225" i="8" s="1"/>
  <c r="F226" i="8" s="1"/>
  <c r="F227" i="8" s="1"/>
  <c r="F228" i="8" s="1"/>
  <c r="F229" i="8" s="1"/>
  <c r="F230" i="8" s="1"/>
  <c r="F231" i="8" s="1"/>
  <c r="F232" i="8" s="1"/>
  <c r="F233" i="8" s="1"/>
  <c r="F234" i="8" s="1"/>
  <c r="F235" i="8" s="1"/>
  <c r="F236" i="8" s="1"/>
  <c r="F237" i="8" s="1"/>
  <c r="F238" i="8" s="1"/>
  <c r="F239" i="8" s="1"/>
  <c r="F240" i="8" s="1"/>
  <c r="F241" i="8" s="1"/>
  <c r="F242" i="8" s="1"/>
  <c r="F243" i="8" s="1"/>
  <c r="F244" i="8" s="1"/>
  <c r="F245" i="8" s="1"/>
  <c r="F246" i="8" s="1"/>
  <c r="F247" i="8" s="1"/>
  <c r="F248" i="8" s="1"/>
  <c r="F249" i="8" s="1"/>
  <c r="F250" i="8" s="1"/>
  <c r="F251" i="8" s="1"/>
  <c r="F252" i="8" s="1"/>
  <c r="F253" i="8" s="1"/>
  <c r="F254" i="8" s="1"/>
  <c r="F255" i="8" s="1"/>
  <c r="F256" i="8" s="1"/>
  <c r="F257" i="8" s="1"/>
  <c r="F258" i="8" s="1"/>
  <c r="F259" i="8" s="1"/>
  <c r="F260" i="8" s="1"/>
  <c r="F261" i="8" s="1"/>
  <c r="F262" i="8" s="1"/>
  <c r="F263" i="8" s="1"/>
  <c r="F264" i="8" s="1"/>
  <c r="F265" i="8" s="1"/>
  <c r="F266" i="8" s="1"/>
  <c r="F267" i="8" s="1"/>
  <c r="F268" i="8" s="1"/>
  <c r="F269" i="8" s="1"/>
  <c r="F270" i="8" s="1"/>
  <c r="F271" i="8" s="1"/>
  <c r="F272" i="8" s="1"/>
  <c r="F273" i="8" s="1"/>
  <c r="F274" i="8" s="1"/>
  <c r="F275" i="8" s="1"/>
  <c r="F276" i="8" s="1"/>
  <c r="F277" i="8" s="1"/>
  <c r="F278" i="8" s="1"/>
  <c r="F279" i="8" s="1"/>
  <c r="F280" i="8" s="1"/>
  <c r="F281" i="8" s="1"/>
  <c r="F282" i="8" s="1"/>
  <c r="F283" i="8" s="1"/>
  <c r="F284" i="8" s="1"/>
  <c r="F285" i="8" s="1"/>
  <c r="F286" i="8" s="1"/>
  <c r="F287" i="8" s="1"/>
  <c r="F288" i="8" s="1"/>
  <c r="F289" i="8" s="1"/>
  <c r="F290" i="8" s="1"/>
  <c r="F291" i="8" s="1"/>
  <c r="F292" i="8" s="1"/>
  <c r="F293" i="8" s="1"/>
  <c r="F294" i="8" s="1"/>
  <c r="F295" i="8" s="1"/>
  <c r="F296" i="8" s="1"/>
  <c r="F297" i="8" s="1"/>
  <c r="F298" i="8" s="1"/>
  <c r="F299" i="8" s="1"/>
  <c r="F300" i="8" s="1"/>
  <c r="F301" i="8" s="1"/>
  <c r="F302" i="8" s="1"/>
  <c r="F303" i="8" s="1"/>
  <c r="F304" i="8" s="1"/>
  <c r="F305" i="8" s="1"/>
  <c r="F306" i="8" s="1"/>
  <c r="F307" i="8" s="1"/>
  <c r="F308" i="8" s="1"/>
  <c r="F309" i="8" s="1"/>
  <c r="F310" i="8" s="1"/>
  <c r="F311" i="8" s="1"/>
  <c r="F312" i="8" s="1"/>
  <c r="F313" i="8" s="1"/>
  <c r="F314" i="8" s="1"/>
  <c r="F315" i="8" s="1"/>
  <c r="F316" i="8" s="1"/>
  <c r="F317" i="8" s="1"/>
  <c r="F318" i="8" s="1"/>
  <c r="F319" i="8" s="1"/>
  <c r="F320" i="8" s="1"/>
  <c r="F321" i="8" s="1"/>
  <c r="F322" i="8" s="1"/>
  <c r="F323" i="8" s="1"/>
  <c r="F324" i="8" s="1"/>
  <c r="F325" i="8" s="1"/>
  <c r="F326" i="8" s="1"/>
  <c r="F327" i="8" s="1"/>
  <c r="F328" i="8" s="1"/>
  <c r="F329" i="8" s="1"/>
  <c r="F330" i="8" s="1"/>
  <c r="F331" i="8" s="1"/>
  <c r="F332" i="8" s="1"/>
  <c r="F333" i="8" s="1"/>
  <c r="F334" i="8" s="1"/>
  <c r="F335" i="8" s="1"/>
  <c r="F336" i="8" s="1"/>
  <c r="F337" i="8" s="1"/>
  <c r="F338" i="8" s="1"/>
  <c r="F339" i="8" s="1"/>
  <c r="F340" i="8" s="1"/>
  <c r="F341" i="8" s="1"/>
  <c r="F342" i="8" s="1"/>
  <c r="F343" i="8" s="1"/>
  <c r="F344" i="8" s="1"/>
  <c r="F345" i="8" s="1"/>
  <c r="F346" i="8" s="1"/>
  <c r="F347" i="8" s="1"/>
  <c r="F348" i="8" s="1"/>
  <c r="F349" i="8" s="1"/>
  <c r="F350" i="8" s="1"/>
  <c r="F351" i="8" s="1"/>
  <c r="F352" i="8" s="1"/>
  <c r="F353" i="8" s="1"/>
  <c r="F354" i="8" s="1"/>
  <c r="F355" i="8" s="1"/>
  <c r="F356" i="8" s="1"/>
  <c r="F357" i="8" s="1"/>
  <c r="F358" i="8" s="1"/>
  <c r="F359" i="8" s="1"/>
  <c r="F360" i="8" s="1"/>
  <c r="F361" i="8" s="1"/>
  <c r="F362" i="8" s="1"/>
  <c r="F363" i="8" s="1"/>
  <c r="F364" i="8" s="1"/>
  <c r="X4" i="8"/>
  <c r="Y4" i="8" s="1"/>
  <c r="Z4" i="8" s="1"/>
  <c r="AA4" i="8" s="1"/>
  <c r="AB4" i="8" s="1"/>
  <c r="AC4" i="8" s="1"/>
  <c r="AD4" i="8" s="1"/>
  <c r="AE4" i="8" s="1"/>
  <c r="AF4" i="8" s="1"/>
  <c r="AG4" i="8" s="1"/>
  <c r="AH4" i="8" s="1"/>
  <c r="AI4" i="8" s="1"/>
  <c r="AJ4" i="8" s="1"/>
  <c r="AK4" i="8" s="1"/>
  <c r="AL4" i="8" s="1"/>
  <c r="AM4" i="8" s="1"/>
  <c r="AN4" i="8" s="1"/>
  <c r="AO4" i="8" s="1"/>
  <c r="AP4" i="8" s="1"/>
  <c r="AQ4" i="8" s="1"/>
  <c r="AR4" i="8" s="1"/>
  <c r="AS4" i="8" s="1"/>
  <c r="AT4" i="8" s="1"/>
  <c r="AU4" i="8" s="1"/>
  <c r="AV4" i="8" s="1"/>
  <c r="AW4" i="8" s="1"/>
  <c r="AX4" i="8" s="1"/>
  <c r="AY4" i="8" s="1"/>
  <c r="AZ4" i="8" s="1"/>
  <c r="BA4" i="8" s="1"/>
  <c r="BB4" i="8" s="1"/>
  <c r="BC4" i="8" s="1"/>
  <c r="BD4" i="8" s="1"/>
  <c r="BE4" i="8" s="1"/>
  <c r="BF4" i="8" s="1"/>
  <c r="BG4" i="8" s="1"/>
  <c r="BH4" i="8" s="1"/>
  <c r="BI4" i="8" s="1"/>
  <c r="BJ4" i="8" s="1"/>
  <c r="BK4" i="8" s="1"/>
  <c r="BL4" i="8" s="1"/>
  <c r="BM4" i="8" s="1"/>
  <c r="BN4" i="8" s="1"/>
  <c r="BO4" i="8" s="1"/>
  <c r="BP4" i="8" s="1"/>
  <c r="BQ4" i="8" s="1"/>
  <c r="BR4" i="8" s="1"/>
  <c r="BS4" i="8" s="1"/>
  <c r="BT4" i="8" s="1"/>
  <c r="BU4" i="8" s="1"/>
  <c r="BV4" i="8" s="1"/>
  <c r="BW4" i="8" s="1"/>
  <c r="BX4" i="8" s="1"/>
  <c r="BY4" i="8" s="1"/>
  <c r="BZ4" i="8" s="1"/>
  <c r="CA4" i="8" s="1"/>
  <c r="CB4" i="8" s="1"/>
  <c r="CC4" i="8" s="1"/>
  <c r="CD4" i="8" s="1"/>
  <c r="CE4" i="8" s="1"/>
  <c r="CF4" i="8" s="1"/>
  <c r="CG4" i="8" s="1"/>
  <c r="CH4" i="8" s="1"/>
  <c r="CI4" i="8" s="1"/>
  <c r="CJ4" i="8" s="1"/>
  <c r="CK4" i="8" s="1"/>
  <c r="CL4" i="8" s="1"/>
  <c r="CM4" i="8" s="1"/>
  <c r="CN4" i="8" s="1"/>
  <c r="CO4" i="8" s="1"/>
  <c r="CP4" i="8" s="1"/>
  <c r="CQ4" i="8" s="1"/>
  <c r="CR4" i="8" s="1"/>
  <c r="CS4" i="8" s="1"/>
  <c r="CT4" i="8" s="1"/>
  <c r="CU4" i="8" s="1"/>
  <c r="CV4" i="8" s="1"/>
  <c r="CW4" i="8" s="1"/>
  <c r="CX4" i="8" s="1"/>
  <c r="CY4" i="8" s="1"/>
  <c r="CZ4" i="8" s="1"/>
  <c r="DA4" i="8" s="1"/>
  <c r="DB4" i="8" s="1"/>
  <c r="DC4" i="8" s="1"/>
  <c r="DD4" i="8" s="1"/>
  <c r="DE4" i="8" s="1"/>
  <c r="DF4" i="8" s="1"/>
  <c r="DG4" i="8" s="1"/>
  <c r="DH4" i="8" s="1"/>
  <c r="DI4" i="8" s="1"/>
  <c r="DJ4" i="8" s="1"/>
  <c r="DK4" i="8" s="1"/>
  <c r="DL4" i="8" s="1"/>
  <c r="DM4" i="8" s="1"/>
  <c r="DN4" i="8" s="1"/>
  <c r="DO4" i="8" s="1"/>
  <c r="DP4" i="8" s="1"/>
  <c r="DQ4" i="8" s="1"/>
  <c r="DR4" i="8" s="1"/>
  <c r="DS4" i="8" s="1"/>
  <c r="DT4" i="8" s="1"/>
  <c r="DU4" i="8" s="1"/>
  <c r="DV4" i="8" s="1"/>
  <c r="DW4" i="8" s="1"/>
  <c r="DX4" i="8" s="1"/>
  <c r="DY4" i="8" s="1"/>
  <c r="DZ4" i="8" s="1"/>
  <c r="EA4" i="8" s="1"/>
  <c r="EB4" i="8" s="1"/>
  <c r="EC4" i="8" s="1"/>
  <c r="ED4" i="8" s="1"/>
  <c r="EE4" i="8" s="1"/>
  <c r="EF4" i="8" s="1"/>
  <c r="EG4" i="8" s="1"/>
  <c r="EH4" i="8" s="1"/>
  <c r="EI4" i="8" s="1"/>
  <c r="EJ4" i="8" s="1"/>
  <c r="EK4" i="8" s="1"/>
  <c r="EL4" i="8" s="1"/>
  <c r="EM4" i="8" s="1"/>
  <c r="EN4" i="8" s="1"/>
  <c r="EO4" i="8" s="1"/>
  <c r="EP4" i="8" s="1"/>
  <c r="EQ4" i="8" s="1"/>
  <c r="ER4" i="8" s="1"/>
  <c r="ES4" i="8" s="1"/>
  <c r="ET4" i="8" s="1"/>
  <c r="EU4" i="8" s="1"/>
  <c r="EV4" i="8" s="1"/>
  <c r="EW4" i="8" s="1"/>
  <c r="EX4" i="8" s="1"/>
  <c r="EY4" i="8" s="1"/>
  <c r="EZ4" i="8" s="1"/>
  <c r="FA4" i="8" s="1"/>
  <c r="FB4" i="8" s="1"/>
  <c r="FC4" i="8" s="1"/>
  <c r="FD4" i="8" s="1"/>
  <c r="FE4" i="8" s="1"/>
  <c r="FF4" i="8" s="1"/>
  <c r="FG4" i="8" s="1"/>
  <c r="FH4" i="8" s="1"/>
  <c r="FI4" i="8" s="1"/>
  <c r="FJ4" i="8" s="1"/>
  <c r="FK4" i="8" s="1"/>
  <c r="FL4" i="8" s="1"/>
  <c r="FM4" i="8" s="1"/>
  <c r="FN4" i="8" s="1"/>
  <c r="FO4" i="8" s="1"/>
  <c r="FP4" i="8" s="1"/>
  <c r="FQ4" i="8" s="1"/>
  <c r="FR4" i="8" s="1"/>
  <c r="FS4" i="8" s="1"/>
  <c r="E40" i="9"/>
  <c r="Y14" i="8"/>
  <c r="AB18" i="8"/>
  <c r="Z14" i="8" l="1"/>
  <c r="Y20" i="8"/>
  <c r="AC18" i="8"/>
  <c r="E7" i="8"/>
  <c r="AK11" i="8"/>
  <c r="AD18" i="8" l="1"/>
  <c r="Z20" i="8"/>
  <c r="AL11" i="8"/>
  <c r="E8" i="8"/>
  <c r="AA14" i="8"/>
  <c r="AE18" i="8" l="1"/>
  <c r="AA20" i="8"/>
  <c r="AB14" i="8"/>
  <c r="E9" i="8"/>
  <c r="AM11" i="8"/>
  <c r="AC14" i="8" l="1"/>
  <c r="AN11" i="8"/>
  <c r="AB20" i="8"/>
  <c r="E10" i="8"/>
  <c r="AF18" i="8"/>
  <c r="AO11" i="8" l="1"/>
  <c r="AG18" i="8"/>
  <c r="AD14" i="8"/>
  <c r="E11" i="8"/>
  <c r="AC20" i="8"/>
  <c r="AP11" i="8" l="1"/>
  <c r="AE14" i="8"/>
  <c r="AD20" i="8"/>
  <c r="AH18" i="8"/>
  <c r="E12" i="8"/>
  <c r="E13" i="8" l="1"/>
  <c r="AI18" i="8"/>
  <c r="AE20" i="8"/>
  <c r="AQ11" i="8"/>
  <c r="AF14" i="8"/>
  <c r="AG14" i="8" l="1"/>
  <c r="E14" i="8"/>
  <c r="AF20" i="8"/>
  <c r="AJ18" i="8"/>
  <c r="AR11" i="8"/>
  <c r="AK18" i="8" l="1"/>
  <c r="AG20" i="8"/>
  <c r="E15" i="8"/>
  <c r="AS11" i="8"/>
  <c r="AH14" i="8"/>
  <c r="AH20" i="8" l="1"/>
  <c r="AL18" i="8"/>
  <c r="AI14" i="8"/>
  <c r="AT11" i="8"/>
  <c r="E16" i="8"/>
  <c r="AI20" i="8" l="1"/>
  <c r="E17" i="8"/>
  <c r="AU11" i="8"/>
  <c r="AJ14" i="8"/>
  <c r="AM18" i="8"/>
  <c r="AV11" i="8" l="1"/>
  <c r="AJ20" i="8"/>
  <c r="E18" i="8"/>
  <c r="AN18" i="8"/>
  <c r="AK14" i="8"/>
  <c r="AO18" i="8" l="1"/>
  <c r="E19" i="8"/>
  <c r="AK20" i="8"/>
  <c r="AL14" i="8"/>
  <c r="AW11" i="8"/>
  <c r="AL20" i="8" l="1"/>
  <c r="AX11" i="8"/>
  <c r="AM14" i="8"/>
  <c r="AP18" i="8"/>
  <c r="E20" i="8"/>
  <c r="AN14" i="8" l="1"/>
  <c r="AY11" i="8"/>
  <c r="AQ18" i="8"/>
  <c r="E21" i="8"/>
  <c r="AM20" i="8"/>
  <c r="AN20" i="8" l="1"/>
  <c r="AZ11" i="8"/>
  <c r="E22" i="8"/>
  <c r="AR18" i="8"/>
  <c r="AO14" i="8"/>
  <c r="AS18" i="8" l="1"/>
  <c r="BA11" i="8"/>
  <c r="E23" i="8"/>
  <c r="AP14" i="8"/>
  <c r="AO20" i="8"/>
  <c r="AQ14" i="8" l="1"/>
  <c r="E24" i="8"/>
  <c r="AT18" i="8"/>
  <c r="BB11" i="8"/>
  <c r="AP20" i="8"/>
  <c r="AU18" i="8" l="1"/>
  <c r="AQ20" i="8"/>
  <c r="BC11" i="8"/>
  <c r="E25" i="8"/>
  <c r="AR14" i="8"/>
  <c r="E26" i="8" l="1"/>
  <c r="AV18" i="8"/>
  <c r="BD11" i="8"/>
  <c r="AS14" i="8"/>
  <c r="AR20" i="8"/>
  <c r="AT14" i="8" l="1"/>
  <c r="E27" i="8"/>
  <c r="AS20" i="8"/>
  <c r="BE11" i="8"/>
  <c r="AW18" i="8"/>
  <c r="AX18" i="8" l="1"/>
  <c r="BF11" i="8"/>
  <c r="AT20" i="8"/>
  <c r="E28" i="8"/>
  <c r="AU14" i="8"/>
  <c r="E29" i="8" l="1"/>
  <c r="BG11" i="8"/>
  <c r="AU20" i="8"/>
  <c r="AV14" i="8"/>
  <c r="AY18" i="8"/>
  <c r="E30" i="8" l="1"/>
  <c r="AW14" i="8"/>
  <c r="AV20" i="8"/>
  <c r="BH11" i="8"/>
  <c r="AZ18" i="8"/>
  <c r="AW20" i="8" l="1"/>
  <c r="BA18" i="8"/>
  <c r="BI11" i="8"/>
  <c r="AX14" i="8"/>
  <c r="E31" i="8"/>
  <c r="AX20" i="8" l="1"/>
  <c r="BB18" i="8"/>
  <c r="AY14" i="8"/>
  <c r="BJ11" i="8"/>
  <c r="E32" i="8"/>
  <c r="E33" i="8" l="1"/>
  <c r="AZ14" i="8"/>
  <c r="BK11" i="8"/>
  <c r="BC18" i="8"/>
  <c r="AY20" i="8"/>
  <c r="BD18" i="8" l="1"/>
  <c r="BA14" i="8"/>
  <c r="BL11" i="8"/>
  <c r="AZ20" i="8"/>
  <c r="E34" i="8"/>
  <c r="BB14" i="8" l="1"/>
  <c r="BM11" i="8"/>
  <c r="E35" i="8"/>
  <c r="BE18" i="8"/>
  <c r="BA20" i="8"/>
  <c r="E36" i="8" l="1"/>
  <c r="BN11" i="8"/>
  <c r="BC14" i="8"/>
  <c r="BF18" i="8"/>
  <c r="BB20" i="8"/>
  <c r="BG18" i="8" l="1"/>
  <c r="BO11" i="8"/>
  <c r="BD14" i="8"/>
  <c r="E37" i="8"/>
  <c r="BC20" i="8"/>
  <c r="BE14" i="8" l="1"/>
  <c r="E38" i="8"/>
  <c r="BD20" i="8"/>
  <c r="BH18" i="8"/>
  <c r="BP11" i="8"/>
  <c r="BI18" i="8" l="1"/>
  <c r="BE20" i="8"/>
  <c r="BQ11" i="8"/>
  <c r="E39" i="8"/>
  <c r="BF14" i="8"/>
  <c r="BR11" i="8" l="1"/>
  <c r="BF20" i="8"/>
  <c r="E40" i="8"/>
  <c r="BJ18" i="8"/>
  <c r="BG14" i="8"/>
  <c r="BK18" i="8" l="1"/>
  <c r="E41" i="8"/>
  <c r="BG20" i="8"/>
  <c r="BH14" i="8"/>
  <c r="BS11" i="8"/>
  <c r="BI14" i="8" l="1"/>
  <c r="E42" i="8"/>
  <c r="BH20" i="8"/>
  <c r="BT11" i="8"/>
  <c r="BL18" i="8"/>
  <c r="BM18" i="8" l="1"/>
  <c r="BI20" i="8"/>
  <c r="BJ14" i="8"/>
  <c r="E43" i="8"/>
  <c r="BU11" i="8"/>
  <c r="BK14" i="8" l="1"/>
  <c r="BN18" i="8"/>
  <c r="BJ20" i="8"/>
  <c r="BV11" i="8"/>
  <c r="E44" i="8"/>
  <c r="BK20" i="8" l="1"/>
  <c r="BW11" i="8"/>
  <c r="BO18" i="8"/>
  <c r="E45" i="8"/>
  <c r="BL14" i="8"/>
  <c r="BP18" i="8" l="1"/>
  <c r="BM14" i="8"/>
  <c r="BL20" i="8"/>
  <c r="E46" i="8"/>
  <c r="BX11" i="8"/>
  <c r="E47" i="8" l="1"/>
  <c r="BM20" i="8"/>
  <c r="BN14" i="8"/>
  <c r="BQ18" i="8"/>
  <c r="BY11" i="8"/>
  <c r="BN20" i="8" l="1"/>
  <c r="BO14" i="8"/>
  <c r="BR18" i="8"/>
  <c r="BZ11" i="8"/>
  <c r="E48" i="8"/>
  <c r="E49" i="8" l="1"/>
  <c r="CA11" i="8"/>
  <c r="BP14" i="8"/>
  <c r="BO20" i="8"/>
  <c r="BS18" i="8"/>
  <c r="CB11" i="8" l="1"/>
  <c r="BP20" i="8"/>
  <c r="BQ14" i="8"/>
  <c r="E50" i="8"/>
  <c r="BT18" i="8"/>
  <c r="E51" i="8" l="1"/>
  <c r="CC11" i="8"/>
  <c r="BU18" i="8"/>
  <c r="BR14" i="8"/>
  <c r="BQ20" i="8"/>
  <c r="BV18" i="8" l="1"/>
  <c r="BS14" i="8"/>
  <c r="CD11" i="8"/>
  <c r="E52" i="8"/>
  <c r="BR20" i="8"/>
  <c r="BT14" i="8" l="1"/>
  <c r="CE11" i="8"/>
  <c r="BS20" i="8"/>
  <c r="BW18" i="8"/>
  <c r="E53" i="8"/>
  <c r="BT20" i="8" l="1"/>
  <c r="BU14" i="8"/>
  <c r="BX18" i="8"/>
  <c r="CF11" i="8"/>
  <c r="E54" i="8"/>
  <c r="BY18" i="8" l="1"/>
  <c r="E55" i="8"/>
  <c r="CG11" i="8"/>
  <c r="BU20" i="8"/>
  <c r="BV14" i="8"/>
  <c r="BW14" i="8" l="1"/>
  <c r="BV20" i="8"/>
  <c r="CH11" i="8"/>
  <c r="E56" i="8"/>
  <c r="BZ18" i="8"/>
  <c r="BW20" i="8" l="1"/>
  <c r="E57" i="8"/>
  <c r="CI11" i="8"/>
  <c r="BX14" i="8"/>
  <c r="CA18" i="8"/>
  <c r="CB18" i="8" l="1"/>
  <c r="BY14" i="8"/>
  <c r="E58" i="8"/>
  <c r="BX20" i="8"/>
  <c r="CJ11" i="8"/>
  <c r="BY20" i="8" l="1"/>
  <c r="E59" i="8"/>
  <c r="CC18" i="8"/>
  <c r="CK11" i="8"/>
  <c r="BZ14" i="8"/>
  <c r="E60" i="8" l="1"/>
  <c r="CD18" i="8"/>
  <c r="BZ20" i="8"/>
  <c r="CL11" i="8"/>
  <c r="CA14" i="8"/>
  <c r="CM11" i="8" l="1"/>
  <c r="CA20" i="8"/>
  <c r="CE18" i="8"/>
  <c r="CB14" i="8"/>
  <c r="E61" i="8"/>
  <c r="CF18" i="8" l="1"/>
  <c r="CN11" i="8"/>
  <c r="CC14" i="8"/>
  <c r="CB20" i="8"/>
  <c r="E62" i="8"/>
  <c r="CD14" i="8" l="1"/>
  <c r="E63" i="8"/>
  <c r="CO11" i="8"/>
  <c r="CG18" i="8"/>
  <c r="CC20" i="8"/>
  <c r="CP11" i="8" l="1"/>
  <c r="CH18" i="8"/>
  <c r="CE14" i="8"/>
  <c r="CD20" i="8"/>
  <c r="E64" i="8"/>
  <c r="CF14" i="8" l="1"/>
  <c r="CI18" i="8"/>
  <c r="CQ11" i="8"/>
  <c r="E65" i="8"/>
  <c r="CE20" i="8"/>
  <c r="CF20" i="8" l="1"/>
  <c r="CG14" i="8"/>
  <c r="E66" i="8"/>
  <c r="CR11" i="8"/>
  <c r="CJ18" i="8"/>
  <c r="E67" i="8" l="1"/>
  <c r="CK18" i="8"/>
  <c r="CG20" i="8"/>
  <c r="CS11" i="8"/>
  <c r="CH14" i="8"/>
  <c r="CT11" i="8" l="1"/>
  <c r="CL18" i="8"/>
  <c r="CH20" i="8"/>
  <c r="CI14" i="8"/>
  <c r="E68" i="8"/>
  <c r="CI20" i="8" l="1"/>
  <c r="E69" i="8"/>
  <c r="CU11" i="8"/>
  <c r="CM18" i="8"/>
  <c r="CJ14" i="8"/>
  <c r="CN18" i="8" l="1"/>
  <c r="CV11" i="8"/>
  <c r="E70" i="8"/>
  <c r="CJ20" i="8"/>
  <c r="CK14" i="8"/>
  <c r="E71" i="8" l="1"/>
  <c r="CK20" i="8"/>
  <c r="CO18" i="8"/>
  <c r="CL14" i="8"/>
  <c r="CW11" i="8"/>
  <c r="CM14" i="8" l="1"/>
  <c r="CP18" i="8"/>
  <c r="CL20" i="8"/>
  <c r="CX11" i="8"/>
  <c r="E72" i="8"/>
  <c r="CM20" i="8" l="1"/>
  <c r="CQ18" i="8"/>
  <c r="E73" i="8"/>
  <c r="CY11" i="8"/>
  <c r="CN14" i="8"/>
  <c r="CZ11" i="8" l="1"/>
  <c r="E74" i="8"/>
  <c r="CR18" i="8"/>
  <c r="CO14" i="8"/>
  <c r="CN20" i="8"/>
  <c r="CO20" i="8" l="1"/>
  <c r="CP14" i="8"/>
  <c r="E75" i="8"/>
  <c r="DA11" i="8"/>
  <c r="CS18" i="8"/>
  <c r="DB11" i="8" l="1"/>
  <c r="CQ14" i="8"/>
  <c r="CT18" i="8"/>
  <c r="CP20" i="8"/>
  <c r="E76" i="8"/>
  <c r="CU18" i="8" l="1"/>
  <c r="CQ20" i="8"/>
  <c r="CR14" i="8"/>
  <c r="DC11" i="8"/>
  <c r="E77" i="8"/>
  <c r="E78" i="8" l="1"/>
  <c r="DD11" i="8"/>
  <c r="CS14" i="8"/>
  <c r="CR20" i="8"/>
  <c r="CV18" i="8"/>
  <c r="CW18" i="8" l="1"/>
  <c r="CT14" i="8"/>
  <c r="DE11" i="8"/>
  <c r="CS20" i="8"/>
  <c r="E79" i="8"/>
  <c r="E80" i="8" l="1"/>
  <c r="CX18" i="8"/>
  <c r="DF11" i="8"/>
  <c r="CU14" i="8"/>
  <c r="CT20" i="8"/>
  <c r="CY18" i="8" l="1"/>
  <c r="CV14" i="8"/>
  <c r="DG11" i="8"/>
  <c r="E81" i="8"/>
  <c r="CU20" i="8"/>
  <c r="DH11" i="8" l="1"/>
  <c r="CZ18" i="8"/>
  <c r="CW14" i="8"/>
  <c r="CV20" i="8"/>
  <c r="E82" i="8"/>
  <c r="CW20" i="8" l="1"/>
  <c r="DA18" i="8"/>
  <c r="CX14" i="8"/>
  <c r="E83" i="8"/>
  <c r="DI11" i="8"/>
  <c r="DJ11" i="8" l="1"/>
  <c r="CY14" i="8"/>
  <c r="DB18" i="8"/>
  <c r="E84" i="8"/>
  <c r="CX20" i="8"/>
  <c r="E85" i="8" l="1"/>
  <c r="CZ14" i="8"/>
  <c r="DC18" i="8"/>
  <c r="CY20" i="8"/>
  <c r="DK11" i="8"/>
  <c r="DD18" i="8" l="1"/>
  <c r="DA14" i="8"/>
  <c r="E86" i="8"/>
  <c r="CZ20" i="8"/>
  <c r="DL11" i="8"/>
  <c r="DA20" i="8" l="1"/>
  <c r="E87" i="8"/>
  <c r="DB14" i="8"/>
  <c r="DE18" i="8"/>
  <c r="DM11" i="8"/>
  <c r="DC14" i="8" l="1"/>
  <c r="E88" i="8"/>
  <c r="DB20" i="8"/>
  <c r="DF18" i="8"/>
  <c r="DN11" i="8"/>
  <c r="DO11" i="8" l="1"/>
  <c r="DG18" i="8"/>
  <c r="DC20" i="8"/>
  <c r="E89" i="8"/>
  <c r="DD14" i="8"/>
  <c r="E90" i="8" l="1"/>
  <c r="DD20" i="8"/>
  <c r="DH18" i="8"/>
  <c r="DE14" i="8"/>
  <c r="DP11" i="8"/>
  <c r="DF14" i="8" l="1"/>
  <c r="DI18" i="8"/>
  <c r="DE20" i="8"/>
  <c r="DQ11" i="8"/>
  <c r="E91" i="8"/>
  <c r="DF20" i="8" l="1"/>
  <c r="E92" i="8"/>
  <c r="DJ18" i="8"/>
  <c r="DG14" i="8"/>
  <c r="DR11" i="8"/>
  <c r="DS11" i="8" l="1"/>
  <c r="DH14" i="8"/>
  <c r="E93" i="8"/>
  <c r="DK18" i="8"/>
  <c r="DG20" i="8"/>
  <c r="DL18" i="8" l="1"/>
  <c r="DI14" i="8"/>
  <c r="E94" i="8"/>
  <c r="DH20" i="8"/>
  <c r="DT11" i="8"/>
  <c r="DI20" i="8" l="1"/>
  <c r="E95" i="8"/>
  <c r="DJ14" i="8"/>
  <c r="DU11" i="8"/>
  <c r="DM18" i="8"/>
  <c r="E96" i="8" l="1"/>
  <c r="DN18" i="8"/>
  <c r="DV11" i="8"/>
  <c r="DK14" i="8"/>
  <c r="DJ20" i="8"/>
  <c r="DO18" i="8" l="1"/>
  <c r="DL14" i="8"/>
  <c r="DW11" i="8"/>
  <c r="E97" i="8"/>
  <c r="DK20" i="8"/>
  <c r="E98" i="8" l="1"/>
  <c r="DM14" i="8"/>
  <c r="DX11" i="8"/>
  <c r="DL20" i="8"/>
  <c r="DP18" i="8"/>
  <c r="DQ18" i="8" l="1"/>
  <c r="DY11" i="8"/>
  <c r="DM20" i="8"/>
  <c r="DN14" i="8"/>
  <c r="E99" i="8"/>
  <c r="DO14" i="8" l="1"/>
  <c r="E100" i="8"/>
  <c r="DN20" i="8"/>
  <c r="DZ11" i="8"/>
  <c r="DR18" i="8"/>
  <c r="EA11" i="8" l="1"/>
  <c r="DO20" i="8"/>
  <c r="E101" i="8"/>
  <c r="DP14" i="8"/>
  <c r="DS18" i="8"/>
  <c r="DT18" i="8" l="1"/>
  <c r="DQ14" i="8"/>
  <c r="E102" i="8"/>
  <c r="DP20" i="8"/>
  <c r="EB11" i="8"/>
  <c r="EC11" i="8" l="1"/>
  <c r="E103" i="8"/>
  <c r="DQ20" i="8"/>
  <c r="DR14" i="8"/>
  <c r="DU18" i="8"/>
  <c r="DR20" i="8" l="1"/>
  <c r="DV18" i="8"/>
  <c r="ED11" i="8"/>
  <c r="E104" i="8"/>
  <c r="DS14" i="8"/>
  <c r="DW18" i="8" l="1"/>
  <c r="E105" i="8"/>
  <c r="EE11" i="8"/>
  <c r="DS20" i="8"/>
  <c r="DT14" i="8"/>
  <c r="E106" i="8" l="1"/>
  <c r="DU14" i="8"/>
  <c r="DX18" i="8"/>
  <c r="DT20" i="8"/>
  <c r="EF11" i="8"/>
  <c r="EG11" i="8" l="1"/>
  <c r="DV14" i="8"/>
  <c r="DU20" i="8"/>
  <c r="DY18" i="8"/>
  <c r="E107" i="8"/>
  <c r="DZ18" i="8" l="1"/>
  <c r="E108" i="8"/>
  <c r="DV20" i="8"/>
  <c r="DW14" i="8"/>
  <c r="EH11" i="8"/>
  <c r="DW20" i="8" l="1"/>
  <c r="DX14" i="8"/>
  <c r="E109" i="8"/>
  <c r="EA18" i="8"/>
  <c r="EI11" i="8"/>
  <c r="EB18" i="8" l="1"/>
  <c r="DY14" i="8"/>
  <c r="E110" i="8"/>
  <c r="EJ11" i="8"/>
  <c r="DX20" i="8"/>
  <c r="DY20" i="8" l="1"/>
  <c r="DZ14" i="8"/>
  <c r="E111" i="8"/>
  <c r="EK11" i="8"/>
  <c r="EC18" i="8"/>
  <c r="EA14" i="8" l="1"/>
  <c r="EL11" i="8"/>
  <c r="E112" i="8"/>
  <c r="ED18" i="8"/>
  <c r="DZ20" i="8"/>
  <c r="EE18" i="8" l="1"/>
  <c r="EM11" i="8"/>
  <c r="E113" i="8"/>
  <c r="EB14" i="8"/>
  <c r="EA20" i="8"/>
  <c r="EB20" i="8" l="1"/>
  <c r="EC14" i="8"/>
  <c r="E114" i="8"/>
  <c r="EN11" i="8"/>
  <c r="EF18" i="8"/>
  <c r="EO11" i="8" l="1"/>
  <c r="E115" i="8"/>
  <c r="ED14" i="8"/>
  <c r="EG18" i="8"/>
  <c r="EC20" i="8"/>
  <c r="EE14" i="8" l="1"/>
  <c r="EH18" i="8"/>
  <c r="ED20" i="8"/>
  <c r="E116" i="8"/>
  <c r="EP11" i="8"/>
  <c r="E117" i="8" l="1"/>
  <c r="EF14" i="8"/>
  <c r="EI18" i="8"/>
  <c r="EE20" i="8"/>
  <c r="EQ11" i="8"/>
  <c r="EG14" i="8" l="1"/>
  <c r="EF20" i="8"/>
  <c r="ER11" i="8"/>
  <c r="E118" i="8"/>
  <c r="EJ18" i="8"/>
  <c r="E119" i="8" l="1"/>
  <c r="EG20" i="8"/>
  <c r="ES11" i="8"/>
  <c r="EH14" i="8"/>
  <c r="EK18" i="8"/>
  <c r="EL18" i="8" l="1"/>
  <c r="EI14" i="8"/>
  <c r="ET11" i="8"/>
  <c r="EH20" i="8"/>
  <c r="E120" i="8"/>
  <c r="EM18" i="8" l="1"/>
  <c r="EU11" i="8"/>
  <c r="EJ14" i="8"/>
  <c r="EI20" i="8"/>
  <c r="E121" i="8"/>
  <c r="EV11" i="8" l="1"/>
  <c r="EK14" i="8"/>
  <c r="EJ20" i="8"/>
  <c r="EN18" i="8"/>
  <c r="E122" i="8"/>
  <c r="E123" i="8" l="1"/>
  <c r="EK20" i="8"/>
  <c r="EL14" i="8"/>
  <c r="EW11" i="8"/>
  <c r="EO18" i="8"/>
  <c r="EX11" i="8" l="1"/>
  <c r="EM14" i="8"/>
  <c r="EP18" i="8"/>
  <c r="EL20" i="8"/>
  <c r="E124" i="8"/>
  <c r="EQ18" i="8" l="1"/>
  <c r="EM20" i="8"/>
  <c r="EN14" i="8"/>
  <c r="E125" i="8"/>
  <c r="EY11" i="8"/>
  <c r="E126" i="8" l="1"/>
  <c r="EO14" i="8"/>
  <c r="EN20" i="8"/>
  <c r="ER18" i="8"/>
  <c r="EZ11" i="8"/>
  <c r="ES18" i="8" l="1"/>
  <c r="EP14" i="8"/>
  <c r="EO20" i="8"/>
  <c r="E127" i="8"/>
  <c r="FA11" i="8"/>
  <c r="E128" i="8" l="1"/>
  <c r="EP20" i="8"/>
  <c r="EQ14" i="8"/>
  <c r="FB11" i="8"/>
  <c r="ET18" i="8"/>
  <c r="ER14" i="8" l="1"/>
  <c r="EU18" i="8"/>
  <c r="FC11" i="8"/>
  <c r="EQ20" i="8"/>
  <c r="E129" i="8"/>
  <c r="EV18" i="8" l="1"/>
  <c r="FD11" i="8"/>
  <c r="ER20" i="8"/>
  <c r="ES14" i="8"/>
  <c r="E130" i="8"/>
  <c r="ET14" i="8" l="1"/>
  <c r="EW18" i="8"/>
  <c r="ES20" i="8"/>
  <c r="FE11" i="8"/>
  <c r="E131" i="8"/>
  <c r="E132" i="8" l="1"/>
  <c r="EX18" i="8"/>
  <c r="EU14" i="8"/>
  <c r="FF11" i="8"/>
  <c r="ET20" i="8"/>
  <c r="EY18" i="8" l="1"/>
  <c r="EU20" i="8"/>
  <c r="FG11" i="8"/>
  <c r="EV14" i="8"/>
  <c r="E133" i="8"/>
  <c r="EW14" i="8" l="1"/>
  <c r="FH11" i="8"/>
  <c r="EV20" i="8"/>
  <c r="EZ18" i="8"/>
  <c r="E134" i="8"/>
  <c r="FA18" i="8" l="1"/>
  <c r="EW20" i="8"/>
  <c r="FI11" i="8"/>
  <c r="E135" i="8"/>
  <c r="EX14" i="8"/>
  <c r="E136" i="8" l="1"/>
  <c r="FB18" i="8"/>
  <c r="FJ11" i="8"/>
  <c r="EX20" i="8"/>
  <c r="EY14" i="8"/>
  <c r="EY20" i="8" l="1"/>
  <c r="FK11" i="8"/>
  <c r="FC18" i="8"/>
  <c r="EZ14" i="8"/>
  <c r="E137" i="8"/>
  <c r="E138" i="8" l="1"/>
  <c r="FD18" i="8"/>
  <c r="FA14" i="8"/>
  <c r="FL11" i="8"/>
  <c r="EZ20" i="8"/>
  <c r="FE18" i="8" l="1"/>
  <c r="FM11" i="8"/>
  <c r="FB14" i="8"/>
  <c r="FA20" i="8"/>
  <c r="E139" i="8"/>
  <c r="FB20" i="8" l="1"/>
  <c r="FN11" i="8"/>
  <c r="FF18" i="8"/>
  <c r="FC14" i="8"/>
  <c r="E140" i="8"/>
  <c r="FD14" i="8" l="1"/>
  <c r="FG18" i="8"/>
  <c r="FO11" i="8"/>
  <c r="E141" i="8"/>
  <c r="FC20" i="8"/>
  <c r="E142" i="8" l="1"/>
  <c r="FP11" i="8"/>
  <c r="FE14" i="8"/>
  <c r="FH18" i="8"/>
  <c r="FD20" i="8"/>
  <c r="FF14" i="8" l="1"/>
  <c r="FQ11" i="8"/>
  <c r="FE20" i="8"/>
  <c r="FI18" i="8"/>
  <c r="E143" i="8"/>
  <c r="E144" i="8" l="1"/>
  <c r="FF20" i="8"/>
  <c r="FR11" i="8"/>
  <c r="FI19" i="8"/>
  <c r="FJ18" i="8"/>
  <c r="FG14" i="8"/>
  <c r="FH14" i="8" l="1"/>
  <c r="FS11" i="8"/>
  <c r="FJ19" i="8"/>
  <c r="FK18" i="8"/>
  <c r="FG20" i="8"/>
  <c r="E145" i="8"/>
  <c r="E146" i="8" l="1"/>
  <c r="FK19" i="8"/>
  <c r="FL18" i="8"/>
  <c r="FI14" i="8"/>
  <c r="FJ14" i="8" s="1"/>
  <c r="FK14" i="8" s="1"/>
  <c r="FL14" i="8" s="1"/>
  <c r="FM14" i="8" s="1"/>
  <c r="FN14" i="8" s="1"/>
  <c r="FO14" i="8" s="1"/>
  <c r="FP14" i="8" s="1"/>
  <c r="FQ14" i="8" s="1"/>
  <c r="FR14" i="8" s="1"/>
  <c r="FS14" i="8" s="1"/>
  <c r="FH20" i="8"/>
  <c r="FI20" i="8" l="1"/>
  <c r="FL19" i="8"/>
  <c r="FM18" i="8"/>
  <c r="E147" i="8"/>
  <c r="E148" i="8" l="1"/>
  <c r="FM19" i="8"/>
  <c r="FN18" i="8"/>
  <c r="FJ20" i="8"/>
  <c r="FK20" i="8" l="1"/>
  <c r="FN19" i="8"/>
  <c r="FO18" i="8"/>
  <c r="E149" i="8"/>
  <c r="FP18" i="8" l="1"/>
  <c r="FO19" i="8"/>
  <c r="E150" i="8"/>
  <c r="FL20" i="8"/>
  <c r="E151" i="8" l="1"/>
  <c r="FM20" i="8"/>
  <c r="FP19" i="8"/>
  <c r="FQ18" i="8"/>
  <c r="FQ19" i="8" l="1"/>
  <c r="FR18" i="8"/>
  <c r="E152" i="8"/>
  <c r="FN20" i="8"/>
  <c r="FO20" i="8" l="1"/>
  <c r="E153" i="8"/>
  <c r="FR19" i="8"/>
  <c r="FS18" i="8"/>
  <c r="FS19" i="8" s="1"/>
  <c r="E154" i="8" l="1"/>
  <c r="FP20" i="8"/>
  <c r="FQ20" i="8" l="1"/>
  <c r="E155" i="8"/>
  <c r="E156" i="8" l="1"/>
  <c r="FS20" i="8"/>
  <c r="FR20" i="8"/>
  <c r="E157" i="8" l="1"/>
  <c r="E158" i="8" l="1"/>
  <c r="E159" i="8" l="1"/>
  <c r="E160" i="8" l="1"/>
  <c r="E161" i="8" l="1"/>
  <c r="E162" i="8" l="1"/>
  <c r="E163" i="8" l="1"/>
  <c r="E164" i="8" l="1"/>
  <c r="E165" i="8" l="1"/>
  <c r="E166" i="8" l="1"/>
  <c r="E167" i="8" l="1"/>
  <c r="E168" i="8" l="1"/>
  <c r="E169" i="8" l="1"/>
  <c r="E170" i="8" l="1"/>
  <c r="E171" i="8" l="1"/>
  <c r="E172" i="8" l="1"/>
  <c r="E173" i="8" l="1"/>
  <c r="E174" i="8" l="1"/>
  <c r="E175" i="8" l="1"/>
  <c r="E176" i="8" l="1"/>
  <c r="E177" i="8" l="1"/>
  <c r="E178" i="8" l="1"/>
  <c r="E179" i="8" l="1"/>
  <c r="E180" i="8" l="1"/>
  <c r="E181" i="8" l="1"/>
  <c r="E182" i="8" l="1"/>
  <c r="E183" i="8" l="1"/>
  <c r="E184" i="8" l="1"/>
  <c r="E185" i="8" l="1"/>
  <c r="E186" i="8" l="1"/>
  <c r="E187" i="8" l="1"/>
  <c r="E188" i="8" l="1"/>
  <c r="E189" i="8" l="1"/>
  <c r="E190" i="8" l="1"/>
  <c r="E191" i="8" l="1"/>
  <c r="E192" i="8" l="1"/>
  <c r="E193" i="8" l="1"/>
  <c r="E194" i="8" l="1"/>
  <c r="E195" i="8" l="1"/>
  <c r="E196" i="8" l="1"/>
  <c r="E197" i="8" l="1"/>
  <c r="E198" i="8" l="1"/>
  <c r="E199" i="8" l="1"/>
  <c r="E200" i="8" l="1"/>
  <c r="E201" i="8" l="1"/>
  <c r="E202" i="8" l="1"/>
  <c r="E203" i="8" l="1"/>
  <c r="E204" i="8" l="1"/>
  <c r="E205" i="8" l="1"/>
  <c r="E206" i="8" l="1"/>
  <c r="E207" i="8" l="1"/>
  <c r="E208" i="8" l="1"/>
  <c r="E209" i="8" l="1"/>
  <c r="E210" i="8" l="1"/>
  <c r="E211" i="8" l="1"/>
  <c r="E212" i="8" l="1"/>
  <c r="E213" i="8" l="1"/>
  <c r="E214" i="8" l="1"/>
  <c r="E215" i="8" l="1"/>
  <c r="E216" i="8" l="1"/>
  <c r="E217" i="8" l="1"/>
  <c r="E218" i="8" l="1"/>
  <c r="E219" i="8" l="1"/>
  <c r="E220" i="8" l="1"/>
  <c r="E221" i="8" l="1"/>
  <c r="E222" i="8" l="1"/>
  <c r="E223" i="8" l="1"/>
  <c r="E224" i="8" l="1"/>
  <c r="E225" i="8" l="1"/>
  <c r="E226" i="8" l="1"/>
  <c r="E227" i="8" l="1"/>
  <c r="E228" i="8" l="1"/>
  <c r="E229" i="8" l="1"/>
  <c r="E230" i="8" l="1"/>
  <c r="E231" i="8" l="1"/>
  <c r="E232" i="8" l="1"/>
  <c r="E233" i="8" l="1"/>
  <c r="E234" i="8" l="1"/>
  <c r="E235" i="8" l="1"/>
  <c r="E236" i="8" l="1"/>
  <c r="E237" i="8" l="1"/>
  <c r="E238" i="8" l="1"/>
  <c r="E239" i="8" l="1"/>
  <c r="E240" i="8" l="1"/>
  <c r="E241" i="8" l="1"/>
  <c r="E242" i="8" l="1"/>
  <c r="E243" i="8" l="1"/>
  <c r="E244" i="8" l="1"/>
  <c r="E245" i="8" l="1"/>
  <c r="E246" i="8" l="1"/>
  <c r="E247" i="8" l="1"/>
  <c r="E248" i="8" l="1"/>
  <c r="E249" i="8" l="1"/>
  <c r="E250" i="8" l="1"/>
  <c r="E251" i="8" l="1"/>
  <c r="E252" i="8" l="1"/>
  <c r="E253" i="8" l="1"/>
  <c r="E254" i="8" l="1"/>
  <c r="E255" i="8" l="1"/>
  <c r="E256" i="8" l="1"/>
  <c r="E257" i="8" l="1"/>
  <c r="E258" i="8" l="1"/>
  <c r="E259" i="8" l="1"/>
  <c r="E260" i="8" l="1"/>
  <c r="E261" i="8" l="1"/>
  <c r="E262" i="8" l="1"/>
  <c r="E263" i="8" l="1"/>
  <c r="E264" i="8" l="1"/>
  <c r="E265" i="8" l="1"/>
  <c r="E266" i="8" l="1"/>
  <c r="E267" i="8" l="1"/>
  <c r="E268" i="8" l="1"/>
  <c r="E269" i="8" l="1"/>
  <c r="E270" i="8" l="1"/>
  <c r="E271" i="8" l="1"/>
  <c r="E272" i="8" l="1"/>
  <c r="E273" i="8" l="1"/>
  <c r="E274" i="8" l="1"/>
  <c r="E275" i="8" l="1"/>
  <c r="E276" i="8" l="1"/>
  <c r="E277" i="8" l="1"/>
  <c r="E278" i="8" l="1"/>
  <c r="E279" i="8" l="1"/>
  <c r="E280" i="8" l="1"/>
  <c r="E281" i="8" l="1"/>
  <c r="E282" i="8" l="1"/>
  <c r="E283" i="8" l="1"/>
  <c r="E284" i="8" l="1"/>
  <c r="E285" i="8" l="1"/>
  <c r="E286" i="8" l="1"/>
  <c r="E287" i="8" l="1"/>
  <c r="E288" i="8" l="1"/>
  <c r="E289" i="8" l="1"/>
  <c r="E290" i="8" l="1"/>
  <c r="E291" i="8" l="1"/>
  <c r="E292" i="8" l="1"/>
  <c r="E293" i="8" l="1"/>
  <c r="E294" i="8" l="1"/>
  <c r="E295" i="8" l="1"/>
  <c r="E296" i="8" l="1"/>
  <c r="E297" i="8" l="1"/>
  <c r="E298" i="8" l="1"/>
  <c r="E299" i="8" l="1"/>
  <c r="E300" i="8" l="1"/>
  <c r="E301" i="8" l="1"/>
  <c r="E302" i="8" l="1"/>
  <c r="E303" i="8" l="1"/>
  <c r="E304" i="8" l="1"/>
  <c r="E305" i="8" l="1"/>
  <c r="E306" i="8" l="1"/>
  <c r="E307" i="8" l="1"/>
  <c r="E308" i="8" l="1"/>
  <c r="E309" i="8" l="1"/>
  <c r="E310" i="8" l="1"/>
  <c r="E311" i="8" l="1"/>
  <c r="E312" i="8" l="1"/>
  <c r="E313" i="8" l="1"/>
  <c r="E314" i="8" l="1"/>
  <c r="E315" i="8" l="1"/>
  <c r="E316" i="8" l="1"/>
  <c r="E317" i="8" l="1"/>
  <c r="E318" i="8" l="1"/>
  <c r="E319" i="8" l="1"/>
  <c r="E320" i="8" l="1"/>
  <c r="E321" i="8" l="1"/>
  <c r="E322" i="8" l="1"/>
  <c r="E323" i="8" l="1"/>
  <c r="E324" i="8" l="1"/>
  <c r="E325" i="8" l="1"/>
  <c r="E326" i="8" l="1"/>
  <c r="E327" i="8" l="1"/>
  <c r="E328" i="8" l="1"/>
  <c r="E329" i="8" l="1"/>
  <c r="E330" i="8" l="1"/>
  <c r="E331" i="8" l="1"/>
  <c r="E332" i="8" l="1"/>
  <c r="E333" i="8" l="1"/>
  <c r="E334" i="8" l="1"/>
  <c r="E335" i="8" l="1"/>
  <c r="E336" i="8" l="1"/>
  <c r="E337" i="8" l="1"/>
  <c r="E338" i="8" l="1"/>
  <c r="E339" i="8" l="1"/>
  <c r="E340" i="8" l="1"/>
  <c r="E341" i="8" l="1"/>
  <c r="E342" i="8" l="1"/>
  <c r="E343" i="8" l="1"/>
  <c r="E344" i="8" l="1"/>
  <c r="E345" i="8" l="1"/>
  <c r="E346" i="8" l="1"/>
  <c r="E347" i="8" l="1"/>
  <c r="E348" i="8" l="1"/>
  <c r="E349" i="8" l="1"/>
  <c r="E350" i="8" l="1"/>
  <c r="E351" i="8" l="1"/>
  <c r="E352" i="8" l="1"/>
  <c r="E353" i="8" l="1"/>
  <c r="E354" i="8" l="1"/>
  <c r="E355" i="8" l="1"/>
  <c r="E356" i="8" l="1"/>
  <c r="E357" i="8" l="1"/>
  <c r="E358" i="8" l="1"/>
  <c r="E359" i="8" l="1"/>
  <c r="E360" i="8" l="1"/>
  <c r="E361" i="8" l="1"/>
  <c r="E362" i="8" l="1"/>
  <c r="E363" i="8" l="1"/>
  <c r="E364" i="8" l="1"/>
  <c r="AF8" i="7" l="1"/>
  <c r="AC8" i="7"/>
  <c r="AA8" i="7"/>
  <c r="Y8" i="7"/>
  <c r="AO20" i="7"/>
  <c r="AM20" i="7"/>
  <c r="AK20" i="7"/>
  <c r="AB8" i="7"/>
  <c r="Z8" i="7"/>
  <c r="R143" i="3"/>
  <c r="B143" i="3"/>
  <c r="S140" i="3"/>
  <c r="C140" i="3"/>
  <c r="R136" i="3"/>
  <c r="B136" i="3"/>
  <c r="R132" i="3"/>
  <c r="B132" i="3"/>
  <c r="R130" i="3"/>
  <c r="B130" i="3"/>
  <c r="S125" i="3"/>
  <c r="C125" i="3"/>
  <c r="R121" i="3"/>
  <c r="B121" i="3"/>
  <c r="V118" i="3"/>
  <c r="F118" i="3"/>
  <c r="R117" i="3"/>
  <c r="B117" i="3"/>
  <c r="R115" i="3"/>
  <c r="B115" i="3"/>
  <c r="V112" i="3"/>
  <c r="F112" i="3"/>
  <c r="V111" i="3"/>
  <c r="F111" i="3"/>
  <c r="S110" i="3"/>
  <c r="C110" i="3"/>
  <c r="R106" i="3"/>
  <c r="B106" i="3"/>
  <c r="R104" i="3"/>
  <c r="B104" i="3"/>
  <c r="V100" i="3"/>
  <c r="F100" i="3"/>
  <c r="V99" i="3"/>
  <c r="F99" i="3"/>
  <c r="R96" i="3"/>
  <c r="B96" i="3"/>
  <c r="V92" i="3"/>
  <c r="F92" i="3"/>
  <c r="V90" i="3"/>
  <c r="F90" i="3"/>
  <c r="S89" i="3"/>
  <c r="C89" i="3"/>
  <c r="AA83" i="3"/>
  <c r="Z83" i="3"/>
  <c r="Y83" i="3"/>
  <c r="X83" i="3"/>
  <c r="W83" i="3"/>
  <c r="V83" i="3"/>
  <c r="R83" i="3"/>
  <c r="P83" i="3"/>
  <c r="O83" i="3"/>
  <c r="N83" i="3"/>
  <c r="M83" i="3"/>
  <c r="L83" i="3"/>
  <c r="K83" i="3"/>
  <c r="J83" i="3"/>
  <c r="I83" i="3"/>
  <c r="H83" i="3"/>
  <c r="G83" i="3"/>
  <c r="F83" i="3"/>
  <c r="B83" i="3"/>
  <c r="R82" i="3"/>
  <c r="F82" i="3"/>
  <c r="B82" i="3"/>
  <c r="F73" i="3"/>
  <c r="V61" i="3"/>
  <c r="T61" i="3"/>
  <c r="F61" i="3"/>
  <c r="D61" i="3"/>
  <c r="V60" i="3"/>
  <c r="U60" i="3"/>
  <c r="T60" i="3"/>
  <c r="F60" i="3"/>
  <c r="E60" i="3"/>
  <c r="D60" i="3"/>
  <c r="V59" i="3"/>
  <c r="U59" i="3"/>
  <c r="T59" i="3"/>
  <c r="F59" i="3"/>
  <c r="E59" i="3"/>
  <c r="D59" i="3"/>
  <c r="U58" i="3"/>
  <c r="E58" i="3"/>
  <c r="R57" i="3"/>
  <c r="B57" i="3"/>
  <c r="V46" i="3"/>
  <c r="V82" i="3" s="1"/>
  <c r="V73" i="3" s="1"/>
  <c r="F37" i="3"/>
  <c r="U16" i="3"/>
  <c r="E16" i="3"/>
  <c r="U15" i="3"/>
  <c r="E15" i="3"/>
  <c r="U14" i="3"/>
  <c r="E14" i="3"/>
  <c r="R13" i="3"/>
  <c r="B13" i="3"/>
  <c r="C8" i="3"/>
  <c r="H151" i="2"/>
  <c r="H149" i="2"/>
  <c r="I149" i="2" s="1"/>
  <c r="J149" i="2" s="1"/>
  <c r="K149" i="2" s="1"/>
  <c r="L149" i="2" s="1"/>
  <c r="M149" i="2" s="1"/>
  <c r="N149" i="2" s="1"/>
  <c r="O149" i="2" s="1"/>
  <c r="P149" i="2" s="1"/>
  <c r="Q149" i="2" s="1"/>
  <c r="R149" i="2" s="1"/>
  <c r="S149" i="2" s="1"/>
  <c r="T149" i="2" s="1"/>
  <c r="U149" i="2" s="1"/>
  <c r="V149" i="2" s="1"/>
  <c r="W149" i="2" s="1"/>
  <c r="X149" i="2" s="1"/>
  <c r="Y149" i="2" s="1"/>
  <c r="Z149" i="2" s="1"/>
  <c r="AA149" i="2" s="1"/>
  <c r="AB149" i="2" s="1"/>
  <c r="AC149" i="2" s="1"/>
  <c r="AD149" i="2" s="1"/>
  <c r="AE149" i="2" s="1"/>
  <c r="AF149" i="2" s="1"/>
  <c r="AG149" i="2" s="1"/>
  <c r="AH149" i="2" s="1"/>
  <c r="AI149" i="2" s="1"/>
  <c r="AJ149" i="2" s="1"/>
  <c r="AK149" i="2" s="1"/>
  <c r="AL149" i="2" s="1"/>
  <c r="AM149" i="2" s="1"/>
  <c r="AN149" i="2" s="1"/>
  <c r="H65" i="2"/>
  <c r="I65" i="2" s="1"/>
  <c r="AK58" i="2"/>
  <c r="AJ58" i="2"/>
  <c r="AI58" i="2"/>
  <c r="AH58" i="2"/>
  <c r="AG58" i="2"/>
  <c r="AF58" i="2"/>
  <c r="AE58" i="2"/>
  <c r="AD58" i="2"/>
  <c r="AC58" i="2"/>
  <c r="AB58" i="2"/>
  <c r="AA58" i="2"/>
  <c r="Z58" i="2"/>
  <c r="Y58" i="2"/>
  <c r="X58" i="2"/>
  <c r="W58" i="2"/>
  <c r="V58" i="2"/>
  <c r="U58" i="2"/>
  <c r="T58" i="2"/>
  <c r="S58" i="2"/>
  <c r="R58" i="2"/>
  <c r="Q58" i="2"/>
  <c r="P58" i="2"/>
  <c r="O58" i="2"/>
  <c r="N58" i="2"/>
  <c r="M58" i="2"/>
  <c r="L58" i="2"/>
  <c r="K58" i="2"/>
  <c r="J58" i="2"/>
  <c r="I58" i="2"/>
  <c r="H58" i="2"/>
  <c r="AO55" i="2"/>
  <c r="AU81" i="2"/>
  <c r="AU82" i="2" s="1"/>
  <c r="AU83" i="2" s="1"/>
  <c r="AU84" i="2" s="1"/>
  <c r="AU85" i="2" s="1"/>
  <c r="AU86" i="2" s="1"/>
  <c r="AU87" i="2" s="1"/>
  <c r="AU88" i="2" s="1"/>
  <c r="AU89" i="2" s="1"/>
  <c r="AU90" i="2" s="1"/>
  <c r="AU68" i="2"/>
  <c r="AU69" i="2" s="1"/>
  <c r="AU70" i="2" s="1"/>
  <c r="AU71" i="2" s="1"/>
  <c r="AU72" i="2" s="1"/>
  <c r="AU73" i="2" s="1"/>
  <c r="AU74" i="2" s="1"/>
  <c r="AU75" i="2" s="1"/>
  <c r="AU76" i="2" s="1"/>
  <c r="AU77" i="2" s="1"/>
  <c r="AV65" i="2"/>
  <c r="AV78" i="2" s="1"/>
  <c r="AV95" i="2" s="1"/>
  <c r="AV108" i="2" s="1"/>
  <c r="AS62" i="2"/>
  <c r="AU55" i="2"/>
  <c r="AU56" i="2" s="1"/>
  <c r="AU57" i="2" s="1"/>
  <c r="AU58" i="2" s="1"/>
  <c r="AU59" i="2" s="1"/>
  <c r="AU60" i="2" s="1"/>
  <c r="AU61" i="2" s="1"/>
  <c r="AU62" i="2" s="1"/>
  <c r="AU63" i="2" s="1"/>
  <c r="AU64" i="2" s="1"/>
  <c r="AS48" i="2"/>
  <c r="C9" i="3" s="1"/>
  <c r="S9" i="3" s="1"/>
  <c r="AS61" i="2"/>
  <c r="BR28" i="2"/>
  <c r="AS34" i="2"/>
  <c r="C29" i="2"/>
  <c r="BR25" i="2"/>
  <c r="C31" i="9"/>
  <c r="AS23" i="2"/>
  <c r="C22" i="2"/>
  <c r="E114" i="2" s="1"/>
  <c r="BR7" i="2"/>
  <c r="BS7" i="2" s="1"/>
  <c r="BT7" i="2" s="1"/>
  <c r="BU7" i="2" s="1"/>
  <c r="BV7" i="2" s="1"/>
  <c r="BW7" i="2" s="1"/>
  <c r="AW7" i="2"/>
  <c r="H5" i="2"/>
  <c r="H22" i="2" s="1"/>
  <c r="AW65" i="2" l="1"/>
  <c r="J65" i="2"/>
  <c r="AM114" i="2"/>
  <c r="AM143" i="2" s="1"/>
  <c r="H32" i="2"/>
  <c r="H19" i="2"/>
  <c r="H33" i="2"/>
  <c r="AI114" i="2"/>
  <c r="W114" i="2"/>
  <c r="L114" i="2"/>
  <c r="AH114" i="2"/>
  <c r="V114" i="2"/>
  <c r="AG114" i="2"/>
  <c r="U114" i="2"/>
  <c r="AF114" i="2"/>
  <c r="T114" i="2"/>
  <c r="AE114" i="2"/>
  <c r="S114" i="2"/>
  <c r="AD114" i="2"/>
  <c r="R114" i="2"/>
  <c r="AC114" i="2"/>
  <c r="Q114" i="2"/>
  <c r="AB114" i="2"/>
  <c r="P114" i="2"/>
  <c r="Z114" i="2"/>
  <c r="M114" i="2"/>
  <c r="X114" i="2"/>
  <c r="AA114" i="2"/>
  <c r="O114" i="2"/>
  <c r="N114" i="2"/>
  <c r="Y114" i="2"/>
  <c r="AJ114" i="2"/>
  <c r="AS76" i="2"/>
  <c r="AW14" i="2"/>
  <c r="V37" i="3"/>
  <c r="H18" i="2"/>
  <c r="H17" i="2"/>
  <c r="AV52" i="2"/>
  <c r="E130" i="2"/>
  <c r="E129" i="2"/>
  <c r="AS63" i="2"/>
  <c r="BR10" i="2"/>
  <c r="C5" i="9"/>
  <c r="I5" i="2"/>
  <c r="E48" i="2"/>
  <c r="I151" i="2"/>
  <c r="AY7" i="2"/>
  <c r="AY21" i="2" s="1"/>
  <c r="AW78" i="2"/>
  <c r="AW95" i="2" s="1"/>
  <c r="AW108" i="2" s="1"/>
  <c r="AW52" i="2"/>
  <c r="J7" i="2"/>
  <c r="H14" i="3"/>
  <c r="X14" i="3"/>
  <c r="S8" i="3"/>
  <c r="K5" i="7"/>
  <c r="X10" i="7"/>
  <c r="AK22" i="7" s="1"/>
  <c r="AM22" i="7" s="1"/>
  <c r="AP55" i="2"/>
  <c r="AP17" i="2"/>
  <c r="AP18" i="2"/>
  <c r="F8" i="1"/>
  <c r="AW21" i="2" l="1"/>
  <c r="N14" i="2"/>
  <c r="AO14" i="2" s="1"/>
  <c r="AP14" i="2" s="1"/>
  <c r="K65" i="2"/>
  <c r="I22" i="2"/>
  <c r="I40" i="2"/>
  <c r="I19" i="2"/>
  <c r="I32" i="2"/>
  <c r="I34" i="2"/>
  <c r="I33" i="2"/>
  <c r="AY14" i="2"/>
  <c r="C28" i="9"/>
  <c r="E47" i="2"/>
  <c r="I39" i="2"/>
  <c r="I21" i="2"/>
  <c r="I20" i="2"/>
  <c r="I18" i="2"/>
  <c r="I17" i="2"/>
  <c r="J5" i="2"/>
  <c r="AY65" i="2"/>
  <c r="AZ7" i="2"/>
  <c r="AZ21" i="2" s="1"/>
  <c r="J151" i="2"/>
  <c r="K7" i="2"/>
  <c r="X15" i="3"/>
  <c r="X17" i="3"/>
  <c r="Y14" i="3"/>
  <c r="X16" i="3"/>
  <c r="T5" i="3"/>
  <c r="X58" i="3"/>
  <c r="Y58" i="3" s="1"/>
  <c r="H15" i="3"/>
  <c r="H58" i="3"/>
  <c r="H17" i="3"/>
  <c r="I14" i="3"/>
  <c r="D5" i="3"/>
  <c r="H16" i="3"/>
  <c r="L5" i="7"/>
  <c r="I42" i="2" l="1"/>
  <c r="L65" i="2"/>
  <c r="I36" i="2"/>
  <c r="J22" i="2"/>
  <c r="J40" i="2"/>
  <c r="I24" i="2"/>
  <c r="J32" i="2"/>
  <c r="J19" i="2"/>
  <c r="J33" i="2"/>
  <c r="J34" i="2"/>
  <c r="AZ14" i="2"/>
  <c r="J20" i="2"/>
  <c r="J18" i="2"/>
  <c r="J17" i="2"/>
  <c r="J39" i="2"/>
  <c r="J21" i="2"/>
  <c r="K5" i="2"/>
  <c r="K151" i="2"/>
  <c r="DG6" i="7" s="1"/>
  <c r="DH6" i="7" s="1"/>
  <c r="DI6" i="7" s="1"/>
  <c r="DJ6" i="7" s="1"/>
  <c r="DK6" i="7" s="1"/>
  <c r="DL6" i="7" s="1"/>
  <c r="DM6" i="7" s="1"/>
  <c r="DN6" i="7" s="1"/>
  <c r="DO6" i="7" s="1"/>
  <c r="DP6" i="7" s="1"/>
  <c r="L7" i="2"/>
  <c r="AZ65" i="2"/>
  <c r="BA7" i="2"/>
  <c r="BA21" i="2" s="1"/>
  <c r="AY78" i="2"/>
  <c r="AY95" i="2" s="1"/>
  <c r="AY108" i="2" s="1"/>
  <c r="AY52" i="2"/>
  <c r="I17" i="3"/>
  <c r="H61" i="3"/>
  <c r="I61" i="3" s="1"/>
  <c r="I58" i="3"/>
  <c r="J58" i="3" s="1"/>
  <c r="J59" i="3"/>
  <c r="I15" i="3"/>
  <c r="H59" i="3"/>
  <c r="I59" i="3" s="1"/>
  <c r="X60" i="3"/>
  <c r="Y60" i="3" s="1"/>
  <c r="Y16" i="3"/>
  <c r="H60" i="3"/>
  <c r="I60" i="3" s="1"/>
  <c r="I16" i="3"/>
  <c r="Y17" i="3"/>
  <c r="X61" i="3"/>
  <c r="Y61" i="3" s="1"/>
  <c r="X59" i="3"/>
  <c r="Y59" i="3" s="1"/>
  <c r="Y15" i="3"/>
  <c r="J36" i="2" l="1"/>
  <c r="M65" i="2"/>
  <c r="J42" i="2"/>
  <c r="K22" i="2"/>
  <c r="J24" i="2"/>
  <c r="K32" i="2"/>
  <c r="K19" i="2"/>
  <c r="K33" i="2"/>
  <c r="BA14" i="2"/>
  <c r="K18" i="2"/>
  <c r="K17" i="2"/>
  <c r="K39" i="2"/>
  <c r="K21" i="2"/>
  <c r="K20" i="2"/>
  <c r="L5" i="2"/>
  <c r="J61" i="3"/>
  <c r="BA65" i="2"/>
  <c r="BB7" i="2"/>
  <c r="BB21" i="2" s="1"/>
  <c r="L151" i="2"/>
  <c r="M7" i="2"/>
  <c r="AZ52" i="2"/>
  <c r="AZ78" i="2"/>
  <c r="AZ95" i="2" s="1"/>
  <c r="AZ108" i="2" s="1"/>
  <c r="J60" i="3"/>
  <c r="BB19" i="2" l="1"/>
  <c r="N65" i="2"/>
  <c r="L22" i="2"/>
  <c r="L40" i="2"/>
  <c r="K24" i="2"/>
  <c r="L19" i="2"/>
  <c r="L32" i="2"/>
  <c r="L33" i="2"/>
  <c r="L34" i="2"/>
  <c r="BB14" i="2"/>
  <c r="M5" i="2"/>
  <c r="L17" i="2"/>
  <c r="L20" i="2"/>
  <c r="L18" i="2"/>
  <c r="L39" i="2"/>
  <c r="L21" i="2"/>
  <c r="BB65" i="2"/>
  <c r="BC7" i="2"/>
  <c r="BC19" i="2" s="1"/>
  <c r="BA78" i="2"/>
  <c r="BA95" i="2" s="1"/>
  <c r="BA108" i="2" s="1"/>
  <c r="BA52" i="2"/>
  <c r="M151" i="2"/>
  <c r="N7" i="2"/>
  <c r="BC21" i="2" l="1"/>
  <c r="L36" i="2"/>
  <c r="O65" i="2"/>
  <c r="P65" i="2" s="1"/>
  <c r="Q65" i="2" s="1"/>
  <c r="R65" i="2" s="1"/>
  <c r="S65" i="2" s="1"/>
  <c r="T65" i="2" s="1"/>
  <c r="U65" i="2" s="1"/>
  <c r="V65" i="2" s="1"/>
  <c r="M22" i="2"/>
  <c r="M40" i="2"/>
  <c r="L42" i="2"/>
  <c r="L24" i="2"/>
  <c r="M19" i="2"/>
  <c r="M32" i="2"/>
  <c r="N5" i="2"/>
  <c r="M33" i="2"/>
  <c r="M34" i="2"/>
  <c r="BC14" i="2"/>
  <c r="M17" i="2"/>
  <c r="M39" i="2"/>
  <c r="M21" i="2"/>
  <c r="M18" i="2"/>
  <c r="M20" i="2"/>
  <c r="BC65" i="2"/>
  <c r="BD7" i="2"/>
  <c r="BD19" i="2" s="1"/>
  <c r="BB78" i="2"/>
  <c r="BB95" i="2" s="1"/>
  <c r="BB108" i="2" s="1"/>
  <c r="BB52" i="2"/>
  <c r="N151" i="2"/>
  <c r="O7" i="2"/>
  <c r="BD21" i="2" l="1"/>
  <c r="N17" i="2"/>
  <c r="M36" i="2"/>
  <c r="M42" i="2"/>
  <c r="N39" i="2"/>
  <c r="W65" i="2"/>
  <c r="X65" i="2" s="1"/>
  <c r="Y65" i="2" s="1"/>
  <c r="Z65" i="2" s="1"/>
  <c r="AA65" i="2" s="1"/>
  <c r="AB65" i="2" s="1"/>
  <c r="AC65" i="2" s="1"/>
  <c r="AD65" i="2" s="1"/>
  <c r="AE65" i="2" s="1"/>
  <c r="AF65" i="2" s="1"/>
  <c r="AG65" i="2" s="1"/>
  <c r="AH65" i="2" s="1"/>
  <c r="AI65" i="2" s="1"/>
  <c r="AJ65" i="2" s="1"/>
  <c r="AK65" i="2" s="1"/>
  <c r="AL65" i="2" s="1"/>
  <c r="AM65" i="2" s="1"/>
  <c r="AN65" i="2" s="1"/>
  <c r="N22" i="2"/>
  <c r="N40" i="2"/>
  <c r="N18" i="2"/>
  <c r="N20" i="2"/>
  <c r="O5" i="2"/>
  <c r="N21" i="2"/>
  <c r="M24" i="2"/>
  <c r="N32" i="2"/>
  <c r="N19" i="2"/>
  <c r="N33" i="2"/>
  <c r="N34" i="2"/>
  <c r="BD14" i="2"/>
  <c r="O151" i="2"/>
  <c r="P7" i="2"/>
  <c r="BD65" i="2"/>
  <c r="BE7" i="2"/>
  <c r="BE19" i="2" s="1"/>
  <c r="BC78" i="2"/>
  <c r="BC95" i="2" s="1"/>
  <c r="BC52" i="2"/>
  <c r="BE21" i="2" l="1"/>
  <c r="O19" i="2"/>
  <c r="O32" i="2"/>
  <c r="O20" i="2"/>
  <c r="O18" i="2"/>
  <c r="N42" i="2"/>
  <c r="O21" i="2"/>
  <c r="O39" i="2"/>
  <c r="N24" i="2"/>
  <c r="N36" i="2"/>
  <c r="O22" i="2"/>
  <c r="O40" i="2"/>
  <c r="P5" i="2"/>
  <c r="O17" i="2"/>
  <c r="O33" i="2"/>
  <c r="BE14" i="2"/>
  <c r="BE65" i="2"/>
  <c r="BF7" i="2"/>
  <c r="BF19" i="2" s="1"/>
  <c r="BD78" i="2"/>
  <c r="BD95" i="2" s="1"/>
  <c r="BD52" i="2"/>
  <c r="P151" i="2"/>
  <c r="Q7" i="2"/>
  <c r="BF21" i="2" l="1"/>
  <c r="O42" i="2"/>
  <c r="P18" i="2"/>
  <c r="O24" i="2"/>
  <c r="P19" i="2"/>
  <c r="P32" i="2"/>
  <c r="P34" i="2"/>
  <c r="P20" i="2"/>
  <c r="P17" i="2"/>
  <c r="P22" i="2"/>
  <c r="P40" i="2"/>
  <c r="P21" i="2"/>
  <c r="Q5" i="2"/>
  <c r="P39" i="2"/>
  <c r="P33" i="2"/>
  <c r="Q32" i="2"/>
  <c r="Q19" i="2"/>
  <c r="BF14" i="2"/>
  <c r="BF65" i="2"/>
  <c r="BG7" i="2"/>
  <c r="BG19" i="2" s="1"/>
  <c r="Q151" i="2"/>
  <c r="Q171" i="2" s="1"/>
  <c r="R7" i="2"/>
  <c r="BE78" i="2"/>
  <c r="BE95" i="2" s="1"/>
  <c r="BE52" i="2"/>
  <c r="BG21" i="2" l="1"/>
  <c r="Q18" i="2"/>
  <c r="P24" i="2"/>
  <c r="P36" i="2"/>
  <c r="P42" i="2"/>
  <c r="Q20" i="2"/>
  <c r="Q17" i="2"/>
  <c r="Q22" i="2"/>
  <c r="Q39" i="2"/>
  <c r="Q21" i="2"/>
  <c r="R5" i="2"/>
  <c r="R39" i="2" s="1"/>
  <c r="Q33" i="2"/>
  <c r="BG14" i="2"/>
  <c r="BG65" i="2"/>
  <c r="BF78" i="2"/>
  <c r="BF95" i="2" s="1"/>
  <c r="BF52" i="2"/>
  <c r="R151" i="2"/>
  <c r="S7" i="2"/>
  <c r="Q24" i="2" l="1"/>
  <c r="R32" i="2"/>
  <c r="R19" i="2"/>
  <c r="R33" i="2"/>
  <c r="R17" i="2"/>
  <c r="R22" i="2"/>
  <c r="R40" i="2"/>
  <c r="R42" i="2" s="1"/>
  <c r="R18" i="2"/>
  <c r="R20" i="2"/>
  <c r="R21" i="2"/>
  <c r="S5" i="2"/>
  <c r="T5" i="2" s="1"/>
  <c r="R34" i="2"/>
  <c r="S151" i="2"/>
  <c r="T7" i="2"/>
  <c r="BG52" i="2"/>
  <c r="BG78" i="2"/>
  <c r="BG95" i="2" s="1"/>
  <c r="S19" i="2" l="1"/>
  <c r="R36" i="2"/>
  <c r="R24" i="2"/>
  <c r="S22" i="2"/>
  <c r="S40" i="2"/>
  <c r="S18" i="2"/>
  <c r="T22" i="2"/>
  <c r="T40" i="2"/>
  <c r="S20" i="2"/>
  <c r="S21" i="2"/>
  <c r="S39" i="2"/>
  <c r="S42" i="2" s="1"/>
  <c r="S33" i="2"/>
  <c r="S17" i="2"/>
  <c r="S34" i="2"/>
  <c r="T19" i="2"/>
  <c r="T32" i="2"/>
  <c r="T34" i="2"/>
  <c r="T33" i="2"/>
  <c r="T39" i="2"/>
  <c r="T21" i="2"/>
  <c r="T20" i="2"/>
  <c r="T18" i="2"/>
  <c r="T17" i="2"/>
  <c r="U5" i="2"/>
  <c r="T151" i="2"/>
  <c r="T171" i="2" s="1"/>
  <c r="U7" i="2"/>
  <c r="T24" i="2" l="1"/>
  <c r="S24" i="2"/>
  <c r="T42" i="2"/>
  <c r="T36" i="2"/>
  <c r="U22" i="2"/>
  <c r="U40" i="2"/>
  <c r="U19" i="2"/>
  <c r="U32" i="2"/>
  <c r="U34" i="2"/>
  <c r="U33" i="2"/>
  <c r="U39" i="2"/>
  <c r="U20" i="2"/>
  <c r="U18" i="2"/>
  <c r="U17" i="2"/>
  <c r="U21" i="2"/>
  <c r="V5" i="2"/>
  <c r="U151" i="2"/>
  <c r="V7" i="2"/>
  <c r="U24" i="2" l="1"/>
  <c r="U42" i="2"/>
  <c r="U36" i="2"/>
  <c r="V22" i="2"/>
  <c r="V40" i="2"/>
  <c r="V19" i="2"/>
  <c r="V33" i="2"/>
  <c r="V34" i="2"/>
  <c r="V21" i="2"/>
  <c r="V39" i="2"/>
  <c r="V17" i="2"/>
  <c r="V18" i="2"/>
  <c r="V20" i="2"/>
  <c r="V151" i="2"/>
  <c r="W7" i="2"/>
  <c r="W5" i="2"/>
  <c r="V42" i="2" l="1"/>
  <c r="W22" i="2"/>
  <c r="W40" i="2"/>
  <c r="V24" i="2"/>
  <c r="W32" i="2"/>
  <c r="W19" i="2"/>
  <c r="W33" i="2"/>
  <c r="W34" i="2"/>
  <c r="W39" i="2"/>
  <c r="W21" i="2"/>
  <c r="W17" i="2"/>
  <c r="W18" i="2"/>
  <c r="W20" i="2"/>
  <c r="W151" i="2"/>
  <c r="W171" i="2" s="1"/>
  <c r="X7" i="2"/>
  <c r="X5" i="2"/>
  <c r="W42" i="2" l="1"/>
  <c r="W36" i="2"/>
  <c r="X22" i="2"/>
  <c r="X40" i="2"/>
  <c r="W24" i="2"/>
  <c r="X32" i="2"/>
  <c r="X19" i="2"/>
  <c r="X33" i="2"/>
  <c r="X34" i="2"/>
  <c r="X21" i="2"/>
  <c r="X39" i="2"/>
  <c r="X18" i="2"/>
  <c r="X20" i="2"/>
  <c r="X17" i="2"/>
  <c r="Y5" i="2"/>
  <c r="X151" i="2"/>
  <c r="Y7" i="2"/>
  <c r="X42" i="2" l="1"/>
  <c r="X36" i="2"/>
  <c r="Y22" i="2"/>
  <c r="Y40" i="2"/>
  <c r="X24" i="2"/>
  <c r="Y19" i="2"/>
  <c r="Y32" i="2"/>
  <c r="Y33" i="2"/>
  <c r="Y34" i="2"/>
  <c r="Y39" i="2"/>
  <c r="Y42" i="2" s="1"/>
  <c r="Y21" i="2"/>
  <c r="Y18" i="2"/>
  <c r="Y20" i="2"/>
  <c r="Y17" i="2"/>
  <c r="Y151" i="2"/>
  <c r="Z7" i="2"/>
  <c r="Z5" i="2"/>
  <c r="Y36" i="2" l="1"/>
  <c r="Z22" i="2"/>
  <c r="Z40" i="2"/>
  <c r="Y24" i="2"/>
  <c r="Z19" i="2"/>
  <c r="Z33" i="2"/>
  <c r="Z34" i="2"/>
  <c r="Z39" i="2"/>
  <c r="Z21" i="2"/>
  <c r="Z18" i="2"/>
  <c r="Z20" i="2"/>
  <c r="Z17" i="2"/>
  <c r="Z151" i="2"/>
  <c r="Z171" i="2" s="1"/>
  <c r="Z67" i="2"/>
  <c r="AA7" i="2"/>
  <c r="AA5" i="2"/>
  <c r="Z42" i="2" l="1"/>
  <c r="Z109" i="2"/>
  <c r="Z88" i="2"/>
  <c r="AA22" i="2"/>
  <c r="AA40" i="2"/>
  <c r="Z24" i="2"/>
  <c r="AA19" i="2"/>
  <c r="AA33" i="2"/>
  <c r="AA34" i="2"/>
  <c r="AA39" i="2"/>
  <c r="AA21" i="2"/>
  <c r="AA18" i="2"/>
  <c r="AA17" i="2"/>
  <c r="AA20" i="2"/>
  <c r="AB5" i="2"/>
  <c r="AA151" i="2"/>
  <c r="AA67" i="2"/>
  <c r="AB7" i="2"/>
  <c r="Y67" i="2"/>
  <c r="AA42" i="2" l="1"/>
  <c r="Y109" i="2"/>
  <c r="Y88" i="2"/>
  <c r="AA109" i="2"/>
  <c r="AA88" i="2"/>
  <c r="AA24" i="2"/>
  <c r="AB22" i="2"/>
  <c r="AB40" i="2"/>
  <c r="AB19" i="2"/>
  <c r="AB33" i="2"/>
  <c r="AB34" i="2"/>
  <c r="AB39" i="2"/>
  <c r="AB21" i="2"/>
  <c r="AB18" i="2"/>
  <c r="AB17" i="2"/>
  <c r="AB20" i="2"/>
  <c r="X67" i="2"/>
  <c r="AC5" i="2"/>
  <c r="AB151" i="2"/>
  <c r="AB67" i="2"/>
  <c r="AC7" i="2"/>
  <c r="X109" i="2" l="1"/>
  <c r="X88" i="2"/>
  <c r="AB109" i="2"/>
  <c r="AB88" i="2"/>
  <c r="AB42" i="2"/>
  <c r="AC22" i="2"/>
  <c r="AC40" i="2"/>
  <c r="AB24" i="2"/>
  <c r="AC32" i="2"/>
  <c r="AC19" i="2"/>
  <c r="AC33" i="2"/>
  <c r="AC34" i="2"/>
  <c r="AC39" i="2"/>
  <c r="AC21" i="2"/>
  <c r="AC20" i="2"/>
  <c r="AC17" i="2"/>
  <c r="AC18" i="2"/>
  <c r="AC151" i="2"/>
  <c r="AC171" i="2" s="1"/>
  <c r="AC67" i="2"/>
  <c r="AD7" i="2"/>
  <c r="AD5" i="2"/>
  <c r="W67" i="2"/>
  <c r="AC36" i="2" l="1"/>
  <c r="W109" i="2"/>
  <c r="W88" i="2"/>
  <c r="AC109" i="2"/>
  <c r="AC88" i="2"/>
  <c r="AC42" i="2"/>
  <c r="AC24" i="2"/>
  <c r="AD22" i="2"/>
  <c r="AD40" i="2"/>
  <c r="AD19" i="2"/>
  <c r="AD32" i="2"/>
  <c r="AD33" i="2"/>
  <c r="AD34" i="2"/>
  <c r="AD39" i="2"/>
  <c r="AD21" i="2"/>
  <c r="AD20" i="2"/>
  <c r="AD17" i="2"/>
  <c r="AD18" i="2"/>
  <c r="AD151" i="2"/>
  <c r="AD67" i="2"/>
  <c r="AE7" i="2"/>
  <c r="AE5" i="2"/>
  <c r="V67" i="2"/>
  <c r="V109" i="2" l="1"/>
  <c r="V88" i="2"/>
  <c r="AD24" i="2"/>
  <c r="AD109" i="2"/>
  <c r="AD88" i="2"/>
  <c r="AD42" i="2"/>
  <c r="AD36" i="2"/>
  <c r="AE22" i="2"/>
  <c r="AE40" i="2"/>
  <c r="AE19" i="2"/>
  <c r="AE32" i="2"/>
  <c r="AE34" i="2"/>
  <c r="AE33" i="2"/>
  <c r="AE39" i="2"/>
  <c r="AE21" i="2"/>
  <c r="AE20" i="2"/>
  <c r="AE17" i="2"/>
  <c r="AE18" i="2"/>
  <c r="AE151" i="2"/>
  <c r="AE67" i="2"/>
  <c r="AF7" i="2"/>
  <c r="AF5" i="2"/>
  <c r="U67" i="2"/>
  <c r="AE109" i="2" l="1"/>
  <c r="AE88" i="2"/>
  <c r="AE42" i="2"/>
  <c r="U109" i="2"/>
  <c r="U88" i="2"/>
  <c r="AE36" i="2"/>
  <c r="AF22" i="2"/>
  <c r="AF40" i="2"/>
  <c r="AE24" i="2"/>
  <c r="AF19" i="2"/>
  <c r="AF32" i="2"/>
  <c r="AF34" i="2"/>
  <c r="AF33" i="2"/>
  <c r="AF39" i="2"/>
  <c r="AF21" i="2"/>
  <c r="AF20" i="2"/>
  <c r="AF17" i="2"/>
  <c r="AF18" i="2"/>
  <c r="T67" i="2"/>
  <c r="AG5" i="2"/>
  <c r="AF151" i="2"/>
  <c r="AF171" i="2" s="1"/>
  <c r="AF67" i="2"/>
  <c r="AG7" i="2"/>
  <c r="AF109" i="2" l="1"/>
  <c r="AF88" i="2"/>
  <c r="AF42" i="2"/>
  <c r="T109" i="2"/>
  <c r="T88" i="2"/>
  <c r="AF24" i="2"/>
  <c r="AF36" i="2"/>
  <c r="AG22" i="2"/>
  <c r="AG40" i="2"/>
  <c r="AG19" i="2"/>
  <c r="AG32" i="2"/>
  <c r="AG34" i="2"/>
  <c r="AG33" i="2"/>
  <c r="AG21" i="2"/>
  <c r="AG20" i="2"/>
  <c r="AG18" i="2"/>
  <c r="AG17" i="2"/>
  <c r="AG39" i="2"/>
  <c r="AH5" i="2"/>
  <c r="AG151" i="2"/>
  <c r="AG67" i="2"/>
  <c r="AH7" i="2"/>
  <c r="S67" i="2"/>
  <c r="S109" i="2" l="1"/>
  <c r="S88" i="2"/>
  <c r="AG109" i="2"/>
  <c r="AG88" i="2"/>
  <c r="AG24" i="2"/>
  <c r="AG36" i="2"/>
  <c r="AH22" i="2"/>
  <c r="AH40" i="2"/>
  <c r="AG42" i="2"/>
  <c r="AH32" i="2"/>
  <c r="AH19" i="2"/>
  <c r="AH33" i="2"/>
  <c r="AH34" i="2"/>
  <c r="AH39" i="2"/>
  <c r="AH21" i="2"/>
  <c r="AH20" i="2"/>
  <c r="AH18" i="2"/>
  <c r="AH17" i="2"/>
  <c r="AI5" i="2"/>
  <c r="AH151" i="2"/>
  <c r="AH67" i="2"/>
  <c r="AI7" i="2"/>
  <c r="R67" i="2"/>
  <c r="AH109" i="2" l="1"/>
  <c r="AH88" i="2"/>
  <c r="AH42" i="2"/>
  <c r="AH36" i="2"/>
  <c r="R109" i="2"/>
  <c r="R88" i="2"/>
  <c r="AI22" i="2"/>
  <c r="AI40" i="2"/>
  <c r="AH24" i="2"/>
  <c r="AI32" i="2"/>
  <c r="AI19" i="2"/>
  <c r="AI33" i="2"/>
  <c r="AI34" i="2"/>
  <c r="AI18" i="2"/>
  <c r="AI17" i="2"/>
  <c r="AI21" i="2"/>
  <c r="AI39" i="2"/>
  <c r="AI20" i="2"/>
  <c r="AJ5" i="2"/>
  <c r="AI151" i="2"/>
  <c r="AI171" i="2" s="1"/>
  <c r="AI67" i="2"/>
  <c r="AJ7" i="2"/>
  <c r="Q67" i="2"/>
  <c r="AI109" i="2" l="1"/>
  <c r="AI88" i="2"/>
  <c r="AI36" i="2"/>
  <c r="Q109" i="2"/>
  <c r="Q88" i="2"/>
  <c r="AI42" i="2"/>
  <c r="AJ22" i="2"/>
  <c r="AJ40" i="2"/>
  <c r="AI24" i="2"/>
  <c r="AJ32" i="2"/>
  <c r="AJ19" i="2"/>
  <c r="AJ33" i="2"/>
  <c r="AJ34" i="2"/>
  <c r="AJ17" i="2"/>
  <c r="AJ18" i="2"/>
  <c r="AJ39" i="2"/>
  <c r="AJ21" i="2"/>
  <c r="AJ20" i="2"/>
  <c r="AK5" i="2"/>
  <c r="AK40" i="2" s="1"/>
  <c r="AJ67" i="2"/>
  <c r="AJ151" i="2"/>
  <c r="AK7" i="2"/>
  <c r="AL7" i="2" s="1"/>
  <c r="AV8" i="2" s="1"/>
  <c r="P67" i="2"/>
  <c r="P109" i="2" l="1"/>
  <c r="P88" i="2"/>
  <c r="AJ109" i="2"/>
  <c r="AJ88" i="2"/>
  <c r="AJ42" i="2"/>
  <c r="AJ36" i="2"/>
  <c r="AJ24" i="2"/>
  <c r="AL5" i="2"/>
  <c r="AL19" i="2" s="1"/>
  <c r="AK22" i="2"/>
  <c r="AM7" i="2"/>
  <c r="AL151" i="2"/>
  <c r="AL67" i="2"/>
  <c r="AK19" i="2"/>
  <c r="AK33" i="2"/>
  <c r="AK34" i="2"/>
  <c r="AK18" i="2"/>
  <c r="AK17" i="2"/>
  <c r="AK39" i="2"/>
  <c r="AK42" i="2" s="1"/>
  <c r="AK21" i="2"/>
  <c r="AK20" i="2"/>
  <c r="O67" i="2"/>
  <c r="AK151" i="2"/>
  <c r="AK67" i="2"/>
  <c r="AM5" i="2" l="1"/>
  <c r="AM47" i="2" s="1"/>
  <c r="AM48" i="2" s="1"/>
  <c r="AL34" i="2"/>
  <c r="AL20" i="2"/>
  <c r="AL17" i="2"/>
  <c r="AL39" i="2"/>
  <c r="AL32" i="2"/>
  <c r="AL21" i="2"/>
  <c r="AL109" i="2"/>
  <c r="AL88" i="2"/>
  <c r="AK109" i="2"/>
  <c r="AK88" i="2"/>
  <c r="O109" i="2"/>
  <c r="O88" i="2"/>
  <c r="AK24" i="2"/>
  <c r="AM22" i="2"/>
  <c r="AM40" i="2"/>
  <c r="AL22" i="2"/>
  <c r="AL40" i="2"/>
  <c r="AL42" i="2" s="1"/>
  <c r="AL18" i="2"/>
  <c r="AL33" i="2"/>
  <c r="AM67" i="2"/>
  <c r="AN7" i="2"/>
  <c r="BR8" i="2" s="1"/>
  <c r="AM151" i="2"/>
  <c r="AM29" i="2"/>
  <c r="AM33" i="2"/>
  <c r="AM19" i="2"/>
  <c r="AN5" i="2"/>
  <c r="AM32" i="2"/>
  <c r="AM34" i="2"/>
  <c r="AM18" i="2"/>
  <c r="AM39" i="2"/>
  <c r="AM21" i="2"/>
  <c r="AM17" i="2"/>
  <c r="AM20" i="2"/>
  <c r="N67" i="2"/>
  <c r="AL36" i="2" l="1"/>
  <c r="AN40" i="2"/>
  <c r="AN47" i="2"/>
  <c r="AN48" i="2" s="1"/>
  <c r="N109" i="2"/>
  <c r="N88" i="2"/>
  <c r="AM109" i="2"/>
  <c r="AM88" i="2"/>
  <c r="AL24" i="2"/>
  <c r="AM42" i="2"/>
  <c r="AM36" i="2"/>
  <c r="AM24" i="2"/>
  <c r="E16" i="9"/>
  <c r="AN22" i="2"/>
  <c r="AN18" i="2"/>
  <c r="AN20" i="2"/>
  <c r="AN17" i="2"/>
  <c r="AN29" i="2"/>
  <c r="AN33" i="2"/>
  <c r="AN19" i="2"/>
  <c r="AN39" i="2"/>
  <c r="AN32" i="2"/>
  <c r="AN34" i="2"/>
  <c r="AN21" i="2"/>
  <c r="AN67" i="2"/>
  <c r="AN151" i="2"/>
  <c r="E15" i="9"/>
  <c r="C34" i="9"/>
  <c r="AW19" i="2"/>
  <c r="AY19" i="2"/>
  <c r="AZ19" i="2"/>
  <c r="BA19" i="2"/>
  <c r="M67" i="2"/>
  <c r="AN42" i="2" l="1"/>
  <c r="AM49" i="2"/>
  <c r="AM44" i="2"/>
  <c r="M109" i="2"/>
  <c r="M88" i="2"/>
  <c r="AN109" i="2"/>
  <c r="AN88" i="2"/>
  <c r="AN36" i="2"/>
  <c r="AN24" i="2"/>
  <c r="L67" i="2"/>
  <c r="AM51" i="2" l="1"/>
  <c r="AN44" i="2"/>
  <c r="L109" i="2"/>
  <c r="L88" i="2"/>
  <c r="K67" i="2"/>
  <c r="K109" i="2" l="1"/>
  <c r="K88" i="2"/>
  <c r="H47" i="2"/>
  <c r="H48" i="2" s="1"/>
  <c r="H49" i="2" s="1"/>
  <c r="I47" i="2"/>
  <c r="J47" i="2"/>
  <c r="K47" i="2"/>
  <c r="M47" i="2"/>
  <c r="O47" i="2"/>
  <c r="N47" i="2"/>
  <c r="L47" i="2"/>
  <c r="P47" i="2"/>
  <c r="Q47" i="2"/>
  <c r="S47" i="2"/>
  <c r="R47" i="2"/>
  <c r="T47" i="2"/>
  <c r="W47" i="2"/>
  <c r="U47" i="2"/>
  <c r="V47" i="2"/>
  <c r="Y47" i="2"/>
  <c r="X47" i="2"/>
  <c r="X48" i="2" s="1"/>
  <c r="X49" i="2" s="1"/>
  <c r="Z47" i="2"/>
  <c r="AA47" i="2"/>
  <c r="AB47" i="2"/>
  <c r="AC47" i="2"/>
  <c r="AE47" i="2"/>
  <c r="AF47" i="2"/>
  <c r="AD47" i="2"/>
  <c r="AG47" i="2"/>
  <c r="AJ47" i="2"/>
  <c r="AI47" i="2"/>
  <c r="AH47" i="2"/>
  <c r="AK47" i="2"/>
  <c r="J67" i="2"/>
  <c r="J109" i="2" l="1"/>
  <c r="J88" i="2"/>
  <c r="V48" i="2"/>
  <c r="V49" i="2" s="1"/>
  <c r="J48" i="2"/>
  <c r="J49" i="2" s="1"/>
  <c r="N48" i="2"/>
  <c r="N49" i="2" s="1"/>
  <c r="I48" i="2"/>
  <c r="I49" i="2" s="1"/>
  <c r="Y48" i="2"/>
  <c r="Y49" i="2" s="1"/>
  <c r="AA48" i="2"/>
  <c r="AA49" i="2" s="1"/>
  <c r="O48" i="2"/>
  <c r="O49" i="2" s="1"/>
  <c r="M48" i="2"/>
  <c r="M49" i="2" s="1"/>
  <c r="W48" i="2"/>
  <c r="W49" i="2" s="1"/>
  <c r="AF48" i="2"/>
  <c r="AF49" i="2" s="1"/>
  <c r="R48" i="2"/>
  <c r="R49" i="2" s="1"/>
  <c r="L48" i="2"/>
  <c r="L49" i="2" s="1"/>
  <c r="AK48" i="2"/>
  <c r="AK49" i="2" s="1"/>
  <c r="AI48" i="2"/>
  <c r="AI49" i="2" s="1"/>
  <c r="AJ48" i="2"/>
  <c r="AJ49" i="2" s="1"/>
  <c r="AG48" i="2"/>
  <c r="AG49" i="2" s="1"/>
  <c r="AD48" i="2"/>
  <c r="AD49" i="2" s="1"/>
  <c r="AE48" i="2"/>
  <c r="AE49" i="2" s="1"/>
  <c r="S48" i="2"/>
  <c r="S49" i="2" s="1"/>
  <c r="AH48" i="2"/>
  <c r="AH49" i="2" s="1"/>
  <c r="K48" i="2"/>
  <c r="K49" i="2" s="1"/>
  <c r="T48" i="2"/>
  <c r="T49" i="2" s="1"/>
  <c r="AC48" i="2"/>
  <c r="AC49" i="2" s="1"/>
  <c r="Q48" i="2"/>
  <c r="Q49" i="2" s="1"/>
  <c r="Z48" i="2"/>
  <c r="Z49" i="2" s="1"/>
  <c r="U48" i="2"/>
  <c r="U49" i="2" s="1"/>
  <c r="AB48" i="2"/>
  <c r="AB49" i="2" s="1"/>
  <c r="P48" i="2"/>
  <c r="P49" i="2" s="1"/>
  <c r="I67" i="2"/>
  <c r="I109" i="2" l="1"/>
  <c r="I88" i="2"/>
  <c r="H109" i="2" l="1"/>
  <c r="H88" i="2"/>
  <c r="C39" i="9"/>
  <c r="F44" i="3" l="1"/>
  <c r="AV96" i="2"/>
  <c r="AW8" i="2"/>
  <c r="AY8" i="2" s="1"/>
  <c r="AZ8" i="2" s="1"/>
  <c r="BA8" i="2" s="1"/>
  <c r="BB8" i="2" s="1"/>
  <c r="BC8" i="2" s="1"/>
  <c r="BD8" i="2" s="1"/>
  <c r="BE8" i="2" s="1"/>
  <c r="BF8" i="2" s="1"/>
  <c r="BG8" i="2" s="1"/>
  <c r="BS8" i="2"/>
  <c r="BT8" i="2" s="1"/>
  <c r="BU8" i="2" s="1"/>
  <c r="BV8" i="2" s="1"/>
  <c r="BW8" i="2" s="1"/>
  <c r="AW96" i="2" l="1"/>
  <c r="AY96" i="2" s="1"/>
  <c r="AZ96" i="2" s="1"/>
  <c r="BA96" i="2" s="1"/>
  <c r="BB96" i="2" s="1"/>
  <c r="BC96" i="2" s="1"/>
  <c r="BD96" i="2" s="1"/>
  <c r="BE96" i="2" s="1"/>
  <c r="BF96" i="2" s="1"/>
  <c r="BG96" i="2" s="1"/>
  <c r="AV109" i="2"/>
  <c r="AW109" i="2" s="1"/>
  <c r="AY109" i="2" s="1"/>
  <c r="AZ109" i="2" s="1"/>
  <c r="BA109" i="2" s="1"/>
  <c r="BB109" i="2" s="1"/>
  <c r="F80" i="3"/>
  <c r="V44" i="3"/>
  <c r="V80" i="3" s="1"/>
  <c r="H114" i="2" l="1"/>
  <c r="H143" i="2" s="1"/>
  <c r="I114" i="2" l="1"/>
  <c r="I143" i="2" s="1"/>
  <c r="J114" i="2"/>
  <c r="J143" i="2" s="1"/>
  <c r="K114" i="2"/>
  <c r="K143" i="2" s="1"/>
  <c r="I139" i="2"/>
  <c r="I145" i="2" s="1"/>
  <c r="J139" i="2"/>
  <c r="J145" i="2" s="1"/>
  <c r="K139" i="2"/>
  <c r="K145" i="2" s="1"/>
  <c r="L145" i="2"/>
  <c r="M145" i="2"/>
  <c r="N145" i="2"/>
  <c r="O145" i="2"/>
  <c r="P145" i="2"/>
  <c r="Q145" i="2"/>
  <c r="R145" i="2"/>
  <c r="X145" i="2"/>
  <c r="Y145" i="2"/>
  <c r="AB145" i="2"/>
  <c r="AC145" i="2"/>
  <c r="AD145" i="2"/>
  <c r="AJ139" i="2"/>
  <c r="AJ145" i="2" s="1"/>
  <c r="L143" i="2"/>
  <c r="M143" i="2"/>
  <c r="N143" i="2"/>
  <c r="O143" i="2"/>
  <c r="P143" i="2"/>
  <c r="Q143" i="2"/>
  <c r="R143" i="2"/>
  <c r="S143" i="2"/>
  <c r="T143" i="2"/>
  <c r="U143" i="2"/>
  <c r="V143" i="2"/>
  <c r="W143" i="2"/>
  <c r="X143" i="2"/>
  <c r="Y143" i="2"/>
  <c r="Z143" i="2"/>
  <c r="AA143" i="2"/>
  <c r="AB143" i="2"/>
  <c r="AC143" i="2"/>
  <c r="AD143" i="2"/>
  <c r="AE143" i="2"/>
  <c r="AF143" i="2"/>
  <c r="AG143" i="2"/>
  <c r="AH143" i="2"/>
  <c r="AI143" i="2"/>
  <c r="AJ143" i="2"/>
  <c r="S145" i="2"/>
  <c r="T145" i="2"/>
  <c r="U145" i="2"/>
  <c r="V145" i="2"/>
  <c r="W145" i="2"/>
  <c r="AE145" i="2"/>
  <c r="AF145" i="2"/>
  <c r="AG145" i="2"/>
  <c r="AH145" i="2"/>
  <c r="AI145" i="2"/>
  <c r="AA145" i="2" l="1"/>
  <c r="Z145" i="2"/>
  <c r="AK114" i="2"/>
  <c r="AK143" i="2" s="1"/>
  <c r="AK139" i="2"/>
  <c r="AK145" i="2" s="1"/>
  <c r="J5" i="1" l="1"/>
  <c r="AO39" i="2" l="1"/>
  <c r="AP39" i="2" s="1"/>
  <c r="BE5" i="7"/>
  <c r="F21" i="1"/>
  <c r="M11" i="1"/>
  <c r="M29" i="1" s="1"/>
  <c r="C22" i="9"/>
  <c r="BL5" i="7" l="1"/>
  <c r="BP5" i="7" s="1"/>
  <c r="BO5" i="7"/>
  <c r="H39" i="2"/>
  <c r="BE6" i="7"/>
  <c r="BP4" i="7"/>
  <c r="BQ4" i="7"/>
  <c r="N11" i="1"/>
  <c r="AO56" i="2"/>
  <c r="AP56" i="2" s="1"/>
  <c r="BL6" i="7" l="1"/>
  <c r="BO6" i="7"/>
  <c r="BQ5" i="7"/>
  <c r="BE7" i="7"/>
  <c r="BL7" i="7" l="1"/>
  <c r="BO7" i="7"/>
  <c r="BQ7" i="7" s="1"/>
  <c r="BP6" i="7"/>
  <c r="BP7" i="7"/>
  <c r="BE8" i="7"/>
  <c r="BQ6" i="7"/>
  <c r="BL8" i="7" l="1"/>
  <c r="BO8" i="7"/>
  <c r="BP8" i="7"/>
  <c r="BE9" i="7"/>
  <c r="BL9" i="7" l="1"/>
  <c r="BO9" i="7"/>
  <c r="BQ9" i="7" s="1"/>
  <c r="BQ8" i="7"/>
  <c r="BP9" i="7"/>
  <c r="BE10" i="7"/>
  <c r="BL10" i="7" l="1"/>
  <c r="BP10" i="7" s="1"/>
  <c r="BO10" i="7"/>
  <c r="BQ10" i="7" s="1"/>
  <c r="BE11" i="7"/>
  <c r="BL11" i="7" l="1"/>
  <c r="BO11" i="7"/>
  <c r="BP11" i="7"/>
  <c r="BE12" i="7"/>
  <c r="BL12" i="7" l="1"/>
  <c r="BP12" i="7" s="1"/>
  <c r="BO12" i="7"/>
  <c r="BQ12" i="7" s="1"/>
  <c r="BE13" i="7"/>
  <c r="BQ11" i="7"/>
  <c r="BL13" i="7" l="1"/>
  <c r="BO13" i="7"/>
  <c r="BQ13" i="7" s="1"/>
  <c r="BP13" i="7"/>
  <c r="BE14" i="7"/>
  <c r="BL14" i="7" l="1"/>
  <c r="BO14" i="7"/>
  <c r="BQ14" i="7" s="1"/>
  <c r="BE15" i="7"/>
  <c r="BP14" i="7"/>
  <c r="BL15" i="7" l="1"/>
  <c r="BP15" i="7" s="1"/>
  <c r="BO15" i="7"/>
  <c r="C15" i="7" s="1"/>
  <c r="BE16" i="7"/>
  <c r="BL16" i="7" l="1"/>
  <c r="BP16" i="7" s="1"/>
  <c r="BO16" i="7"/>
  <c r="BQ15" i="7"/>
  <c r="D15" i="7"/>
  <c r="BE17" i="7"/>
  <c r="BL17" i="7" l="1"/>
  <c r="BP17" i="7" s="1"/>
  <c r="BO17" i="7"/>
  <c r="BQ17" i="7" s="1"/>
  <c r="BQ16" i="7"/>
  <c r="BE18" i="7"/>
  <c r="BL18" i="7" l="1"/>
  <c r="BP18" i="7" s="1"/>
  <c r="BO18" i="7"/>
  <c r="BQ18" i="7" s="1"/>
  <c r="BE19" i="7"/>
  <c r="BL19" i="7" l="1"/>
  <c r="BP19" i="7" s="1"/>
  <c r="BO19" i="7"/>
  <c r="BQ19" i="7" s="1"/>
  <c r="BE20" i="7"/>
  <c r="BL20" i="7" l="1"/>
  <c r="BP20" i="7" s="1"/>
  <c r="BO20" i="7"/>
  <c r="BQ20" i="7" s="1"/>
  <c r="BE21" i="7"/>
  <c r="BL21" i="7" l="1"/>
  <c r="BP21" i="7" s="1"/>
  <c r="BO21" i="7"/>
  <c r="BQ21" i="7" s="1"/>
  <c r="BE22" i="7"/>
  <c r="BL22" i="7" l="1"/>
  <c r="BP22" i="7" s="1"/>
  <c r="BO22" i="7"/>
  <c r="BQ22" i="7" s="1"/>
  <c r="BE23" i="7"/>
  <c r="BL23" i="7" l="1"/>
  <c r="BP23" i="7" s="1"/>
  <c r="BO23" i="7"/>
  <c r="BQ23" i="7" s="1"/>
  <c r="BE24" i="7"/>
  <c r="BL24" i="7" l="1"/>
  <c r="BP24" i="7" s="1"/>
  <c r="BO24" i="7"/>
  <c r="BQ24" i="7" s="1"/>
  <c r="BE25" i="7"/>
  <c r="BL25" i="7" l="1"/>
  <c r="BO25" i="7"/>
  <c r="BQ25" i="7" s="1"/>
  <c r="BE26" i="7"/>
  <c r="BP25" i="7"/>
  <c r="BL26" i="7" l="1"/>
  <c r="BO26" i="7"/>
  <c r="BQ26" i="7" s="1"/>
  <c r="BE27" i="7"/>
  <c r="BP26" i="7"/>
  <c r="BL27" i="7" l="1"/>
  <c r="BO27" i="7"/>
  <c r="E15" i="7" s="1"/>
  <c r="BP27" i="7"/>
  <c r="BE28" i="7"/>
  <c r="BL28" i="7" l="1"/>
  <c r="BO28" i="7"/>
  <c r="BQ27" i="7"/>
  <c r="F15" i="7"/>
  <c r="BE29" i="7"/>
  <c r="BP28" i="7"/>
  <c r="BL29" i="7" l="1"/>
  <c r="BP29" i="7" s="1"/>
  <c r="BO29" i="7"/>
  <c r="BQ29" i="7" s="1"/>
  <c r="BQ28" i="7"/>
  <c r="BE30" i="7"/>
  <c r="BL30" i="7" l="1"/>
  <c r="BO30" i="7"/>
  <c r="BQ30" i="7" s="1"/>
  <c r="BE31" i="7"/>
  <c r="BP30" i="7"/>
  <c r="BL31" i="7" l="1"/>
  <c r="BP31" i="7" s="1"/>
  <c r="BO31" i="7"/>
  <c r="BQ31" i="7" s="1"/>
  <c r="BE32" i="7"/>
  <c r="BL32" i="7" l="1"/>
  <c r="BP32" i="7" s="1"/>
  <c r="BO32" i="7"/>
  <c r="BQ32" i="7" s="1"/>
  <c r="BE33" i="7"/>
  <c r="BL33" i="7" l="1"/>
  <c r="BO33" i="7"/>
  <c r="BQ33" i="7" s="1"/>
  <c r="BP33" i="7"/>
  <c r="BE34" i="7"/>
  <c r="BL34" i="7" l="1"/>
  <c r="BP34" i="7" s="1"/>
  <c r="BO34" i="7"/>
  <c r="BQ34" i="7" s="1"/>
  <c r="BE35" i="7"/>
  <c r="BL35" i="7" l="1"/>
  <c r="BP35" i="7" s="1"/>
  <c r="BO35" i="7"/>
  <c r="BQ35" i="7" s="1"/>
  <c r="BE36" i="7"/>
  <c r="BL36" i="7" l="1"/>
  <c r="BP36" i="7" s="1"/>
  <c r="BO36" i="7"/>
  <c r="BQ36" i="7" s="1"/>
  <c r="BE37" i="7"/>
  <c r="BL37" i="7" l="1"/>
  <c r="BP37" i="7" s="1"/>
  <c r="BO37" i="7"/>
  <c r="BQ37" i="7" s="1"/>
  <c r="BE38" i="7"/>
  <c r="BQ43" i="7" l="1"/>
  <c r="BL38" i="7"/>
  <c r="BP38" i="7" s="1"/>
  <c r="BO38" i="7"/>
  <c r="BQ38" i="7" s="1"/>
  <c r="BE39" i="7"/>
  <c r="BL39" i="7" l="1"/>
  <c r="BO39" i="7"/>
  <c r="G15" i="7" s="1"/>
  <c r="H15" i="7" s="1"/>
  <c r="BP39" i="7" l="1"/>
  <c r="BP40" i="7" s="1"/>
  <c r="BL41" i="7" s="1"/>
  <c r="BL40" i="7"/>
  <c r="BQ39" i="7"/>
  <c r="BO40" i="7"/>
  <c r="AS31" i="2" l="1"/>
  <c r="BQ40" i="7"/>
  <c r="BO41" i="7" s="1"/>
  <c r="I10" i="2"/>
  <c r="I13" i="2" s="1"/>
  <c r="K12" i="2" l="1"/>
  <c r="AS83" i="2"/>
  <c r="J10" i="2"/>
  <c r="J13" i="2" s="1"/>
  <c r="N26" i="1" l="1"/>
  <c r="N29" i="1"/>
  <c r="P37" i="1"/>
  <c r="S38" i="1"/>
  <c r="P38" i="1" s="1"/>
  <c r="N39" i="1"/>
  <c r="M7" i="1"/>
  <c r="N7" i="1" s="1"/>
  <c r="AO32" i="2"/>
  <c r="S32" i="2" l="1"/>
  <c r="S36" i="2" s="1"/>
  <c r="AK32" i="2"/>
  <c r="AK36" i="2" s="1"/>
  <c r="Z32" i="2"/>
  <c r="AA32" i="2"/>
  <c r="AA36" i="2" s="1"/>
  <c r="AB32" i="2"/>
  <c r="AB36" i="2" s="1"/>
  <c r="AP32" i="2"/>
  <c r="V32" i="2"/>
  <c r="V36" i="2" s="1"/>
  <c r="H38" i="1"/>
  <c r="P12" i="1"/>
  <c r="H37" i="1"/>
  <c r="P11" i="1"/>
  <c r="M25" i="1"/>
  <c r="Z36" i="2" l="1"/>
  <c r="Z175" i="2"/>
  <c r="Z176" i="2" s="1"/>
  <c r="N25" i="1"/>
  <c r="H34" i="2" l="1"/>
  <c r="H36" i="2" s="1"/>
  <c r="H40" i="2"/>
  <c r="H42" i="2" s="1"/>
  <c r="I91" i="2" l="1"/>
  <c r="I104" i="2" s="1"/>
  <c r="H92" i="2"/>
  <c r="I54" i="2" l="1"/>
  <c r="I132" i="2"/>
  <c r="AN57" i="2"/>
  <c r="BK15" i="2" l="1"/>
  <c r="BJ17" i="2"/>
  <c r="BK17" i="2" s="1"/>
  <c r="BJ20" i="2" l="1"/>
  <c r="CD22" i="7"/>
  <c r="M16" i="1" l="1"/>
  <c r="F28" i="1"/>
  <c r="F29" i="1" s="1"/>
  <c r="E29" i="1"/>
  <c r="AO34" i="2"/>
  <c r="Q34" i="2" l="1"/>
  <c r="Q36" i="2" s="1"/>
  <c r="O34" i="2"/>
  <c r="O36" i="2" s="1"/>
  <c r="K34" i="2"/>
  <c r="K36" i="2" s="1"/>
  <c r="AP34" i="2"/>
  <c r="AO36" i="2"/>
  <c r="AP36" i="2" s="1"/>
  <c r="M38" i="1"/>
  <c r="N38" i="1" s="1"/>
  <c r="N16" i="1"/>
  <c r="K10" i="2" l="1"/>
  <c r="K13" i="2" s="1"/>
  <c r="L12" i="2"/>
  <c r="L10" i="2" l="1"/>
  <c r="L13" i="2" s="1"/>
  <c r="M12" i="2"/>
  <c r="D6" i="7"/>
  <c r="AN22" i="7" s="1"/>
  <c r="M10" i="2" l="1"/>
  <c r="M13" i="2" s="1"/>
  <c r="D8" i="7"/>
  <c r="C10" i="7" l="1"/>
  <c r="D7" i="7"/>
  <c r="D10" i="7" l="1"/>
  <c r="C12" i="7"/>
  <c r="C16" i="7" l="1"/>
  <c r="D12" i="7"/>
  <c r="AB10" i="7"/>
  <c r="Y10" i="7" s="1"/>
  <c r="Z10" i="7" s="1"/>
  <c r="C18" i="7"/>
  <c r="D18" i="7" l="1"/>
  <c r="F7" i="7" l="1"/>
  <c r="E10" i="7"/>
  <c r="F10" i="7" l="1"/>
  <c r="G10" i="7"/>
  <c r="H7" i="7"/>
  <c r="H10" i="7" l="1"/>
  <c r="J91" i="2"/>
  <c r="J104" i="2" s="1"/>
  <c r="I92" i="2"/>
  <c r="K91" i="2" l="1"/>
  <c r="J92" i="2"/>
  <c r="K104" i="2"/>
  <c r="L91" i="2" l="1"/>
  <c r="L104" i="2" s="1"/>
  <c r="L132" i="2" s="1"/>
  <c r="K92" i="2"/>
  <c r="M91" i="2" l="1"/>
  <c r="M104" i="2" s="1"/>
  <c r="K40" i="2" l="1"/>
  <c r="K42" i="2" s="1"/>
  <c r="R26" i="1" l="1"/>
  <c r="C17" i="2"/>
  <c r="R8" i="1" l="1"/>
  <c r="I97" i="2"/>
  <c r="J97" i="2"/>
  <c r="K97" i="2"/>
  <c r="L97" i="2"/>
  <c r="M97" i="2"/>
  <c r="N91" i="2" l="1"/>
  <c r="N97" i="2" s="1"/>
  <c r="N104" i="2" l="1"/>
  <c r="J25" i="1" l="1"/>
  <c r="AL29" i="2" l="1"/>
  <c r="AL44" i="2" s="1"/>
  <c r="D21" i="7" l="1"/>
  <c r="D22" i="7" s="1"/>
  <c r="C22" i="7"/>
  <c r="C24" i="7" s="1"/>
  <c r="D24" i="7" l="1"/>
  <c r="AN49" i="2" l="1"/>
  <c r="AN51" i="2" s="1"/>
  <c r="E22" i="7" l="1"/>
  <c r="F21" i="7" l="1"/>
  <c r="F22" i="7" s="1"/>
  <c r="AN70" i="2" l="1"/>
  <c r="AN83" i="2" s="1"/>
  <c r="AN76" i="2" l="1"/>
  <c r="AM133" i="2"/>
  <c r="M9" i="1"/>
  <c r="N9" i="1" s="1"/>
  <c r="AO20" i="2" l="1"/>
  <c r="F11" i="1"/>
  <c r="M27" i="1"/>
  <c r="AP20" i="2" l="1"/>
  <c r="H20" i="2"/>
  <c r="N27" i="1"/>
  <c r="E14" i="1" l="1"/>
  <c r="AO21" i="2"/>
  <c r="H21" i="2" s="1"/>
  <c r="H24" i="2" s="1"/>
  <c r="AO24" i="2" l="1"/>
  <c r="AP24" i="2" s="1"/>
  <c r="AP21" i="2"/>
  <c r="F14" i="1"/>
  <c r="R23" i="1"/>
  <c r="S24" i="1"/>
  <c r="Q25" i="1"/>
  <c r="I24" i="1" s="1"/>
  <c r="F12" i="1"/>
  <c r="M10" i="1"/>
  <c r="Q7" i="1" l="1"/>
  <c r="R25" i="1"/>
  <c r="C16" i="2"/>
  <c r="M28" i="1"/>
  <c r="N10" i="1"/>
  <c r="S25" i="1"/>
  <c r="P25" i="1" s="1"/>
  <c r="P24" i="1"/>
  <c r="C9" i="2"/>
  <c r="C34" i="2" s="1"/>
  <c r="E6" i="9"/>
  <c r="E11" i="9" s="1"/>
  <c r="H24" i="1" l="1"/>
  <c r="H6" i="1" s="1"/>
  <c r="P7" i="1"/>
  <c r="N28" i="1"/>
  <c r="M32" i="1"/>
  <c r="N32" i="1" s="1"/>
  <c r="C25" i="2"/>
  <c r="C24" i="2"/>
  <c r="R7" i="1"/>
  <c r="R9" i="1" s="1"/>
  <c r="Q9" i="1"/>
  <c r="E10" i="9"/>
  <c r="H23" i="1"/>
  <c r="H5" i="1" s="1"/>
  <c r="P6" i="1"/>
  <c r="J24" i="1"/>
  <c r="I32" i="1"/>
  <c r="J32" i="1" s="1"/>
  <c r="I6" i="1"/>
  <c r="C26" i="2" l="1"/>
  <c r="J6" i="1"/>
  <c r="BW7" i="7"/>
  <c r="I158" i="2" l="1"/>
  <c r="I159" i="2" s="1"/>
  <c r="DS7" i="7"/>
  <c r="DS12" i="7" l="1"/>
  <c r="J54" i="2" l="1"/>
  <c r="J132" i="2"/>
  <c r="K54" i="2" l="1"/>
  <c r="K132" i="2"/>
  <c r="K158" i="2" s="1"/>
  <c r="J158" i="2"/>
  <c r="J159" i="2" l="1"/>
  <c r="K159" i="2"/>
  <c r="G21" i="7" l="1"/>
  <c r="Z29" i="2"/>
  <c r="Z44" i="2" s="1"/>
  <c r="AD29" i="2"/>
  <c r="AD44" i="2" s="1"/>
  <c r="AD115" i="2" s="1"/>
  <c r="AE29" i="2"/>
  <c r="AE44" i="2" s="1"/>
  <c r="AE115" i="2" s="1"/>
  <c r="AF29" i="2"/>
  <c r="AF44" i="2" s="1"/>
  <c r="AF115" i="2" s="1"/>
  <c r="AG29" i="2"/>
  <c r="AG44" i="2" s="1"/>
  <c r="AH29" i="2"/>
  <c r="AH44" i="2" s="1"/>
  <c r="AH115" i="2" s="1"/>
  <c r="AI29" i="2"/>
  <c r="AI44" i="2" s="1"/>
  <c r="AI115" i="2" s="1"/>
  <c r="AJ29" i="2"/>
  <c r="AJ44" i="2" s="1"/>
  <c r="Z73" i="2" l="1"/>
  <c r="Z94" i="2" s="1"/>
  <c r="Z115" i="2"/>
  <c r="BY7" i="7" s="1"/>
  <c r="DU7" i="7" s="1"/>
  <c r="G22" i="7"/>
  <c r="H21" i="7"/>
  <c r="H22" i="7" s="1"/>
  <c r="AN91" i="2"/>
  <c r="AN93" i="2"/>
  <c r="AN58" i="2" s="1"/>
  <c r="AO93" i="2"/>
  <c r="AP93" i="2" s="1"/>
  <c r="AN97" i="2"/>
  <c r="AN104" i="2"/>
  <c r="AN54" i="2" s="1"/>
  <c r="AN59" i="2" s="1"/>
  <c r="AN61" i="2" s="1"/>
  <c r="AN146" i="2" l="1"/>
  <c r="AM91" i="2"/>
  <c r="AM104" i="2" s="1"/>
  <c r="AM92" i="2" l="1"/>
  <c r="AM97" i="2"/>
  <c r="O91" i="2" l="1"/>
  <c r="O97" i="2" s="1"/>
  <c r="O104" i="2" l="1"/>
  <c r="AK29" i="2"/>
  <c r="AK44" i="2" s="1"/>
  <c r="T29" i="2"/>
  <c r="T44" i="2" s="1"/>
  <c r="T115" i="2" s="1"/>
  <c r="T175" i="2" s="1"/>
  <c r="T176" i="2" s="1"/>
  <c r="N29" i="2"/>
  <c r="N44" i="2" s="1"/>
  <c r="O29" i="2"/>
  <c r="O44" i="2" s="1"/>
  <c r="O115" i="2" s="1"/>
  <c r="AK115" i="2" l="1"/>
  <c r="C14" i="9" l="1"/>
  <c r="AX12" i="7"/>
  <c r="BZ7" i="7"/>
  <c r="N10" i="2" l="1"/>
  <c r="N51" i="2"/>
  <c r="O10" i="2" l="1"/>
  <c r="O13" i="2" s="1"/>
  <c r="O51" i="2"/>
  <c r="N13" i="2"/>
  <c r="P10" i="2" l="1"/>
  <c r="Q12" i="2"/>
  <c r="P13" i="2" l="1"/>
  <c r="R12" i="2"/>
  <c r="Q10" i="2"/>
  <c r="Q13" i="2" s="1"/>
  <c r="R10" i="2" l="1"/>
  <c r="S12" i="2"/>
  <c r="T12" i="2" l="1"/>
  <c r="S10" i="2"/>
  <c r="S13" i="2" s="1"/>
  <c r="R13" i="2"/>
  <c r="U12" i="2" l="1"/>
  <c r="T10" i="2"/>
  <c r="T51" i="2"/>
  <c r="T13" i="2" l="1"/>
  <c r="V12" i="2"/>
  <c r="U10" i="2"/>
  <c r="U13" i="2" s="1"/>
  <c r="V10" i="2" l="1"/>
  <c r="V13" i="2" s="1"/>
  <c r="W12" i="2"/>
  <c r="W10" i="2" l="1"/>
  <c r="W13" i="2" s="1"/>
  <c r="X12" i="2"/>
  <c r="X10" i="2" l="1"/>
  <c r="X13" i="2" s="1"/>
  <c r="Y12" i="2"/>
  <c r="AA12" i="2" s="1"/>
  <c r="Y10" i="2" l="1"/>
  <c r="Y13" i="2" s="1"/>
  <c r="Z51" i="2" l="1"/>
  <c r="Z10" i="2"/>
  <c r="Z13" i="2" s="1"/>
  <c r="AA10" i="2" l="1"/>
  <c r="AA13" i="2" s="1"/>
  <c r="AB12" i="2"/>
  <c r="AB10" i="2" l="1"/>
  <c r="AB13" i="2" s="1"/>
  <c r="AC12" i="2"/>
  <c r="AD12" i="2" l="1"/>
  <c r="AC10" i="2"/>
  <c r="AC13" i="2" s="1"/>
  <c r="AD51" i="2" l="1"/>
  <c r="AE12" i="2"/>
  <c r="AD10" i="2"/>
  <c r="AD13" i="2" s="1"/>
  <c r="AE51" i="2" l="1"/>
  <c r="AE10" i="2"/>
  <c r="AE13" i="2" s="1"/>
  <c r="AF12" i="2"/>
  <c r="AG12" i="2" l="1"/>
  <c r="AF10" i="2"/>
  <c r="AF13" i="2" s="1"/>
  <c r="AF51" i="2"/>
  <c r="AH12" i="2" l="1"/>
  <c r="AG51" i="2"/>
  <c r="AG10" i="2"/>
  <c r="AG13" i="2" s="1"/>
  <c r="E6" i="7"/>
  <c r="F6" i="7" l="1"/>
  <c r="E8" i="7"/>
  <c r="G6" i="7"/>
  <c r="AI12" i="2"/>
  <c r="AH10" i="2"/>
  <c r="AH13" i="2" s="1"/>
  <c r="AH51" i="2"/>
  <c r="AI10" i="2" l="1"/>
  <c r="AI13" i="2" s="1"/>
  <c r="AJ12" i="2"/>
  <c r="AI51" i="2"/>
  <c r="H6" i="7"/>
  <c r="G8" i="7"/>
  <c r="E12" i="7"/>
  <c r="F8" i="7"/>
  <c r="F12" i="7" l="1"/>
  <c r="E18" i="7"/>
  <c r="E16" i="7"/>
  <c r="G12" i="7"/>
  <c r="H8" i="7"/>
  <c r="AJ10" i="2"/>
  <c r="AJ13" i="2" s="1"/>
  <c r="AK12" i="2"/>
  <c r="AJ51" i="2"/>
  <c r="AW12" i="2" l="1"/>
  <c r="AS7" i="2" s="1"/>
  <c r="N5" i="7" s="1"/>
  <c r="O5" i="7" s="1"/>
  <c r="AK51" i="2"/>
  <c r="AK10" i="2"/>
  <c r="AK13" i="2" s="1"/>
  <c r="G18" i="7"/>
  <c r="G16" i="7"/>
  <c r="H12" i="7"/>
  <c r="E24" i="7"/>
  <c r="F18" i="7"/>
  <c r="AL10" i="2" l="1"/>
  <c r="AO12" i="2"/>
  <c r="AP12" i="2" s="1"/>
  <c r="F24" i="7"/>
  <c r="H18" i="7"/>
  <c r="G24" i="7"/>
  <c r="H24" i="7" l="1"/>
  <c r="X6" i="8"/>
  <c r="CH7" i="7"/>
  <c r="CH19" i="7" s="1"/>
  <c r="T22" i="8"/>
  <c r="AY12" i="2"/>
  <c r="AL47" i="2"/>
  <c r="C25" i="9"/>
  <c r="AW26" i="2"/>
  <c r="AW10" i="2"/>
  <c r="BS12" i="2" s="1"/>
  <c r="AW16" i="2"/>
  <c r="AW13" i="2"/>
  <c r="AS75" i="2"/>
  <c r="AS68" i="2"/>
  <c r="AS77" i="2" s="1"/>
  <c r="AL13" i="2"/>
  <c r="AO10" i="2"/>
  <c r="AP10" i="2" s="1"/>
  <c r="CI7" i="7" l="1"/>
  <c r="CI19" i="7" s="1"/>
  <c r="C26" i="9"/>
  <c r="E39" i="9"/>
  <c r="E41" i="9" s="1"/>
  <c r="E43" i="9" s="1"/>
  <c r="C43" i="9"/>
  <c r="C44" i="9" s="1"/>
  <c r="C46" i="9" s="1"/>
  <c r="C30" i="9"/>
  <c r="C33" i="9" s="1"/>
  <c r="AO47" i="2"/>
  <c r="AP47" i="2" s="1"/>
  <c r="AS30" i="2"/>
  <c r="AO13" i="2"/>
  <c r="AY13" i="2"/>
  <c r="AY26" i="2"/>
  <c r="AY10" i="2"/>
  <c r="BT12" i="2" s="1"/>
  <c r="AY22" i="2"/>
  <c r="AY23" i="2" s="1"/>
  <c r="AZ12" i="2"/>
  <c r="CJ7" i="7" s="1"/>
  <c r="CJ19" i="7" s="1"/>
  <c r="AY16" i="2"/>
  <c r="T23" i="8"/>
  <c r="E47" i="9"/>
  <c r="E48" i="9" s="1"/>
  <c r="CD7" i="7"/>
  <c r="CD9" i="7" s="1"/>
  <c r="CG19" i="7" s="1"/>
  <c r="AS69" i="2"/>
  <c r="CW6" i="7"/>
  <c r="CX6" i="7"/>
  <c r="CY6" i="7"/>
  <c r="CZ6" i="7"/>
  <c r="CV6" i="7"/>
  <c r="DA6" i="7"/>
  <c r="DB6" i="7"/>
  <c r="DC6" i="7"/>
  <c r="DD6" i="7"/>
  <c r="CU6" i="7"/>
  <c r="CT6" i="7"/>
  <c r="AW17" i="2"/>
  <c r="AW27" i="2"/>
  <c r="AW29" i="2"/>
  <c r="X7" i="8"/>
  <c r="Y6" i="8"/>
  <c r="AJ6" i="8"/>
  <c r="AW22" i="2"/>
  <c r="AS82" i="2" l="1"/>
  <c r="DD7" i="7"/>
  <c r="AJ7" i="8"/>
  <c r="AV6" i="8"/>
  <c r="AW68" i="2"/>
  <c r="AY68" i="2"/>
  <c r="AZ68" i="2" s="1"/>
  <c r="BA68" i="2" s="1"/>
  <c r="BB68" i="2" s="1"/>
  <c r="BC68" i="2" s="1"/>
  <c r="BD68" i="2" s="1"/>
  <c r="BE68" i="2" s="1"/>
  <c r="BF68" i="2" s="1"/>
  <c r="BG68" i="2" s="1"/>
  <c r="BR13" i="2"/>
  <c r="AP13" i="2"/>
  <c r="DB7" i="7"/>
  <c r="DA7" i="7"/>
  <c r="AK6" i="8"/>
  <c r="Y7" i="8"/>
  <c r="Z6" i="8"/>
  <c r="AY17" i="2"/>
  <c r="CV7" i="7"/>
  <c r="AZ13" i="2"/>
  <c r="AZ26" i="2"/>
  <c r="BA12" i="2"/>
  <c r="CK7" i="7" s="1"/>
  <c r="CK19" i="7" s="1"/>
  <c r="AZ16" i="2"/>
  <c r="AZ22" i="2"/>
  <c r="AZ23" i="2" s="1"/>
  <c r="AZ10" i="2"/>
  <c r="BU12" i="2" s="1"/>
  <c r="AS79" i="2"/>
  <c r="AS81" i="2"/>
  <c r="AS80" i="2"/>
  <c r="AW24" i="2"/>
  <c r="AY24" i="2"/>
  <c r="AW23" i="2"/>
  <c r="DC7" i="7"/>
  <c r="CZ7" i="7"/>
  <c r="CD12" i="7"/>
  <c r="CD13" i="7" s="1"/>
  <c r="CG15" i="7" s="1"/>
  <c r="AW30" i="2"/>
  <c r="CY7" i="7"/>
  <c r="CX7" i="7"/>
  <c r="AY29" i="2"/>
  <c r="AY27" i="2"/>
  <c r="CT7" i="7"/>
  <c r="CW7" i="7"/>
  <c r="CU7" i="7"/>
  <c r="AY30" i="2" l="1"/>
  <c r="AZ17" i="2"/>
  <c r="BA13" i="2"/>
  <c r="BA10" i="2"/>
  <c r="BV12" i="2" s="1"/>
  <c r="BA22" i="2"/>
  <c r="BA23" i="2" s="1"/>
  <c r="BB12" i="2"/>
  <c r="BA16" i="2"/>
  <c r="BA26" i="2"/>
  <c r="AZ29" i="2"/>
  <c r="AZ27" i="2"/>
  <c r="AV7" i="8"/>
  <c r="BH6" i="8"/>
  <c r="AK7" i="8"/>
  <c r="AW6" i="8"/>
  <c r="AZ69" i="2"/>
  <c r="BA69" i="2" s="1"/>
  <c r="BB69" i="2" s="1"/>
  <c r="BC69" i="2" s="1"/>
  <c r="BD69" i="2" s="1"/>
  <c r="BE69" i="2" s="1"/>
  <c r="BF69" i="2" s="1"/>
  <c r="BG69" i="2" s="1"/>
  <c r="AY69" i="2"/>
  <c r="AA6" i="8"/>
  <c r="AL6" i="8"/>
  <c r="Z7" i="8"/>
  <c r="AZ24" i="2"/>
  <c r="CD23" i="7"/>
  <c r="CD24" i="7" s="1"/>
  <c r="CH8" i="7"/>
  <c r="CL7" i="7" l="1"/>
  <c r="CL19" i="7" s="1"/>
  <c r="AM6" i="8"/>
  <c r="AB6" i="8"/>
  <c r="AA7" i="8"/>
  <c r="BH7" i="8"/>
  <c r="BT6" i="8"/>
  <c r="BA29" i="2"/>
  <c r="BA27" i="2"/>
  <c r="AX6" i="8"/>
  <c r="AL7" i="8"/>
  <c r="AZ30" i="2"/>
  <c r="AZ70" i="2"/>
  <c r="BA70" i="2"/>
  <c r="BB70" i="2" s="1"/>
  <c r="BC70" i="2" s="1"/>
  <c r="BD70" i="2" s="1"/>
  <c r="BE70" i="2" s="1"/>
  <c r="BF70" i="2" s="1"/>
  <c r="BG70" i="2" s="1"/>
  <c r="AW7" i="8"/>
  <c r="BI6" i="8"/>
  <c r="BA17" i="2"/>
  <c r="BC12" i="2"/>
  <c r="BB16" i="2"/>
  <c r="BB13" i="2"/>
  <c r="BB26" i="2"/>
  <c r="BB10" i="2"/>
  <c r="BW12" i="2" s="1"/>
  <c r="BB22" i="2"/>
  <c r="BB24" i="2" s="1"/>
  <c r="BA24" i="2"/>
  <c r="CI8" i="7"/>
  <c r="CH9" i="7"/>
  <c r="CM7" i="7" l="1"/>
  <c r="CM19" i="7" s="1"/>
  <c r="BA30" i="2"/>
  <c r="BI7" i="8"/>
  <c r="BU6" i="8"/>
  <c r="BB23" i="2"/>
  <c r="BB29" i="2"/>
  <c r="BB27" i="2"/>
  <c r="BB17" i="2"/>
  <c r="BD12" i="2"/>
  <c r="CN7" i="7" s="1"/>
  <c r="BC16" i="2"/>
  <c r="BC13" i="2"/>
  <c r="BC26" i="2"/>
  <c r="BC10" i="2"/>
  <c r="BC22" i="2"/>
  <c r="BC23" i="2" s="1"/>
  <c r="CH15" i="7"/>
  <c r="CH10" i="7"/>
  <c r="CJ8" i="7"/>
  <c r="CI9" i="7"/>
  <c r="AX7" i="8"/>
  <c r="BJ6" i="8"/>
  <c r="BT7" i="8"/>
  <c r="CF6" i="8"/>
  <c r="AN6" i="8"/>
  <c r="AC6" i="8"/>
  <c r="AB7" i="8"/>
  <c r="AY6" i="8"/>
  <c r="AM7" i="8"/>
  <c r="BA71" i="2"/>
  <c r="BB71" i="2"/>
  <c r="BC71" i="2" s="1"/>
  <c r="BD71" i="2" s="1"/>
  <c r="BE71" i="2" s="1"/>
  <c r="BF71" i="2" s="1"/>
  <c r="BG71" i="2" s="1"/>
  <c r="CN19" i="7" l="1"/>
  <c r="AO6" i="8"/>
  <c r="AD6" i="8"/>
  <c r="AC7" i="8"/>
  <c r="BC24" i="2"/>
  <c r="CI15" i="7"/>
  <c r="CI10" i="7"/>
  <c r="CI11" i="7" s="1"/>
  <c r="BC29" i="2"/>
  <c r="BC27" i="2"/>
  <c r="CH11" i="7"/>
  <c r="BU7" i="8"/>
  <c r="CG6" i="8"/>
  <c r="BB72" i="2"/>
  <c r="BC72" i="2"/>
  <c r="BD72" i="2" s="1"/>
  <c r="BE72" i="2" s="1"/>
  <c r="BF72" i="2" s="1"/>
  <c r="BG72" i="2" s="1"/>
  <c r="BJ7" i="8"/>
  <c r="BV6" i="8"/>
  <c r="AZ6" i="8"/>
  <c r="AN7" i="8"/>
  <c r="BC17" i="2"/>
  <c r="BD13" i="2"/>
  <c r="BE12" i="2"/>
  <c r="CO7" i="7" s="1"/>
  <c r="BD16" i="2"/>
  <c r="BD26" i="2"/>
  <c r="BD10" i="2"/>
  <c r="BD22" i="2"/>
  <c r="CF7" i="8"/>
  <c r="CR6" i="8"/>
  <c r="CK8" i="7"/>
  <c r="CJ9" i="7"/>
  <c r="BK6" i="8"/>
  <c r="AY7" i="8"/>
  <c r="BB30" i="2"/>
  <c r="CO19" i="7" l="1"/>
  <c r="BK7" i="8"/>
  <c r="BW6" i="8"/>
  <c r="BV7" i="8"/>
  <c r="CH6" i="8"/>
  <c r="BD29" i="2"/>
  <c r="BD27" i="2"/>
  <c r="BC30" i="2"/>
  <c r="CG7" i="8"/>
  <c r="CS6" i="8"/>
  <c r="BD23" i="2"/>
  <c r="BD24" i="2"/>
  <c r="BE10" i="2"/>
  <c r="BE16" i="2"/>
  <c r="BE22" i="2"/>
  <c r="BF12" i="2"/>
  <c r="CP7" i="7" s="1"/>
  <c r="BE13" i="2"/>
  <c r="BE26" i="2"/>
  <c r="CR7" i="8"/>
  <c r="DD6" i="8"/>
  <c r="CJ10" i="7"/>
  <c r="CJ15" i="7"/>
  <c r="AP6" i="8"/>
  <c r="AE6" i="8"/>
  <c r="AD7" i="8"/>
  <c r="BC73" i="2"/>
  <c r="BD73" i="2"/>
  <c r="BE73" i="2" s="1"/>
  <c r="BF73" i="2" s="1"/>
  <c r="BG73" i="2" s="1"/>
  <c r="BL6" i="8"/>
  <c r="AZ7" i="8"/>
  <c r="BD17" i="2"/>
  <c r="CL8" i="7"/>
  <c r="CK9" i="7"/>
  <c r="BA6" i="8"/>
  <c r="AO7" i="8"/>
  <c r="CL9" i="7" l="1"/>
  <c r="CL15" i="7" s="1"/>
  <c r="CM8" i="7"/>
  <c r="CP19" i="7"/>
  <c r="BX6" i="8"/>
  <c r="BL7" i="8"/>
  <c r="BW7" i="8"/>
  <c r="CI6" i="8"/>
  <c r="CK10" i="7"/>
  <c r="CK11" i="7" s="1"/>
  <c r="CK15" i="7"/>
  <c r="BE23" i="2"/>
  <c r="BE24" i="2"/>
  <c r="BE17" i="2"/>
  <c r="CS7" i="8"/>
  <c r="DE6" i="8"/>
  <c r="AQ6" i="8"/>
  <c r="AF6" i="8"/>
  <c r="AE7" i="8"/>
  <c r="CJ11" i="7"/>
  <c r="DD7" i="8"/>
  <c r="DP6" i="8"/>
  <c r="BM6" i="8"/>
  <c r="BA7" i="8"/>
  <c r="BB6" i="8"/>
  <c r="AP7" i="8"/>
  <c r="BD30" i="2"/>
  <c r="BF10" i="2"/>
  <c r="BF26" i="2"/>
  <c r="BF22" i="2"/>
  <c r="BF23" i="2" s="1"/>
  <c r="BF16" i="2"/>
  <c r="BG12" i="2"/>
  <c r="BF13" i="2"/>
  <c r="BD74" i="2"/>
  <c r="BE74" i="2"/>
  <c r="BF74" i="2" s="1"/>
  <c r="BG74" i="2" s="1"/>
  <c r="BE29" i="2"/>
  <c r="BE27" i="2"/>
  <c r="CH7" i="8"/>
  <c r="CT6" i="8"/>
  <c r="CQ7" i="7" l="1"/>
  <c r="CD16" i="7" s="1"/>
  <c r="CD18" i="7" s="1"/>
  <c r="CD19" i="7" s="1"/>
  <c r="CL10" i="7"/>
  <c r="CL11" i="7" s="1"/>
  <c r="CN8" i="7"/>
  <c r="CM9" i="7"/>
  <c r="BC6" i="8"/>
  <c r="AQ7" i="8"/>
  <c r="BF17" i="2"/>
  <c r="BF27" i="2"/>
  <c r="BF29" i="2"/>
  <c r="CJ6" i="8"/>
  <c r="BX7" i="8"/>
  <c r="DE7" i="8"/>
  <c r="DQ6" i="8"/>
  <c r="AR6" i="8"/>
  <c r="AG6" i="8"/>
  <c r="AF7" i="8"/>
  <c r="BF75" i="2"/>
  <c r="BG75" i="2" s="1"/>
  <c r="BE75" i="2"/>
  <c r="DP7" i="8"/>
  <c r="EB6" i="8"/>
  <c r="CT7" i="8"/>
  <c r="DF6" i="8"/>
  <c r="BE30" i="2"/>
  <c r="BY6" i="8"/>
  <c r="BM7" i="8"/>
  <c r="BF24" i="2"/>
  <c r="BG10" i="2"/>
  <c r="BG26" i="2"/>
  <c r="BG22" i="2"/>
  <c r="BG16" i="2"/>
  <c r="BG13" i="2"/>
  <c r="BN6" i="8"/>
  <c r="BB7" i="8"/>
  <c r="CI7" i="8"/>
  <c r="CU6" i="8"/>
  <c r="CQ19" i="7" l="1"/>
  <c r="CG20" i="7" s="1"/>
  <c r="CM15" i="7"/>
  <c r="CM10" i="7"/>
  <c r="CO8" i="7"/>
  <c r="CN9" i="7"/>
  <c r="AS6" i="8"/>
  <c r="AH6" i="8"/>
  <c r="AG7" i="8"/>
  <c r="DQ7" i="8"/>
  <c r="EC6" i="8"/>
  <c r="DF7" i="8"/>
  <c r="DR6" i="8"/>
  <c r="BO6" i="8"/>
  <c r="BC7" i="8"/>
  <c r="BD6" i="8"/>
  <c r="AR7" i="8"/>
  <c r="CK6" i="8"/>
  <c r="BY7" i="8"/>
  <c r="BZ6" i="8"/>
  <c r="BN7" i="8"/>
  <c r="CV6" i="8"/>
  <c r="CJ7" i="8"/>
  <c r="BF30" i="2"/>
  <c r="EB7" i="8"/>
  <c r="EN6" i="8"/>
  <c r="CU7" i="8"/>
  <c r="DG6" i="8"/>
  <c r="BG23" i="2"/>
  <c r="BG24" i="2"/>
  <c r="BG17" i="2"/>
  <c r="BG29" i="2"/>
  <c r="BG27" i="2"/>
  <c r="BF76" i="2"/>
  <c r="BG76" i="2"/>
  <c r="CG21" i="7" l="1"/>
  <c r="CP8" i="7"/>
  <c r="CO9" i="7"/>
  <c r="CM11" i="7"/>
  <c r="CN15" i="7"/>
  <c r="CN10" i="7"/>
  <c r="CN11" i="7" s="1"/>
  <c r="BG77" i="2"/>
  <c r="CA6" i="8"/>
  <c r="BO7" i="8"/>
  <c r="EN7" i="8"/>
  <c r="EZ6" i="8"/>
  <c r="CL6" i="8"/>
  <c r="BZ7" i="8"/>
  <c r="BG30" i="2"/>
  <c r="BE6" i="8"/>
  <c r="AS7" i="8"/>
  <c r="AH7" i="8"/>
  <c r="AI6" i="8"/>
  <c r="AT6" i="8"/>
  <c r="CW6" i="8"/>
  <c r="CK7" i="8"/>
  <c r="DR7" i="8"/>
  <c r="ED6" i="8"/>
  <c r="EC7" i="8"/>
  <c r="EO6" i="8"/>
  <c r="DG7" i="8"/>
  <c r="DS6" i="8"/>
  <c r="BP6" i="8"/>
  <c r="BD7" i="8"/>
  <c r="DH6" i="8"/>
  <c r="CV7" i="8"/>
  <c r="CO15" i="7" l="1"/>
  <c r="CO10" i="7"/>
  <c r="CO11" i="7" s="1"/>
  <c r="CQ8" i="7"/>
  <c r="CQ9" i="7" s="1"/>
  <c r="CP9" i="7"/>
  <c r="CX6" i="8"/>
  <c r="CL7" i="8"/>
  <c r="ED7" i="8"/>
  <c r="EP6" i="8"/>
  <c r="EZ7" i="8"/>
  <c r="FL6" i="8"/>
  <c r="FL7" i="8" s="1"/>
  <c r="BF6" i="8"/>
  <c r="AT7" i="8"/>
  <c r="BQ6" i="8"/>
  <c r="BE7" i="8"/>
  <c r="CB6" i="8"/>
  <c r="BP7" i="8"/>
  <c r="DS7" i="8"/>
  <c r="EE6" i="8"/>
  <c r="CM6" i="8"/>
  <c r="CA7" i="8"/>
  <c r="DI6" i="8"/>
  <c r="CW7" i="8"/>
  <c r="AU6" i="8"/>
  <c r="AI7" i="8"/>
  <c r="AR12" i="8" s="1"/>
  <c r="EO7" i="8"/>
  <c r="FA6" i="8"/>
  <c r="DT6" i="8"/>
  <c r="DH7" i="8"/>
  <c r="AN12" i="8" l="1"/>
  <c r="AQ12" i="8"/>
  <c r="AE16" i="8"/>
  <c r="AF19" i="8"/>
  <c r="AF21" i="8" s="1"/>
  <c r="CP15" i="7"/>
  <c r="CP10" i="7"/>
  <c r="CP11" i="7" s="1"/>
  <c r="AB19" i="8"/>
  <c r="AB21" i="8" s="1"/>
  <c r="AS12" i="8"/>
  <c r="CQ10" i="7"/>
  <c r="CQ15" i="7"/>
  <c r="AH16" i="8"/>
  <c r="AH19" i="8"/>
  <c r="AH21" i="8" s="1"/>
  <c r="AD16" i="8"/>
  <c r="AG16" i="8"/>
  <c r="AB16" i="8"/>
  <c r="EF6" i="8"/>
  <c r="DT7" i="8"/>
  <c r="BR6" i="8"/>
  <c r="BF7" i="8"/>
  <c r="FA7" i="8"/>
  <c r="FM6" i="8"/>
  <c r="FM7" i="8" s="1"/>
  <c r="DJ6" i="8"/>
  <c r="CX7" i="8"/>
  <c r="BG6" i="8"/>
  <c r="AU7" i="8"/>
  <c r="BE12" i="8" s="1"/>
  <c r="DU6" i="8"/>
  <c r="DI7" i="8"/>
  <c r="CN6" i="8"/>
  <c r="CB7" i="8"/>
  <c r="CC6" i="8"/>
  <c r="BQ7" i="8"/>
  <c r="EE7" i="8"/>
  <c r="EQ6" i="8"/>
  <c r="EP7" i="8"/>
  <c r="FB6" i="8"/>
  <c r="CY6" i="8"/>
  <c r="CM7" i="8"/>
  <c r="AI16" i="8"/>
  <c r="AI19" i="8"/>
  <c r="AI21" i="8" s="1"/>
  <c r="AT12" i="8"/>
  <c r="AJ12" i="8"/>
  <c r="Z16" i="8"/>
  <c r="Y19" i="8"/>
  <c r="Y21" i="8" s="1"/>
  <c r="Y16" i="8"/>
  <c r="AK12" i="8"/>
  <c r="T29" i="8"/>
  <c r="T30" i="8" s="1"/>
  <c r="T32" i="8" s="1"/>
  <c r="X19" i="8"/>
  <c r="X21" i="8" s="1"/>
  <c r="AI12" i="8"/>
  <c r="T16" i="8"/>
  <c r="T18" i="8" s="1"/>
  <c r="AO12" i="8"/>
  <c r="X16" i="8"/>
  <c r="AF16" i="8"/>
  <c r="AP12" i="8"/>
  <c r="AA19" i="8"/>
  <c r="AA21" i="8" s="1"/>
  <c r="Z19" i="8"/>
  <c r="Z21" i="8" s="1"/>
  <c r="AE19" i="8"/>
  <c r="AE21" i="8" s="1"/>
  <c r="AD19" i="8"/>
  <c r="AD21" i="8" s="1"/>
  <c r="AG19" i="8"/>
  <c r="AG21" i="8" s="1"/>
  <c r="AL12" i="8"/>
  <c r="AC16" i="8"/>
  <c r="AA16" i="8"/>
  <c r="AM12" i="8"/>
  <c r="AC19" i="8"/>
  <c r="AC21" i="8" s="1"/>
  <c r="CQ11" i="7" l="1"/>
  <c r="CG16" i="7"/>
  <c r="CG17" i="7"/>
  <c r="AO16" i="8"/>
  <c r="AL16" i="8"/>
  <c r="T5" i="8"/>
  <c r="T7" i="8" s="1"/>
  <c r="C8" i="8" s="1"/>
  <c r="EG6" i="8"/>
  <c r="DU7" i="8"/>
  <c r="AT16" i="8"/>
  <c r="AU19" i="8"/>
  <c r="AU21" i="8" s="1"/>
  <c r="BF12" i="8"/>
  <c r="AU16" i="8"/>
  <c r="AJ16" i="8"/>
  <c r="AJ19" i="8"/>
  <c r="AJ21" i="8" s="1"/>
  <c r="AU12" i="8"/>
  <c r="AV12" i="8"/>
  <c r="AK19" i="8"/>
  <c r="AK21" i="8" s="1"/>
  <c r="AN16" i="8"/>
  <c r="AX12" i="8"/>
  <c r="AW12" i="8"/>
  <c r="AM19" i="8"/>
  <c r="AM21" i="8" s="1"/>
  <c r="AM16" i="8"/>
  <c r="AL19" i="8"/>
  <c r="AL21" i="8" s="1"/>
  <c r="AK16" i="8"/>
  <c r="AP16" i="8"/>
  <c r="AQ16" i="8"/>
  <c r="AZ12" i="8"/>
  <c r="BB12" i="8"/>
  <c r="AP19" i="8"/>
  <c r="AP21" i="8" s="1"/>
  <c r="BC12" i="8"/>
  <c r="AO19" i="8"/>
  <c r="AO21" i="8" s="1"/>
  <c r="AS19" i="8"/>
  <c r="AS21" i="8" s="1"/>
  <c r="BD12" i="8"/>
  <c r="AN19" i="8"/>
  <c r="AN21" i="8" s="1"/>
  <c r="AY12" i="8"/>
  <c r="AR19" i="8"/>
  <c r="AR21" i="8" s="1"/>
  <c r="AS16" i="8"/>
  <c r="AQ19" i="8"/>
  <c r="AQ21" i="8" s="1"/>
  <c r="AR16" i="8"/>
  <c r="BA12" i="8"/>
  <c r="ER6" i="8"/>
  <c r="EF7" i="8"/>
  <c r="BG7" i="8"/>
  <c r="BA19" i="8" s="1"/>
  <c r="BA21" i="8" s="1"/>
  <c r="BS6" i="8"/>
  <c r="CZ6" i="8"/>
  <c r="CN7" i="8"/>
  <c r="DK6" i="8"/>
  <c r="CY7" i="8"/>
  <c r="CO6" i="8"/>
  <c r="CC7" i="8"/>
  <c r="AT19" i="8"/>
  <c r="AT21" i="8" s="1"/>
  <c r="CD6" i="8"/>
  <c r="BR7" i="8"/>
  <c r="FB7" i="8"/>
  <c r="FN6" i="8"/>
  <c r="FN7" i="8" s="1"/>
  <c r="EQ7" i="8"/>
  <c r="FC6" i="8"/>
  <c r="DV6" i="8"/>
  <c r="DJ7" i="8"/>
  <c r="T8" i="8" l="1"/>
  <c r="BK12" i="8"/>
  <c r="BC16" i="8"/>
  <c r="BF16" i="8"/>
  <c r="AY19" i="8"/>
  <c r="AY21" i="8" s="1"/>
  <c r="BM12" i="8"/>
  <c r="BA16" i="8"/>
  <c r="BF19" i="8"/>
  <c r="BF21" i="8" s="1"/>
  <c r="BN12" i="8"/>
  <c r="BD19" i="8"/>
  <c r="BD21" i="8" s="1"/>
  <c r="BC19" i="8"/>
  <c r="BC21" i="8" s="1"/>
  <c r="BL12" i="8"/>
  <c r="BO12" i="8"/>
  <c r="BE19" i="8"/>
  <c r="BE21" i="8" s="1"/>
  <c r="BQ12" i="8"/>
  <c r="BE16" i="8"/>
  <c r="BP12" i="8"/>
  <c r="CP6" i="8"/>
  <c r="CD7" i="8"/>
  <c r="FD6" i="8"/>
  <c r="ER7" i="8"/>
  <c r="ES6" i="8"/>
  <c r="EG7" i="8"/>
  <c r="DW6" i="8"/>
  <c r="DK7" i="8"/>
  <c r="EH6" i="8"/>
  <c r="DV7" i="8"/>
  <c r="CE6" i="8"/>
  <c r="BS7" i="8"/>
  <c r="BO16" i="8" s="1"/>
  <c r="BD16" i="8"/>
  <c r="FC7" i="8"/>
  <c r="FO6" i="8"/>
  <c r="FO7" i="8" s="1"/>
  <c r="DL6" i="8"/>
  <c r="CZ7" i="8"/>
  <c r="G5" i="8"/>
  <c r="C12" i="8"/>
  <c r="C34" i="8"/>
  <c r="BR12" i="8"/>
  <c r="BG19" i="8"/>
  <c r="BG21" i="8" s="1"/>
  <c r="BG16" i="8"/>
  <c r="AV19" i="8"/>
  <c r="AV21" i="8" s="1"/>
  <c r="BH12" i="8"/>
  <c r="AW16" i="8"/>
  <c r="AV16" i="8"/>
  <c r="BG12" i="8"/>
  <c r="AW19" i="8"/>
  <c r="AW21" i="8" s="1"/>
  <c r="AZ19" i="8"/>
  <c r="AZ21" i="8" s="1"/>
  <c r="AX16" i="8"/>
  <c r="AX19" i="8"/>
  <c r="AX21" i="8" s="1"/>
  <c r="BI12" i="8"/>
  <c r="AZ16" i="8"/>
  <c r="AY16" i="8"/>
  <c r="BB16" i="8"/>
  <c r="BJ12" i="8"/>
  <c r="DA6" i="8"/>
  <c r="CO7" i="8"/>
  <c r="BB19" i="8"/>
  <c r="BB21" i="8" s="1"/>
  <c r="BQ16" i="8" l="1"/>
  <c r="BR19" i="8"/>
  <c r="BR21" i="8" s="1"/>
  <c r="BR16" i="8"/>
  <c r="BP16" i="8"/>
  <c r="BZ12" i="8"/>
  <c r="CC12" i="8"/>
  <c r="CA12" i="8"/>
  <c r="C13" i="8"/>
  <c r="BS19" i="8"/>
  <c r="BS21" i="8" s="1"/>
  <c r="BS16" i="8"/>
  <c r="CD12" i="8"/>
  <c r="BS12" i="8"/>
  <c r="BT12" i="8"/>
  <c r="BI19" i="8"/>
  <c r="BI21" i="8" s="1"/>
  <c r="BI16" i="8"/>
  <c r="BH16" i="8"/>
  <c r="BH19" i="8"/>
  <c r="BH21" i="8" s="1"/>
  <c r="BJ19" i="8"/>
  <c r="BJ21" i="8" s="1"/>
  <c r="BJ16" i="8"/>
  <c r="BU12" i="8"/>
  <c r="BV12" i="8"/>
  <c r="BW12" i="8"/>
  <c r="BK19" i="8"/>
  <c r="BK21" i="8" s="1"/>
  <c r="BN16" i="8"/>
  <c r="BM16" i="8"/>
  <c r="BP19" i="8"/>
  <c r="BP21" i="8" s="1"/>
  <c r="BK16" i="8"/>
  <c r="BL19" i="8"/>
  <c r="BL21" i="8" s="1"/>
  <c r="BL16" i="8"/>
  <c r="BO19" i="8"/>
  <c r="BO21" i="8" s="1"/>
  <c r="BQ19" i="8"/>
  <c r="BQ21" i="8" s="1"/>
  <c r="CE7" i="8"/>
  <c r="CA16" i="8" s="1"/>
  <c r="CQ6" i="8"/>
  <c r="FE6" i="8"/>
  <c r="ES7" i="8"/>
  <c r="DM6" i="8"/>
  <c r="DA7" i="8"/>
  <c r="BY12" i="8"/>
  <c r="ET6" i="8"/>
  <c r="EH7" i="8"/>
  <c r="EI6" i="8"/>
  <c r="DW7" i="8"/>
  <c r="DB6" i="8"/>
  <c r="CP7" i="8"/>
  <c r="J5" i="8"/>
  <c r="BN19" i="8"/>
  <c r="BN21" i="8" s="1"/>
  <c r="DX6" i="8"/>
  <c r="DL7" i="8"/>
  <c r="BM19" i="8"/>
  <c r="BM21" i="8" s="1"/>
  <c r="BX12" i="8"/>
  <c r="FP6" i="8"/>
  <c r="FP7" i="8" s="1"/>
  <c r="FD7" i="8"/>
  <c r="CB12" i="8"/>
  <c r="CL12" i="8" l="1"/>
  <c r="CB19" i="8"/>
  <c r="CB21" i="8" s="1"/>
  <c r="BW19" i="8"/>
  <c r="BW21" i="8" s="1"/>
  <c r="CK12" i="8"/>
  <c r="CM12" i="8"/>
  <c r="CD16" i="8"/>
  <c r="CB16" i="8"/>
  <c r="BY19" i="8"/>
  <c r="BY21" i="8" s="1"/>
  <c r="BY16" i="8"/>
  <c r="BZ16" i="8"/>
  <c r="CD19" i="8"/>
  <c r="CD21" i="8" s="1"/>
  <c r="EJ6" i="8"/>
  <c r="DX7" i="8"/>
  <c r="L5" i="8"/>
  <c r="DY6" i="8"/>
  <c r="DM7" i="8"/>
  <c r="FF6" i="8"/>
  <c r="ET7" i="8"/>
  <c r="DN6" i="8"/>
  <c r="DB7" i="8"/>
  <c r="FQ6" i="8"/>
  <c r="FQ7" i="8" s="1"/>
  <c r="FE7" i="8"/>
  <c r="CQ7" i="8"/>
  <c r="CZ12" i="8" s="1"/>
  <c r="DC6" i="8"/>
  <c r="CE19" i="8"/>
  <c r="CE21" i="8" s="1"/>
  <c r="CP12" i="8"/>
  <c r="CE16" i="8"/>
  <c r="BT16" i="8"/>
  <c r="BT19" i="8"/>
  <c r="BT21" i="8" s="1"/>
  <c r="BU19" i="8"/>
  <c r="BU21" i="8" s="1"/>
  <c r="BV16" i="8"/>
  <c r="BU16" i="8"/>
  <c r="CE12" i="8"/>
  <c r="BV19" i="8"/>
  <c r="BV21" i="8" s="1"/>
  <c r="CF12" i="8"/>
  <c r="CG12" i="8"/>
  <c r="BW16" i="8"/>
  <c r="CJ12" i="8"/>
  <c r="CH12" i="8"/>
  <c r="CA19" i="8"/>
  <c r="CA21" i="8" s="1"/>
  <c r="CI12" i="8"/>
  <c r="BX16" i="8"/>
  <c r="BZ19" i="8"/>
  <c r="BZ21" i="8" s="1"/>
  <c r="BX19" i="8"/>
  <c r="BX21" i="8" s="1"/>
  <c r="CC19" i="8"/>
  <c r="CC21" i="8" s="1"/>
  <c r="CN12" i="8"/>
  <c r="CC16" i="8"/>
  <c r="CO12" i="8"/>
  <c r="I5" i="8"/>
  <c r="H5" i="8" s="1"/>
  <c r="EU6" i="8"/>
  <c r="EI7" i="8"/>
  <c r="CO16" i="8" l="1"/>
  <c r="CM19" i="8"/>
  <c r="CM21" i="8" s="1"/>
  <c r="CW12" i="8"/>
  <c r="CN19" i="8"/>
  <c r="CN21" i="8" s="1"/>
  <c r="CX12" i="8"/>
  <c r="CU12" i="8"/>
  <c r="CP16" i="8"/>
  <c r="CP19" i="8"/>
  <c r="CP21" i="8" s="1"/>
  <c r="DA12" i="8"/>
  <c r="CY12" i="8"/>
  <c r="CJ16" i="8"/>
  <c r="CL19" i="8"/>
  <c r="CL21" i="8" s="1"/>
  <c r="FR6" i="8"/>
  <c r="FF7" i="8"/>
  <c r="EK6" i="8"/>
  <c r="DY7" i="8"/>
  <c r="DC7" i="8"/>
  <c r="DL12" i="8" s="1"/>
  <c r="DO6" i="8"/>
  <c r="EV6" i="8"/>
  <c r="EJ7" i="8"/>
  <c r="DZ6" i="8"/>
  <c r="DN7" i="8"/>
  <c r="DB12" i="8"/>
  <c r="CQ19" i="8"/>
  <c r="CQ21" i="8" s="1"/>
  <c r="CQ16" i="8"/>
  <c r="CF19" i="8"/>
  <c r="CF21" i="8" s="1"/>
  <c r="CQ12" i="8"/>
  <c r="CF16" i="8"/>
  <c r="CJ19" i="8"/>
  <c r="CJ21" i="8" s="1"/>
  <c r="CH19" i="8"/>
  <c r="CH21" i="8" s="1"/>
  <c r="CH16" i="8"/>
  <c r="CV12" i="8"/>
  <c r="CI16" i="8"/>
  <c r="CK19" i="8"/>
  <c r="CK21" i="8" s="1"/>
  <c r="CR12" i="8"/>
  <c r="CS12" i="8"/>
  <c r="CI19" i="8"/>
  <c r="CI21" i="8" s="1"/>
  <c r="CL16" i="8"/>
  <c r="CG16" i="8"/>
  <c r="CG19" i="8"/>
  <c r="CG21" i="8" s="1"/>
  <c r="CT12" i="8"/>
  <c r="FG6" i="8"/>
  <c r="FG7" i="8" s="1"/>
  <c r="EU7" i="8"/>
  <c r="CM16" i="8"/>
  <c r="CO19" i="8"/>
  <c r="CO21" i="8" s="1"/>
  <c r="K5" i="8"/>
  <c r="M5" i="8"/>
  <c r="CK16" i="8"/>
  <c r="CN16" i="8"/>
  <c r="DB16" i="8" l="1"/>
  <c r="CW16" i="8"/>
  <c r="DB19" i="8"/>
  <c r="DB21" i="8" s="1"/>
  <c r="DO7" i="8"/>
  <c r="DR12" i="8" s="1"/>
  <c r="EA6" i="8"/>
  <c r="EW6" i="8"/>
  <c r="EK7" i="8"/>
  <c r="FS6" i="8"/>
  <c r="FS7" i="8" s="1"/>
  <c r="FR7" i="8"/>
  <c r="CV16" i="8"/>
  <c r="DJ12" i="8"/>
  <c r="DC19" i="8"/>
  <c r="DC21" i="8" s="1"/>
  <c r="DC16" i="8"/>
  <c r="DN12" i="8"/>
  <c r="CS16" i="8"/>
  <c r="CS19" i="8"/>
  <c r="CS21" i="8" s="1"/>
  <c r="CR16" i="8"/>
  <c r="DC12" i="8"/>
  <c r="CR19" i="8"/>
  <c r="CR21" i="8" s="1"/>
  <c r="CT16" i="8"/>
  <c r="DD12" i="8"/>
  <c r="CU19" i="8"/>
  <c r="CU21" i="8" s="1"/>
  <c r="CT19" i="8"/>
  <c r="CT21" i="8" s="1"/>
  <c r="CU16" i="8"/>
  <c r="DF12" i="8"/>
  <c r="CX16" i="8"/>
  <c r="DI12" i="8"/>
  <c r="CY19" i="8"/>
  <c r="CY21" i="8" s="1"/>
  <c r="DE12" i="8"/>
  <c r="DH12" i="8"/>
  <c r="CY16" i="8"/>
  <c r="CX19" i="8"/>
  <c r="CX21" i="8" s="1"/>
  <c r="FH6" i="8"/>
  <c r="FH7" i="8" s="1"/>
  <c r="EV7" i="8"/>
  <c r="CW19" i="8"/>
  <c r="CW21" i="8" s="1"/>
  <c r="DK12" i="8"/>
  <c r="DZ7" i="8"/>
  <c r="EL6" i="8"/>
  <c r="G6" i="8"/>
  <c r="CV19" i="8"/>
  <c r="CV21" i="8" s="1"/>
  <c r="CZ19" i="8"/>
  <c r="CZ21" i="8" s="1"/>
  <c r="DA19" i="8"/>
  <c r="DA21" i="8" s="1"/>
  <c r="DG12" i="8"/>
  <c r="CZ16" i="8"/>
  <c r="DM12" i="8"/>
  <c r="DA16" i="8"/>
  <c r="DN19" i="8" l="1"/>
  <c r="DN21" i="8" s="1"/>
  <c r="DL16" i="8"/>
  <c r="DT12" i="8"/>
  <c r="DU12" i="8"/>
  <c r="DY12" i="8"/>
  <c r="DN16" i="8"/>
  <c r="DJ19" i="8"/>
  <c r="DJ21" i="8" s="1"/>
  <c r="DM19" i="8"/>
  <c r="DM21" i="8" s="1"/>
  <c r="DH16" i="8"/>
  <c r="EL7" i="8"/>
  <c r="EX6" i="8"/>
  <c r="FI6" i="8"/>
  <c r="FI7" i="8" s="1"/>
  <c r="EW7" i="8"/>
  <c r="J6" i="8"/>
  <c r="DO19" i="8"/>
  <c r="DO21" i="8" s="1"/>
  <c r="DO16" i="8"/>
  <c r="DZ12" i="8"/>
  <c r="DO12" i="8"/>
  <c r="DD19" i="8"/>
  <c r="DD21" i="8" s="1"/>
  <c r="DD16" i="8"/>
  <c r="DE16" i="8"/>
  <c r="DP12" i="8"/>
  <c r="DE19" i="8"/>
  <c r="DE21" i="8" s="1"/>
  <c r="DF16" i="8"/>
  <c r="DH19" i="8"/>
  <c r="DH21" i="8" s="1"/>
  <c r="DK19" i="8"/>
  <c r="DK21" i="8" s="1"/>
  <c r="DG19" i="8"/>
  <c r="DG21" i="8" s="1"/>
  <c r="DQ12" i="8"/>
  <c r="DM16" i="8"/>
  <c r="DL19" i="8"/>
  <c r="DL21" i="8" s="1"/>
  <c r="DX12" i="8"/>
  <c r="DS12" i="8"/>
  <c r="DV12" i="8"/>
  <c r="DG16" i="8"/>
  <c r="DF19" i="8"/>
  <c r="DF21" i="8" s="1"/>
  <c r="DJ16" i="8"/>
  <c r="DK16" i="8"/>
  <c r="DW12" i="8"/>
  <c r="EA7" i="8"/>
  <c r="DY19" i="8" s="1"/>
  <c r="DY21" i="8" s="1"/>
  <c r="EM6" i="8"/>
  <c r="DI16" i="8"/>
  <c r="DI19" i="8"/>
  <c r="DI21" i="8" s="1"/>
  <c r="DX16" i="8" l="1"/>
  <c r="DZ16" i="8"/>
  <c r="DU19" i="8"/>
  <c r="DU21" i="8" s="1"/>
  <c r="EJ12" i="8"/>
  <c r="DS19" i="8"/>
  <c r="DS21" i="8" s="1"/>
  <c r="DT19" i="8"/>
  <c r="DT21" i="8" s="1"/>
  <c r="DS16" i="8"/>
  <c r="DZ19" i="8"/>
  <c r="DZ21" i="8" s="1"/>
  <c r="EE12" i="8"/>
  <c r="EI12" i="8"/>
  <c r="DW19" i="8"/>
  <c r="DW21" i="8" s="1"/>
  <c r="I6" i="8"/>
  <c r="L6" i="8"/>
  <c r="EM7" i="8"/>
  <c r="EU12" i="8" s="1"/>
  <c r="EY6" i="8"/>
  <c r="EK12" i="8"/>
  <c r="EX7" i="8"/>
  <c r="FJ6" i="8"/>
  <c r="FJ7" i="8" s="1"/>
  <c r="EL12" i="8"/>
  <c r="EA19" i="8"/>
  <c r="EA21" i="8" s="1"/>
  <c r="EA16" i="8"/>
  <c r="EA12" i="8"/>
  <c r="DP19" i="8"/>
  <c r="DP21" i="8" s="1"/>
  <c r="DP16" i="8"/>
  <c r="DQ19" i="8"/>
  <c r="DQ21" i="8" s="1"/>
  <c r="EB12" i="8"/>
  <c r="DR16" i="8"/>
  <c r="DQ16" i="8"/>
  <c r="ED12" i="8"/>
  <c r="EC12" i="8"/>
  <c r="DR19" i="8"/>
  <c r="DR21" i="8" s="1"/>
  <c r="EF12" i="8"/>
  <c r="EG12" i="8"/>
  <c r="DU16" i="8"/>
  <c r="DT16" i="8"/>
  <c r="DV19" i="8"/>
  <c r="DV21" i="8" s="1"/>
  <c r="DW16" i="8"/>
  <c r="DX19" i="8"/>
  <c r="DX21" i="8" s="1"/>
  <c r="EH12" i="8"/>
  <c r="DY16" i="8"/>
  <c r="DV16" i="8"/>
  <c r="EE16" i="8" l="1"/>
  <c r="EG19" i="8"/>
  <c r="EG21" i="8" s="1"/>
  <c r="EG16" i="8"/>
  <c r="EW12" i="8"/>
  <c r="EL16" i="8"/>
  <c r="EL19" i="8"/>
  <c r="EL21" i="8" s="1"/>
  <c r="EJ19" i="8"/>
  <c r="EJ21" i="8" s="1"/>
  <c r="EI19" i="8"/>
  <c r="EI21" i="8" s="1"/>
  <c r="EY7" i="8"/>
  <c r="FD12" i="8" s="1"/>
  <c r="FK6" i="8"/>
  <c r="FK7" i="8" s="1"/>
  <c r="FP12" i="8" s="1"/>
  <c r="EM19" i="8"/>
  <c r="EM21" i="8" s="1"/>
  <c r="EM16" i="8"/>
  <c r="EX12" i="8"/>
  <c r="EB19" i="8"/>
  <c r="EB21" i="8" s="1"/>
  <c r="EN12" i="8"/>
  <c r="EM12" i="8"/>
  <c r="EC19" i="8"/>
  <c r="EC21" i="8" s="1"/>
  <c r="EB16" i="8"/>
  <c r="ED16" i="8"/>
  <c r="ED19" i="8"/>
  <c r="ED21" i="8" s="1"/>
  <c r="EQ12" i="8"/>
  <c r="EC16" i="8"/>
  <c r="EJ16" i="8"/>
  <c r="EH19" i="8"/>
  <c r="EH21" i="8" s="1"/>
  <c r="EP12" i="8"/>
  <c r="EV12" i="8"/>
  <c r="ES12" i="8"/>
  <c r="EK19" i="8"/>
  <c r="EK21" i="8" s="1"/>
  <c r="EF19" i="8"/>
  <c r="EF21" i="8" s="1"/>
  <c r="EO12" i="8"/>
  <c r="EK16" i="8"/>
  <c r="EE19" i="8"/>
  <c r="EE21" i="8" s="1"/>
  <c r="EH16" i="8"/>
  <c r="ET12" i="8"/>
  <c r="EI16" i="8"/>
  <c r="EF16" i="8"/>
  <c r="K6" i="8"/>
  <c r="M6" i="8"/>
  <c r="G7" i="8" s="1"/>
  <c r="ER12" i="8"/>
  <c r="H6" i="8"/>
  <c r="EX16" i="8" l="1"/>
  <c r="EX19" i="8"/>
  <c r="EX21" i="8" s="1"/>
  <c r="FF19" i="8"/>
  <c r="FF21" i="8" s="1"/>
  <c r="FH12" i="8"/>
  <c r="FI12" i="8"/>
  <c r="FS12" i="8"/>
  <c r="EU19" i="8"/>
  <c r="EU21" i="8" s="1"/>
  <c r="ES19" i="8"/>
  <c r="ES21" i="8" s="1"/>
  <c r="FF12" i="8"/>
  <c r="EQ16" i="8"/>
  <c r="FG12" i="8"/>
  <c r="FA12" i="8"/>
  <c r="EQ19" i="8"/>
  <c r="EQ21" i="8" s="1"/>
  <c r="FF16" i="8"/>
  <c r="ET16" i="8"/>
  <c r="FE19" i="8"/>
  <c r="FE21" i="8" s="1"/>
  <c r="FC19" i="8"/>
  <c r="FC21" i="8" s="1"/>
  <c r="ER16" i="8"/>
  <c r="FG19" i="8"/>
  <c r="FG21" i="8" s="1"/>
  <c r="FL12" i="8"/>
  <c r="FB19" i="8"/>
  <c r="FB21" i="8" s="1"/>
  <c r="EZ16" i="8"/>
  <c r="FM12" i="8"/>
  <c r="FB16" i="8"/>
  <c r="FA19" i="8"/>
  <c r="FA21" i="8" s="1"/>
  <c r="FN12" i="8"/>
  <c r="FK12" i="8"/>
  <c r="EZ19" i="8"/>
  <c r="EZ21" i="8" s="1"/>
  <c r="FA16" i="8"/>
  <c r="FD19" i="8"/>
  <c r="FD21" i="8" s="1"/>
  <c r="FD16" i="8"/>
  <c r="FO12" i="8"/>
  <c r="FC16" i="8"/>
  <c r="FH19" i="8"/>
  <c r="FH21" i="8" s="1"/>
  <c r="EP19" i="8"/>
  <c r="EP21" i="8" s="1"/>
  <c r="EV16" i="8"/>
  <c r="FH16" i="8"/>
  <c r="EU16" i="8"/>
  <c r="ES16" i="8"/>
  <c r="FR12" i="8"/>
  <c r="FE16" i="8"/>
  <c r="EY19" i="8"/>
  <c r="EY21" i="8" s="1"/>
  <c r="EY16" i="8"/>
  <c r="FJ12" i="8"/>
  <c r="EZ12" i="8"/>
  <c r="EY12" i="8"/>
  <c r="EN19" i="8"/>
  <c r="EN21" i="8" s="1"/>
  <c r="EN16" i="8"/>
  <c r="FC12" i="8"/>
  <c r="EO16" i="8"/>
  <c r="EP16" i="8"/>
  <c r="EW19" i="8"/>
  <c r="EW21" i="8" s="1"/>
  <c r="EO19" i="8"/>
  <c r="EO21" i="8" s="1"/>
  <c r="EW16" i="8"/>
  <c r="EV19" i="8"/>
  <c r="EV21" i="8" s="1"/>
  <c r="ER19" i="8"/>
  <c r="ER21" i="8" s="1"/>
  <c r="FQ12" i="8"/>
  <c r="FB12" i="8"/>
  <c r="J7" i="8"/>
  <c r="ET19" i="8"/>
  <c r="ET21" i="8" s="1"/>
  <c r="FE12" i="8"/>
  <c r="FG16" i="8"/>
  <c r="I7" i="8" l="1"/>
  <c r="L7" i="8"/>
  <c r="K7" i="8" l="1"/>
  <c r="M7" i="8"/>
  <c r="G8" i="8" s="1"/>
  <c r="H7" i="8"/>
  <c r="J8" i="8" l="1"/>
  <c r="I8" i="8" l="1"/>
  <c r="L8" i="8"/>
  <c r="K8" i="8" l="1"/>
  <c r="M8" i="8"/>
  <c r="G9" i="8" s="1"/>
  <c r="H8" i="8"/>
  <c r="J9" i="8" l="1"/>
  <c r="I9" i="8" l="1"/>
  <c r="L9" i="8"/>
  <c r="K9" i="8" l="1"/>
  <c r="M9" i="8"/>
  <c r="G10" i="8" s="1"/>
  <c r="H9" i="8"/>
  <c r="J10" i="8" l="1"/>
  <c r="I10" i="8" l="1"/>
  <c r="L10" i="8"/>
  <c r="K10" i="8" l="1"/>
  <c r="M10" i="8"/>
  <c r="G11" i="8" s="1"/>
  <c r="H10" i="8"/>
  <c r="J11" i="8" l="1"/>
  <c r="I11" i="8" l="1"/>
  <c r="L11" i="8"/>
  <c r="K11" i="8" l="1"/>
  <c r="M11" i="8"/>
  <c r="G12" i="8" s="1"/>
  <c r="H11" i="8"/>
  <c r="J12" i="8" l="1"/>
  <c r="I12" i="8" l="1"/>
  <c r="L12" i="8"/>
  <c r="K12" i="8" l="1"/>
  <c r="M12" i="8"/>
  <c r="G13" i="8" s="1"/>
  <c r="H12" i="8"/>
  <c r="J13" i="8" l="1"/>
  <c r="I13" i="8" l="1"/>
  <c r="L13" i="8"/>
  <c r="K13" i="8" l="1"/>
  <c r="M13" i="8"/>
  <c r="G14" i="8" s="1"/>
  <c r="H13" i="8"/>
  <c r="J14" i="8" l="1"/>
  <c r="I14" i="8" l="1"/>
  <c r="L14" i="8"/>
  <c r="K14" i="8" l="1"/>
  <c r="M14" i="8"/>
  <c r="G15" i="8" s="1"/>
  <c r="H14" i="8"/>
  <c r="J15" i="8" l="1"/>
  <c r="I15" i="8" l="1"/>
  <c r="L15" i="8"/>
  <c r="K15" i="8" l="1"/>
  <c r="M15" i="8"/>
  <c r="G16" i="8" s="1"/>
  <c r="H15" i="8"/>
  <c r="J16" i="8" l="1"/>
  <c r="I16" i="8" l="1"/>
  <c r="Q4" i="8"/>
  <c r="L16" i="8"/>
  <c r="K16" i="8" l="1"/>
  <c r="P4" i="8"/>
  <c r="M16" i="8"/>
  <c r="G17" i="8" s="1"/>
  <c r="H16" i="8"/>
  <c r="J17" i="8" l="1"/>
  <c r="C15" i="8"/>
  <c r="C16" i="8"/>
  <c r="C18" i="8"/>
  <c r="C17" i="8"/>
  <c r="I17" i="8" l="1"/>
  <c r="L17" i="8"/>
  <c r="K17" i="8" l="1"/>
  <c r="M17" i="8"/>
  <c r="G18" i="8" s="1"/>
  <c r="H17" i="8"/>
  <c r="J18" i="8" l="1"/>
  <c r="I18" i="8" l="1"/>
  <c r="L18" i="8"/>
  <c r="K18" i="8" l="1"/>
  <c r="M18" i="8"/>
  <c r="G19" i="8" s="1"/>
  <c r="H18" i="8"/>
  <c r="J19" i="8" l="1"/>
  <c r="I19" i="8" l="1"/>
  <c r="L19" i="8"/>
  <c r="K19" i="8" l="1"/>
  <c r="M19" i="8"/>
  <c r="G20" i="8" s="1"/>
  <c r="H19" i="8"/>
  <c r="J20" i="8" l="1"/>
  <c r="I20" i="8" l="1"/>
  <c r="L20" i="8"/>
  <c r="K20" i="8" l="1"/>
  <c r="M20" i="8"/>
  <c r="G21" i="8" s="1"/>
  <c r="H20" i="8"/>
  <c r="J21" i="8" l="1"/>
  <c r="I21" i="8" l="1"/>
  <c r="L21" i="8"/>
  <c r="K21" i="8" l="1"/>
  <c r="M21" i="8"/>
  <c r="G22" i="8" s="1"/>
  <c r="H21" i="8"/>
  <c r="J22" i="8" l="1"/>
  <c r="I22" i="8" l="1"/>
  <c r="L22" i="8"/>
  <c r="K22" i="8" l="1"/>
  <c r="M22" i="8"/>
  <c r="G23" i="8" s="1"/>
  <c r="H22" i="8"/>
  <c r="J23" i="8" l="1"/>
  <c r="I23" i="8" l="1"/>
  <c r="L23" i="8"/>
  <c r="K23" i="8" l="1"/>
  <c r="M23" i="8"/>
  <c r="G24" i="8" s="1"/>
  <c r="H23" i="8"/>
  <c r="J24" i="8" l="1"/>
  <c r="I24" i="8" l="1"/>
  <c r="L24" i="8"/>
  <c r="K24" i="8" l="1"/>
  <c r="M24" i="8"/>
  <c r="G25" i="8" s="1"/>
  <c r="H24" i="8"/>
  <c r="J25" i="8" l="1"/>
  <c r="I25" i="8" l="1"/>
  <c r="L25" i="8"/>
  <c r="K25" i="8" l="1"/>
  <c r="M25" i="8"/>
  <c r="G26" i="8" s="1"/>
  <c r="H25" i="8"/>
  <c r="J26" i="8" l="1"/>
  <c r="I26" i="8" l="1"/>
  <c r="L26" i="8"/>
  <c r="K26" i="8" l="1"/>
  <c r="M26" i="8"/>
  <c r="G27" i="8" s="1"/>
  <c r="H26" i="8"/>
  <c r="J27" i="8" l="1"/>
  <c r="I27" i="8" l="1"/>
  <c r="L27" i="8"/>
  <c r="K27" i="8" l="1"/>
  <c r="M27" i="8"/>
  <c r="G28" i="8" s="1"/>
  <c r="H27" i="8"/>
  <c r="J28" i="8" l="1"/>
  <c r="I28" i="8" l="1"/>
  <c r="Q5" i="8"/>
  <c r="L28" i="8"/>
  <c r="K28" i="8" l="1"/>
  <c r="P5" i="8"/>
  <c r="M28" i="8"/>
  <c r="G29" i="8" s="1"/>
  <c r="H28" i="8"/>
  <c r="J29" i="8" l="1"/>
  <c r="I29" i="8" l="1"/>
  <c r="L29" i="8"/>
  <c r="K29" i="8" l="1"/>
  <c r="M29" i="8"/>
  <c r="G30" i="8" s="1"/>
  <c r="H29" i="8"/>
  <c r="J30" i="8" l="1"/>
  <c r="I30" i="8" l="1"/>
  <c r="L30" i="8"/>
  <c r="K30" i="8" l="1"/>
  <c r="M30" i="8"/>
  <c r="G31" i="8" s="1"/>
  <c r="H30" i="8"/>
  <c r="J31" i="8" l="1"/>
  <c r="I31" i="8" l="1"/>
  <c r="L31" i="8"/>
  <c r="K31" i="8" l="1"/>
  <c r="M31" i="8"/>
  <c r="G32" i="8" s="1"/>
  <c r="H31" i="8"/>
  <c r="J32" i="8" l="1"/>
  <c r="I32" i="8" l="1"/>
  <c r="L32" i="8"/>
  <c r="K32" i="8" l="1"/>
  <c r="M32" i="8"/>
  <c r="G33" i="8" s="1"/>
  <c r="H32" i="8"/>
  <c r="J33" i="8" l="1"/>
  <c r="I33" i="8" l="1"/>
  <c r="L33" i="8"/>
  <c r="K33" i="8" l="1"/>
  <c r="M33" i="8"/>
  <c r="G34" i="8" s="1"/>
  <c r="H33" i="8"/>
  <c r="J34" i="8" l="1"/>
  <c r="I34" i="8" l="1"/>
  <c r="L34" i="8"/>
  <c r="K34" i="8" l="1"/>
  <c r="M34" i="8"/>
  <c r="G35" i="8" s="1"/>
  <c r="H34" i="8"/>
  <c r="J35" i="8" l="1"/>
  <c r="I35" i="8" l="1"/>
  <c r="L35" i="8"/>
  <c r="K35" i="8" l="1"/>
  <c r="M35" i="8"/>
  <c r="G36" i="8" s="1"/>
  <c r="H35" i="8"/>
  <c r="J36" i="8" l="1"/>
  <c r="I36" i="8" l="1"/>
  <c r="L36" i="8"/>
  <c r="K36" i="8" l="1"/>
  <c r="M36" i="8"/>
  <c r="G37" i="8" s="1"/>
  <c r="H36" i="8"/>
  <c r="J37" i="8" l="1"/>
  <c r="I37" i="8" l="1"/>
  <c r="L37" i="8"/>
  <c r="K37" i="8" l="1"/>
  <c r="M37" i="8"/>
  <c r="G38" i="8" s="1"/>
  <c r="H37" i="8"/>
  <c r="J38" i="8" l="1"/>
  <c r="I38" i="8" l="1"/>
  <c r="L38" i="8"/>
  <c r="K38" i="8" l="1"/>
  <c r="M38" i="8"/>
  <c r="G39" i="8" s="1"/>
  <c r="H38" i="8"/>
  <c r="J39" i="8" l="1"/>
  <c r="I39" i="8" l="1"/>
  <c r="L39" i="8"/>
  <c r="K39" i="8" l="1"/>
  <c r="M39" i="8"/>
  <c r="G40" i="8" s="1"/>
  <c r="H39" i="8"/>
  <c r="J40" i="8" l="1"/>
  <c r="I40" i="8" l="1"/>
  <c r="Q6" i="8"/>
  <c r="L40" i="8"/>
  <c r="K40" i="8" l="1"/>
  <c r="P6" i="8"/>
  <c r="M40" i="8"/>
  <c r="G41" i="8" s="1"/>
  <c r="H40" i="8"/>
  <c r="J41" i="8" l="1"/>
  <c r="I41" i="8" l="1"/>
  <c r="L41" i="8"/>
  <c r="K41" i="8" l="1"/>
  <c r="M41" i="8"/>
  <c r="G42" i="8" s="1"/>
  <c r="H41" i="8"/>
  <c r="J42" i="8" l="1"/>
  <c r="I42" i="8" l="1"/>
  <c r="L42" i="8"/>
  <c r="K42" i="8" l="1"/>
  <c r="M42" i="8"/>
  <c r="G43" i="8" s="1"/>
  <c r="H42" i="8"/>
  <c r="J43" i="8" l="1"/>
  <c r="I43" i="8" l="1"/>
  <c r="L43" i="8"/>
  <c r="K43" i="8" l="1"/>
  <c r="M43" i="8"/>
  <c r="G44" i="8" s="1"/>
  <c r="H43" i="8"/>
  <c r="J44" i="8" l="1"/>
  <c r="I44" i="8" l="1"/>
  <c r="L44" i="8"/>
  <c r="K44" i="8" l="1"/>
  <c r="M44" i="8"/>
  <c r="G45" i="8" s="1"/>
  <c r="H44" i="8"/>
  <c r="J45" i="8" l="1"/>
  <c r="I45" i="8" l="1"/>
  <c r="L45" i="8"/>
  <c r="K45" i="8" l="1"/>
  <c r="M45" i="8"/>
  <c r="G46" i="8" s="1"/>
  <c r="H45" i="8"/>
  <c r="J46" i="8" l="1"/>
  <c r="I46" i="8" l="1"/>
  <c r="L46" i="8"/>
  <c r="K46" i="8" l="1"/>
  <c r="M46" i="8"/>
  <c r="G47" i="8" s="1"/>
  <c r="H46" i="8"/>
  <c r="J47" i="8" l="1"/>
  <c r="I47" i="8" l="1"/>
  <c r="L47" i="8"/>
  <c r="K47" i="8" l="1"/>
  <c r="M47" i="8"/>
  <c r="G48" i="8" s="1"/>
  <c r="H47" i="8"/>
  <c r="J48" i="8" l="1"/>
  <c r="I48" i="8" l="1"/>
  <c r="L48" i="8"/>
  <c r="K48" i="8" l="1"/>
  <c r="M48" i="8"/>
  <c r="G49" i="8" s="1"/>
  <c r="H48" i="8"/>
  <c r="J49" i="8" l="1"/>
  <c r="I49" i="8" l="1"/>
  <c r="L49" i="8"/>
  <c r="K49" i="8" l="1"/>
  <c r="M49" i="8"/>
  <c r="G50" i="8" s="1"/>
  <c r="H49" i="8"/>
  <c r="J50" i="8" l="1"/>
  <c r="I50" i="8" l="1"/>
  <c r="L50" i="8"/>
  <c r="K50" i="8" l="1"/>
  <c r="M50" i="8"/>
  <c r="G51" i="8" s="1"/>
  <c r="H50" i="8"/>
  <c r="J51" i="8" l="1"/>
  <c r="I51" i="8" l="1"/>
  <c r="L51" i="8"/>
  <c r="K51" i="8" l="1"/>
  <c r="M51" i="8"/>
  <c r="G52" i="8" s="1"/>
  <c r="H51" i="8"/>
  <c r="J52" i="8" l="1"/>
  <c r="I52" i="8" l="1"/>
  <c r="Q7" i="8"/>
  <c r="L52" i="8"/>
  <c r="K52" i="8" l="1"/>
  <c r="P7" i="8"/>
  <c r="M52" i="8"/>
  <c r="G53" i="8" s="1"/>
  <c r="H52" i="8"/>
  <c r="J53" i="8" l="1"/>
  <c r="I53" i="8" l="1"/>
  <c r="L53" i="8"/>
  <c r="K53" i="8" l="1"/>
  <c r="M53" i="8"/>
  <c r="G54" i="8" s="1"/>
  <c r="H53" i="8"/>
  <c r="J54" i="8" l="1"/>
  <c r="I54" i="8" l="1"/>
  <c r="L54" i="8"/>
  <c r="K54" i="8" l="1"/>
  <c r="M54" i="8"/>
  <c r="G55" i="8" s="1"/>
  <c r="H54" i="8"/>
  <c r="J55" i="8" l="1"/>
  <c r="I55" i="8" l="1"/>
  <c r="L55" i="8"/>
  <c r="K55" i="8" l="1"/>
  <c r="M55" i="8"/>
  <c r="G56" i="8" s="1"/>
  <c r="H55" i="8"/>
  <c r="J56" i="8" l="1"/>
  <c r="I56" i="8" l="1"/>
  <c r="L56" i="8"/>
  <c r="K56" i="8" l="1"/>
  <c r="M56" i="8"/>
  <c r="G57" i="8" s="1"/>
  <c r="H56" i="8"/>
  <c r="J57" i="8" l="1"/>
  <c r="I57" i="8" l="1"/>
  <c r="L57" i="8"/>
  <c r="K57" i="8" l="1"/>
  <c r="M57" i="8"/>
  <c r="G58" i="8" s="1"/>
  <c r="H57" i="8"/>
  <c r="J58" i="8" l="1"/>
  <c r="I58" i="8" l="1"/>
  <c r="L58" i="8"/>
  <c r="K58" i="8" l="1"/>
  <c r="M58" i="8"/>
  <c r="G59" i="8" s="1"/>
  <c r="H58" i="8"/>
  <c r="J59" i="8" l="1"/>
  <c r="I59" i="8" l="1"/>
  <c r="L59" i="8"/>
  <c r="K59" i="8" l="1"/>
  <c r="M59" i="8"/>
  <c r="G60" i="8" s="1"/>
  <c r="H59" i="8"/>
  <c r="J60" i="8" l="1"/>
  <c r="I60" i="8" l="1"/>
  <c r="L60" i="8"/>
  <c r="K60" i="8" l="1"/>
  <c r="M60" i="8"/>
  <c r="G61" i="8" s="1"/>
  <c r="H60" i="8"/>
  <c r="J61" i="8" l="1"/>
  <c r="I61" i="8" l="1"/>
  <c r="L61" i="8"/>
  <c r="K61" i="8" l="1"/>
  <c r="M61" i="8"/>
  <c r="G62" i="8" s="1"/>
  <c r="H61" i="8"/>
  <c r="J62" i="8" l="1"/>
  <c r="I62" i="8" l="1"/>
  <c r="L62" i="8"/>
  <c r="K62" i="8" l="1"/>
  <c r="M62" i="8"/>
  <c r="G63" i="8" s="1"/>
  <c r="H62" i="8"/>
  <c r="J63" i="8" l="1"/>
  <c r="I63" i="8" l="1"/>
  <c r="L63" i="8"/>
  <c r="K63" i="8" l="1"/>
  <c r="M63" i="8"/>
  <c r="G64" i="8" s="1"/>
  <c r="H63" i="8"/>
  <c r="J64" i="8" l="1"/>
  <c r="I64" i="8" l="1"/>
  <c r="Q8" i="8"/>
  <c r="L64" i="8"/>
  <c r="K64" i="8" l="1"/>
  <c r="P8" i="8"/>
  <c r="M64" i="8"/>
  <c r="G65" i="8" s="1"/>
  <c r="H64" i="8"/>
  <c r="J65" i="8" l="1"/>
  <c r="I65" i="8" l="1"/>
  <c r="L65" i="8"/>
  <c r="K65" i="8" l="1"/>
  <c r="M65" i="8"/>
  <c r="G66" i="8" s="1"/>
  <c r="H65" i="8"/>
  <c r="J66" i="8" l="1"/>
  <c r="I66" i="8" l="1"/>
  <c r="L66" i="8"/>
  <c r="K66" i="8" l="1"/>
  <c r="M66" i="8"/>
  <c r="G67" i="8" s="1"/>
  <c r="H66" i="8"/>
  <c r="J67" i="8" l="1"/>
  <c r="I67" i="8" l="1"/>
  <c r="L67" i="8"/>
  <c r="K67" i="8" l="1"/>
  <c r="M67" i="8"/>
  <c r="G68" i="8" s="1"/>
  <c r="H67" i="8"/>
  <c r="J68" i="8" l="1"/>
  <c r="I68" i="8" l="1"/>
  <c r="L68" i="8"/>
  <c r="K68" i="8" l="1"/>
  <c r="M68" i="8"/>
  <c r="G69" i="8" s="1"/>
  <c r="H68" i="8"/>
  <c r="J69" i="8" l="1"/>
  <c r="I69" i="8" l="1"/>
  <c r="L69" i="8"/>
  <c r="K69" i="8" l="1"/>
  <c r="M69" i="8"/>
  <c r="G70" i="8" s="1"/>
  <c r="H69" i="8"/>
  <c r="J70" i="8" l="1"/>
  <c r="I70" i="8" l="1"/>
  <c r="L70" i="8"/>
  <c r="K70" i="8" l="1"/>
  <c r="M70" i="8"/>
  <c r="G71" i="8" s="1"/>
  <c r="H70" i="8"/>
  <c r="J71" i="8" l="1"/>
  <c r="I71" i="8" l="1"/>
  <c r="L71" i="8"/>
  <c r="K71" i="8" l="1"/>
  <c r="M71" i="8"/>
  <c r="G72" i="8" s="1"/>
  <c r="H71" i="8"/>
  <c r="J72" i="8" l="1"/>
  <c r="I72" i="8" l="1"/>
  <c r="L72" i="8"/>
  <c r="K72" i="8" l="1"/>
  <c r="M72" i="8"/>
  <c r="G73" i="8" s="1"/>
  <c r="H72" i="8"/>
  <c r="J73" i="8" l="1"/>
  <c r="I73" i="8" l="1"/>
  <c r="L73" i="8"/>
  <c r="K73" i="8" l="1"/>
  <c r="M73" i="8"/>
  <c r="G74" i="8" s="1"/>
  <c r="H73" i="8"/>
  <c r="J74" i="8" l="1"/>
  <c r="I74" i="8" l="1"/>
  <c r="L74" i="8"/>
  <c r="K74" i="8" l="1"/>
  <c r="M74" i="8"/>
  <c r="G75" i="8" s="1"/>
  <c r="H74" i="8"/>
  <c r="J75" i="8" l="1"/>
  <c r="I75" i="8" l="1"/>
  <c r="L75" i="8"/>
  <c r="K75" i="8" l="1"/>
  <c r="M75" i="8"/>
  <c r="G76" i="8" s="1"/>
  <c r="H75" i="8"/>
  <c r="J76" i="8" l="1"/>
  <c r="I76" i="8" l="1"/>
  <c r="Q9" i="8"/>
  <c r="L76" i="8"/>
  <c r="K76" i="8" l="1"/>
  <c r="P9" i="8"/>
  <c r="M76" i="8"/>
  <c r="G77" i="8" s="1"/>
  <c r="H76" i="8"/>
  <c r="J77" i="8" l="1"/>
  <c r="C20" i="8"/>
  <c r="C23" i="8"/>
  <c r="C21" i="8"/>
  <c r="C22" i="8"/>
  <c r="I77" i="8" l="1"/>
  <c r="L77" i="8"/>
  <c r="K77" i="8" l="1"/>
  <c r="M77" i="8"/>
  <c r="G78" i="8" s="1"/>
  <c r="H77" i="8"/>
  <c r="J78" i="8" l="1"/>
  <c r="I78" i="8" l="1"/>
  <c r="L78" i="8"/>
  <c r="K78" i="8" l="1"/>
  <c r="M78" i="8"/>
  <c r="G79" i="8" s="1"/>
  <c r="H78" i="8"/>
  <c r="J79" i="8" l="1"/>
  <c r="I79" i="8" l="1"/>
  <c r="L79" i="8"/>
  <c r="K79" i="8" l="1"/>
  <c r="M79" i="8"/>
  <c r="G80" i="8" s="1"/>
  <c r="H79" i="8"/>
  <c r="J80" i="8" l="1"/>
  <c r="I80" i="8" l="1"/>
  <c r="L80" i="8"/>
  <c r="K80" i="8" l="1"/>
  <c r="M80" i="8"/>
  <c r="G81" i="8" s="1"/>
  <c r="H80" i="8"/>
  <c r="J81" i="8" l="1"/>
  <c r="I81" i="8" l="1"/>
  <c r="L81" i="8"/>
  <c r="K81" i="8" l="1"/>
  <c r="M81" i="8"/>
  <c r="G82" i="8" s="1"/>
  <c r="H81" i="8"/>
  <c r="J82" i="8" l="1"/>
  <c r="I82" i="8" l="1"/>
  <c r="L82" i="8"/>
  <c r="K82" i="8" l="1"/>
  <c r="M82" i="8"/>
  <c r="G83" i="8" s="1"/>
  <c r="H82" i="8"/>
  <c r="J83" i="8" l="1"/>
  <c r="I83" i="8" l="1"/>
  <c r="L83" i="8"/>
  <c r="K83" i="8" l="1"/>
  <c r="M83" i="8"/>
  <c r="G84" i="8" s="1"/>
  <c r="H83" i="8"/>
  <c r="J84" i="8" l="1"/>
  <c r="I84" i="8" l="1"/>
  <c r="L84" i="8"/>
  <c r="K84" i="8" l="1"/>
  <c r="M84" i="8"/>
  <c r="G85" i="8" s="1"/>
  <c r="H84" i="8"/>
  <c r="J85" i="8" l="1"/>
  <c r="I85" i="8" l="1"/>
  <c r="L85" i="8"/>
  <c r="K85" i="8" l="1"/>
  <c r="M85" i="8"/>
  <c r="G86" i="8" s="1"/>
  <c r="H85" i="8"/>
  <c r="J86" i="8" l="1"/>
  <c r="I86" i="8" l="1"/>
  <c r="L86" i="8"/>
  <c r="K86" i="8" l="1"/>
  <c r="M86" i="8"/>
  <c r="G87" i="8" s="1"/>
  <c r="H86" i="8"/>
  <c r="J87" i="8" l="1"/>
  <c r="I87" i="8" l="1"/>
  <c r="L87" i="8"/>
  <c r="K87" i="8" l="1"/>
  <c r="M87" i="8"/>
  <c r="G88" i="8" s="1"/>
  <c r="H87" i="8"/>
  <c r="J88" i="8" l="1"/>
  <c r="I88" i="8" l="1"/>
  <c r="Q10" i="8"/>
  <c r="L88" i="8"/>
  <c r="K88" i="8" l="1"/>
  <c r="P10" i="8"/>
  <c r="M88" i="8"/>
  <c r="G89" i="8" s="1"/>
  <c r="H88" i="8"/>
  <c r="J89" i="8" l="1"/>
  <c r="I89" i="8" l="1"/>
  <c r="L89" i="8"/>
  <c r="K89" i="8" l="1"/>
  <c r="M89" i="8"/>
  <c r="G90" i="8" s="1"/>
  <c r="H89" i="8"/>
  <c r="J90" i="8" l="1"/>
  <c r="I90" i="8" l="1"/>
  <c r="L90" i="8"/>
  <c r="K90" i="8" l="1"/>
  <c r="M90" i="8"/>
  <c r="G91" i="8" s="1"/>
  <c r="H90" i="8"/>
  <c r="J91" i="8" l="1"/>
  <c r="I91" i="8" l="1"/>
  <c r="L91" i="8"/>
  <c r="K91" i="8" l="1"/>
  <c r="M91" i="8"/>
  <c r="G92" i="8" s="1"/>
  <c r="H91" i="8"/>
  <c r="J92" i="8" l="1"/>
  <c r="I92" i="8" l="1"/>
  <c r="L92" i="8"/>
  <c r="K92" i="8" l="1"/>
  <c r="M92" i="8"/>
  <c r="G93" i="8" s="1"/>
  <c r="H92" i="8"/>
  <c r="J93" i="8" l="1"/>
  <c r="I93" i="8" l="1"/>
  <c r="L93" i="8"/>
  <c r="K93" i="8" l="1"/>
  <c r="M93" i="8"/>
  <c r="G94" i="8" s="1"/>
  <c r="H93" i="8"/>
  <c r="J94" i="8" l="1"/>
  <c r="I94" i="8" l="1"/>
  <c r="L94" i="8"/>
  <c r="K94" i="8" l="1"/>
  <c r="M94" i="8"/>
  <c r="G95" i="8" s="1"/>
  <c r="H94" i="8"/>
  <c r="J95" i="8" l="1"/>
  <c r="I95" i="8" l="1"/>
  <c r="L95" i="8"/>
  <c r="K95" i="8" l="1"/>
  <c r="M95" i="8"/>
  <c r="G96" i="8" s="1"/>
  <c r="H95" i="8"/>
  <c r="J96" i="8" l="1"/>
  <c r="I96" i="8" l="1"/>
  <c r="L96" i="8"/>
  <c r="K96" i="8" l="1"/>
  <c r="M96" i="8"/>
  <c r="G97" i="8" s="1"/>
  <c r="H96" i="8"/>
  <c r="J97" i="8" l="1"/>
  <c r="I97" i="8" l="1"/>
  <c r="L97" i="8"/>
  <c r="K97" i="8" l="1"/>
  <c r="M97" i="8"/>
  <c r="G98" i="8" s="1"/>
  <c r="H97" i="8"/>
  <c r="J98" i="8" l="1"/>
  <c r="I98" i="8" l="1"/>
  <c r="L98" i="8"/>
  <c r="K98" i="8" l="1"/>
  <c r="M98" i="8"/>
  <c r="G99" i="8" s="1"/>
  <c r="H98" i="8"/>
  <c r="J99" i="8" l="1"/>
  <c r="I99" i="8" l="1"/>
  <c r="L99" i="8"/>
  <c r="K99" i="8" l="1"/>
  <c r="M99" i="8"/>
  <c r="G100" i="8" s="1"/>
  <c r="H99" i="8"/>
  <c r="J100" i="8" l="1"/>
  <c r="I100" i="8" l="1"/>
  <c r="Q11" i="8"/>
  <c r="L100" i="8"/>
  <c r="K100" i="8" l="1"/>
  <c r="P11" i="8"/>
  <c r="M100" i="8"/>
  <c r="G101" i="8" s="1"/>
  <c r="H100" i="8"/>
  <c r="J101" i="8" l="1"/>
  <c r="I101" i="8" l="1"/>
  <c r="L101" i="8"/>
  <c r="K101" i="8" l="1"/>
  <c r="M101" i="8"/>
  <c r="G102" i="8" s="1"/>
  <c r="H101" i="8"/>
  <c r="J102" i="8" l="1"/>
  <c r="I102" i="8" l="1"/>
  <c r="L102" i="8"/>
  <c r="K102" i="8" l="1"/>
  <c r="M102" i="8"/>
  <c r="G103" i="8" s="1"/>
  <c r="H102" i="8"/>
  <c r="J103" i="8" l="1"/>
  <c r="I103" i="8" l="1"/>
  <c r="L103" i="8"/>
  <c r="K103" i="8" l="1"/>
  <c r="M103" i="8"/>
  <c r="G104" i="8" s="1"/>
  <c r="H103" i="8"/>
  <c r="J104" i="8" l="1"/>
  <c r="I104" i="8" l="1"/>
  <c r="L104" i="8"/>
  <c r="K104" i="8" l="1"/>
  <c r="M104" i="8"/>
  <c r="G105" i="8" s="1"/>
  <c r="H104" i="8"/>
  <c r="J105" i="8" l="1"/>
  <c r="I105" i="8" l="1"/>
  <c r="L105" i="8"/>
  <c r="K105" i="8" l="1"/>
  <c r="M105" i="8"/>
  <c r="G106" i="8" s="1"/>
  <c r="H105" i="8"/>
  <c r="J106" i="8" l="1"/>
  <c r="I106" i="8" l="1"/>
  <c r="L106" i="8"/>
  <c r="K106" i="8" l="1"/>
  <c r="M106" i="8"/>
  <c r="G107" i="8" s="1"/>
  <c r="H106" i="8"/>
  <c r="J107" i="8" l="1"/>
  <c r="I107" i="8" l="1"/>
  <c r="L107" i="8"/>
  <c r="K107" i="8" l="1"/>
  <c r="M107" i="8"/>
  <c r="G108" i="8" s="1"/>
  <c r="H107" i="8"/>
  <c r="J108" i="8" l="1"/>
  <c r="I108" i="8" l="1"/>
  <c r="L108" i="8"/>
  <c r="K108" i="8" l="1"/>
  <c r="M108" i="8"/>
  <c r="G109" i="8" s="1"/>
  <c r="H108" i="8"/>
  <c r="J109" i="8" l="1"/>
  <c r="I109" i="8" l="1"/>
  <c r="L109" i="8"/>
  <c r="K109" i="8" l="1"/>
  <c r="M109" i="8"/>
  <c r="G110" i="8" s="1"/>
  <c r="H109" i="8"/>
  <c r="J110" i="8" l="1"/>
  <c r="I110" i="8" l="1"/>
  <c r="L110" i="8"/>
  <c r="K110" i="8" l="1"/>
  <c r="M110" i="8"/>
  <c r="G111" i="8" s="1"/>
  <c r="H110" i="8"/>
  <c r="J111" i="8" l="1"/>
  <c r="I111" i="8" l="1"/>
  <c r="L111" i="8"/>
  <c r="K111" i="8" l="1"/>
  <c r="M111" i="8"/>
  <c r="G112" i="8" s="1"/>
  <c r="H111" i="8"/>
  <c r="J112" i="8" l="1"/>
  <c r="I112" i="8" l="1"/>
  <c r="Q12" i="8"/>
  <c r="L112" i="8"/>
  <c r="K112" i="8" l="1"/>
  <c r="P12" i="8"/>
  <c r="M112" i="8"/>
  <c r="G113" i="8" s="1"/>
  <c r="H112" i="8"/>
  <c r="J113" i="8" l="1"/>
  <c r="I113" i="8" l="1"/>
  <c r="L113" i="8"/>
  <c r="K113" i="8" l="1"/>
  <c r="M113" i="8"/>
  <c r="G114" i="8" s="1"/>
  <c r="H113" i="8"/>
  <c r="J114" i="8" l="1"/>
  <c r="I114" i="8" l="1"/>
  <c r="L114" i="8"/>
  <c r="K114" i="8" l="1"/>
  <c r="M114" i="8"/>
  <c r="G115" i="8" s="1"/>
  <c r="H114" i="8"/>
  <c r="J115" i="8" l="1"/>
  <c r="I115" i="8" l="1"/>
  <c r="L115" i="8"/>
  <c r="K115" i="8" l="1"/>
  <c r="M115" i="8"/>
  <c r="G116" i="8" s="1"/>
  <c r="H115" i="8"/>
  <c r="J116" i="8" l="1"/>
  <c r="I116" i="8" l="1"/>
  <c r="L116" i="8"/>
  <c r="K116" i="8" l="1"/>
  <c r="M116" i="8"/>
  <c r="G117" i="8" s="1"/>
  <c r="H116" i="8"/>
  <c r="J117" i="8" l="1"/>
  <c r="I117" i="8" l="1"/>
  <c r="L117" i="8"/>
  <c r="K117" i="8" l="1"/>
  <c r="M117" i="8"/>
  <c r="G118" i="8" s="1"/>
  <c r="H117" i="8"/>
  <c r="J118" i="8" l="1"/>
  <c r="I118" i="8" l="1"/>
  <c r="L118" i="8"/>
  <c r="K118" i="8" l="1"/>
  <c r="M118" i="8"/>
  <c r="G119" i="8" s="1"/>
  <c r="H118" i="8"/>
  <c r="J119" i="8" l="1"/>
  <c r="I119" i="8" l="1"/>
  <c r="L119" i="8"/>
  <c r="K119" i="8" l="1"/>
  <c r="M119" i="8"/>
  <c r="G120" i="8" s="1"/>
  <c r="H119" i="8"/>
  <c r="J120" i="8" l="1"/>
  <c r="I120" i="8" l="1"/>
  <c r="L120" i="8"/>
  <c r="K120" i="8" l="1"/>
  <c r="M120" i="8"/>
  <c r="G121" i="8" s="1"/>
  <c r="H120" i="8"/>
  <c r="J121" i="8" l="1"/>
  <c r="I121" i="8" l="1"/>
  <c r="L121" i="8"/>
  <c r="K121" i="8" l="1"/>
  <c r="M121" i="8"/>
  <c r="G122" i="8" s="1"/>
  <c r="H121" i="8"/>
  <c r="J122" i="8" l="1"/>
  <c r="I122" i="8" l="1"/>
  <c r="L122" i="8"/>
  <c r="K122" i="8" l="1"/>
  <c r="M122" i="8"/>
  <c r="G123" i="8" s="1"/>
  <c r="H122" i="8"/>
  <c r="J123" i="8" l="1"/>
  <c r="I123" i="8" l="1"/>
  <c r="L123" i="8"/>
  <c r="K123" i="8" l="1"/>
  <c r="M123" i="8"/>
  <c r="G124" i="8" s="1"/>
  <c r="H123" i="8"/>
  <c r="J124" i="8" l="1"/>
  <c r="I124" i="8" l="1"/>
  <c r="Q13" i="8"/>
  <c r="L124" i="8"/>
  <c r="K124" i="8" l="1"/>
  <c r="P13" i="8"/>
  <c r="M124" i="8"/>
  <c r="G125" i="8" s="1"/>
  <c r="H124" i="8"/>
  <c r="J125" i="8" l="1"/>
  <c r="I125" i="8" l="1"/>
  <c r="L125" i="8"/>
  <c r="K125" i="8" l="1"/>
  <c r="M125" i="8"/>
  <c r="G126" i="8" s="1"/>
  <c r="H125" i="8"/>
  <c r="J126" i="8" l="1"/>
  <c r="I126" i="8" l="1"/>
  <c r="L126" i="8"/>
  <c r="K126" i="8" l="1"/>
  <c r="M126" i="8"/>
  <c r="G127" i="8" s="1"/>
  <c r="H126" i="8"/>
  <c r="J127" i="8" l="1"/>
  <c r="I127" i="8" l="1"/>
  <c r="L127" i="8"/>
  <c r="K127" i="8" l="1"/>
  <c r="M127" i="8"/>
  <c r="G128" i="8" s="1"/>
  <c r="H127" i="8"/>
  <c r="J128" i="8" l="1"/>
  <c r="I128" i="8" l="1"/>
  <c r="L128" i="8"/>
  <c r="K128" i="8" l="1"/>
  <c r="M128" i="8"/>
  <c r="G129" i="8" s="1"/>
  <c r="H128" i="8"/>
  <c r="J129" i="8" l="1"/>
  <c r="I129" i="8" l="1"/>
  <c r="L129" i="8"/>
  <c r="K129" i="8" l="1"/>
  <c r="M129" i="8"/>
  <c r="G130" i="8" s="1"/>
  <c r="H129" i="8"/>
  <c r="J130" i="8" l="1"/>
  <c r="I130" i="8" l="1"/>
  <c r="L130" i="8"/>
  <c r="K130" i="8" l="1"/>
  <c r="M130" i="8"/>
  <c r="G131" i="8" s="1"/>
  <c r="H130" i="8"/>
  <c r="J131" i="8" l="1"/>
  <c r="I131" i="8" l="1"/>
  <c r="L131" i="8"/>
  <c r="K131" i="8" l="1"/>
  <c r="M131" i="8"/>
  <c r="G132" i="8" s="1"/>
  <c r="H131" i="8"/>
  <c r="J132" i="8" l="1"/>
  <c r="I132" i="8" l="1"/>
  <c r="L132" i="8"/>
  <c r="K132" i="8" l="1"/>
  <c r="M132" i="8"/>
  <c r="G133" i="8" s="1"/>
  <c r="H132" i="8"/>
  <c r="J133" i="8" l="1"/>
  <c r="I133" i="8" l="1"/>
  <c r="L133" i="8"/>
  <c r="K133" i="8" l="1"/>
  <c r="M133" i="8"/>
  <c r="G134" i="8" s="1"/>
  <c r="H133" i="8"/>
  <c r="J134" i="8" l="1"/>
  <c r="I134" i="8" l="1"/>
  <c r="L134" i="8"/>
  <c r="K134" i="8" l="1"/>
  <c r="M134" i="8"/>
  <c r="G135" i="8" s="1"/>
  <c r="H134" i="8"/>
  <c r="J135" i="8" l="1"/>
  <c r="I135" i="8" l="1"/>
  <c r="L135" i="8"/>
  <c r="K135" i="8" l="1"/>
  <c r="M135" i="8"/>
  <c r="G136" i="8" s="1"/>
  <c r="H135" i="8"/>
  <c r="J136" i="8" l="1"/>
  <c r="I136" i="8" l="1"/>
  <c r="Q14" i="8"/>
  <c r="L136" i="8"/>
  <c r="K136" i="8" l="1"/>
  <c r="P14" i="8"/>
  <c r="M136" i="8"/>
  <c r="G137" i="8" s="1"/>
  <c r="H136" i="8"/>
  <c r="J137" i="8" l="1"/>
  <c r="I137" i="8" l="1"/>
  <c r="L137" i="8"/>
  <c r="K137" i="8" l="1"/>
  <c r="M137" i="8"/>
  <c r="G138" i="8" s="1"/>
  <c r="H137" i="8"/>
  <c r="J138" i="8" l="1"/>
  <c r="I138" i="8" l="1"/>
  <c r="L138" i="8"/>
  <c r="K138" i="8" l="1"/>
  <c r="M138" i="8"/>
  <c r="G139" i="8" s="1"/>
  <c r="H138" i="8"/>
  <c r="J139" i="8" l="1"/>
  <c r="I139" i="8" l="1"/>
  <c r="L139" i="8"/>
  <c r="K139" i="8" l="1"/>
  <c r="M139" i="8"/>
  <c r="G140" i="8" s="1"/>
  <c r="H139" i="8"/>
  <c r="J140" i="8" l="1"/>
  <c r="I140" i="8" l="1"/>
  <c r="L140" i="8"/>
  <c r="K140" i="8" l="1"/>
  <c r="M140" i="8"/>
  <c r="G141" i="8" s="1"/>
  <c r="H140" i="8"/>
  <c r="J141" i="8" l="1"/>
  <c r="I141" i="8" l="1"/>
  <c r="L141" i="8"/>
  <c r="K141" i="8" l="1"/>
  <c r="M141" i="8"/>
  <c r="G142" i="8" s="1"/>
  <c r="H141" i="8"/>
  <c r="J142" i="8" l="1"/>
  <c r="I142" i="8" l="1"/>
  <c r="L142" i="8"/>
  <c r="K142" i="8" l="1"/>
  <c r="M142" i="8"/>
  <c r="G143" i="8" s="1"/>
  <c r="H142" i="8"/>
  <c r="J143" i="8" l="1"/>
  <c r="I143" i="8" l="1"/>
  <c r="L143" i="8"/>
  <c r="K143" i="8" l="1"/>
  <c r="M143" i="8"/>
  <c r="G144" i="8" s="1"/>
  <c r="H143" i="8"/>
  <c r="J144" i="8" l="1"/>
  <c r="I144" i="8" l="1"/>
  <c r="L144" i="8"/>
  <c r="K144" i="8" l="1"/>
  <c r="M144" i="8"/>
  <c r="G145" i="8" s="1"/>
  <c r="H144" i="8"/>
  <c r="J145" i="8" l="1"/>
  <c r="I145" i="8" l="1"/>
  <c r="L145" i="8"/>
  <c r="K145" i="8" l="1"/>
  <c r="M145" i="8"/>
  <c r="G146" i="8" s="1"/>
  <c r="H145" i="8"/>
  <c r="J146" i="8" l="1"/>
  <c r="I146" i="8" l="1"/>
  <c r="L146" i="8"/>
  <c r="K146" i="8" l="1"/>
  <c r="M146" i="8"/>
  <c r="G147" i="8" s="1"/>
  <c r="H146" i="8"/>
  <c r="J147" i="8" l="1"/>
  <c r="I147" i="8" l="1"/>
  <c r="L147" i="8"/>
  <c r="K147" i="8" l="1"/>
  <c r="M147" i="8"/>
  <c r="G148" i="8" s="1"/>
  <c r="H147" i="8"/>
  <c r="J148" i="8" l="1"/>
  <c r="I148" i="8" l="1"/>
  <c r="Q15" i="8"/>
  <c r="L148" i="8"/>
  <c r="K148" i="8" l="1"/>
  <c r="P15" i="8"/>
  <c r="M148" i="8"/>
  <c r="G149" i="8" s="1"/>
  <c r="H148" i="8"/>
  <c r="J149" i="8" l="1"/>
  <c r="I149" i="8" l="1"/>
  <c r="L149" i="8"/>
  <c r="K149" i="8" l="1"/>
  <c r="M149" i="8"/>
  <c r="G150" i="8" s="1"/>
  <c r="H149" i="8"/>
  <c r="J150" i="8" l="1"/>
  <c r="I150" i="8" l="1"/>
  <c r="L150" i="8"/>
  <c r="K150" i="8" l="1"/>
  <c r="M150" i="8"/>
  <c r="G151" i="8" s="1"/>
  <c r="H150" i="8"/>
  <c r="J151" i="8" l="1"/>
  <c r="I151" i="8" l="1"/>
  <c r="L151" i="8"/>
  <c r="K151" i="8" l="1"/>
  <c r="M151" i="8"/>
  <c r="G152" i="8" s="1"/>
  <c r="H151" i="8"/>
  <c r="J152" i="8" l="1"/>
  <c r="I152" i="8" l="1"/>
  <c r="L152" i="8"/>
  <c r="K152" i="8" l="1"/>
  <c r="M152" i="8"/>
  <c r="G153" i="8" s="1"/>
  <c r="H152" i="8"/>
  <c r="J153" i="8" l="1"/>
  <c r="I153" i="8" l="1"/>
  <c r="L153" i="8"/>
  <c r="K153" i="8" l="1"/>
  <c r="M153" i="8"/>
  <c r="G154" i="8" s="1"/>
  <c r="H153" i="8"/>
  <c r="J154" i="8" l="1"/>
  <c r="I154" i="8" l="1"/>
  <c r="L154" i="8"/>
  <c r="K154" i="8" l="1"/>
  <c r="M154" i="8"/>
  <c r="G155" i="8" s="1"/>
  <c r="H154" i="8"/>
  <c r="J155" i="8" l="1"/>
  <c r="I155" i="8" l="1"/>
  <c r="L155" i="8"/>
  <c r="K155" i="8" l="1"/>
  <c r="M155" i="8"/>
  <c r="G156" i="8" s="1"/>
  <c r="H155" i="8"/>
  <c r="J156" i="8" l="1"/>
  <c r="I156" i="8" l="1"/>
  <c r="L156" i="8"/>
  <c r="K156" i="8" l="1"/>
  <c r="M156" i="8"/>
  <c r="G157" i="8" s="1"/>
  <c r="H156" i="8"/>
  <c r="J157" i="8" l="1"/>
  <c r="I157" i="8" l="1"/>
  <c r="L157" i="8"/>
  <c r="K157" i="8" l="1"/>
  <c r="M157" i="8"/>
  <c r="G158" i="8" s="1"/>
  <c r="H157" i="8"/>
  <c r="J158" i="8" l="1"/>
  <c r="I158" i="8" l="1"/>
  <c r="L158" i="8"/>
  <c r="K158" i="8" l="1"/>
  <c r="M158" i="8"/>
  <c r="G159" i="8" s="1"/>
  <c r="H158" i="8"/>
  <c r="J159" i="8" l="1"/>
  <c r="I159" i="8" l="1"/>
  <c r="L159" i="8"/>
  <c r="K159" i="8" l="1"/>
  <c r="M159" i="8"/>
  <c r="G160" i="8" s="1"/>
  <c r="H159" i="8"/>
  <c r="J160" i="8" l="1"/>
  <c r="I160" i="8" l="1"/>
  <c r="Q16" i="8"/>
  <c r="L160" i="8"/>
  <c r="K160" i="8" l="1"/>
  <c r="P16" i="8"/>
  <c r="M160" i="8"/>
  <c r="G161" i="8" s="1"/>
  <c r="H160" i="8"/>
  <c r="J161" i="8" l="1"/>
  <c r="I161" i="8" l="1"/>
  <c r="L161" i="8"/>
  <c r="K161" i="8" l="1"/>
  <c r="M161" i="8"/>
  <c r="G162" i="8" s="1"/>
  <c r="H161" i="8"/>
  <c r="J162" i="8" l="1"/>
  <c r="I162" i="8" l="1"/>
  <c r="L162" i="8"/>
  <c r="K162" i="8" l="1"/>
  <c r="M162" i="8"/>
  <c r="G163" i="8" s="1"/>
  <c r="H162" i="8"/>
  <c r="J163" i="8" l="1"/>
  <c r="I163" i="8" l="1"/>
  <c r="L163" i="8"/>
  <c r="K163" i="8" l="1"/>
  <c r="M163" i="8"/>
  <c r="G164" i="8" s="1"/>
  <c r="H163" i="8"/>
  <c r="J164" i="8" l="1"/>
  <c r="I164" i="8" l="1"/>
  <c r="L164" i="8"/>
  <c r="K164" i="8" l="1"/>
  <c r="M164" i="8"/>
  <c r="G165" i="8" s="1"/>
  <c r="H164" i="8"/>
  <c r="J165" i="8" l="1"/>
  <c r="I165" i="8" l="1"/>
  <c r="L165" i="8"/>
  <c r="K165" i="8" l="1"/>
  <c r="M165" i="8"/>
  <c r="G166" i="8" s="1"/>
  <c r="H165" i="8"/>
  <c r="J166" i="8" l="1"/>
  <c r="I166" i="8" l="1"/>
  <c r="L166" i="8"/>
  <c r="K166" i="8" l="1"/>
  <c r="M166" i="8"/>
  <c r="G167" i="8" s="1"/>
  <c r="H166" i="8"/>
  <c r="J167" i="8" l="1"/>
  <c r="I167" i="8" l="1"/>
  <c r="L167" i="8"/>
  <c r="K167" i="8" l="1"/>
  <c r="M167" i="8"/>
  <c r="G168" i="8" s="1"/>
  <c r="H167" i="8"/>
  <c r="J168" i="8" l="1"/>
  <c r="I168" i="8" l="1"/>
  <c r="L168" i="8"/>
  <c r="K168" i="8" l="1"/>
  <c r="M168" i="8"/>
  <c r="G169" i="8" s="1"/>
  <c r="H168" i="8"/>
  <c r="J169" i="8" l="1"/>
  <c r="I169" i="8" l="1"/>
  <c r="L169" i="8"/>
  <c r="K169" i="8" l="1"/>
  <c r="M169" i="8"/>
  <c r="G170" i="8" s="1"/>
  <c r="H169" i="8"/>
  <c r="J170" i="8" l="1"/>
  <c r="I170" i="8" l="1"/>
  <c r="L170" i="8"/>
  <c r="K170" i="8" l="1"/>
  <c r="M170" i="8"/>
  <c r="G171" i="8" s="1"/>
  <c r="H170" i="8"/>
  <c r="J171" i="8" l="1"/>
  <c r="I171" i="8" l="1"/>
  <c r="L171" i="8"/>
  <c r="K171" i="8" l="1"/>
  <c r="M171" i="8"/>
  <c r="G172" i="8" s="1"/>
  <c r="H171" i="8"/>
  <c r="J172" i="8" l="1"/>
  <c r="I172" i="8" l="1"/>
  <c r="L172" i="8"/>
  <c r="K172" i="8" l="1"/>
  <c r="M172" i="8"/>
  <c r="G173" i="8" s="1"/>
  <c r="H172" i="8"/>
  <c r="J173" i="8" l="1"/>
  <c r="I173" i="8" l="1"/>
  <c r="L173" i="8"/>
  <c r="K173" i="8" l="1"/>
  <c r="M173" i="8"/>
  <c r="G174" i="8" s="1"/>
  <c r="H173" i="8"/>
  <c r="J174" i="8" l="1"/>
  <c r="I174" i="8" l="1"/>
  <c r="L174" i="8"/>
  <c r="K174" i="8" l="1"/>
  <c r="M174" i="8"/>
  <c r="G175" i="8" s="1"/>
  <c r="H174" i="8"/>
  <c r="J175" i="8" l="1"/>
  <c r="I175" i="8" l="1"/>
  <c r="L175" i="8"/>
  <c r="K175" i="8" l="1"/>
  <c r="M175" i="8"/>
  <c r="G176" i="8" s="1"/>
  <c r="H175" i="8"/>
  <c r="J176" i="8" l="1"/>
  <c r="I176" i="8" l="1"/>
  <c r="L176" i="8"/>
  <c r="K176" i="8" l="1"/>
  <c r="M176" i="8"/>
  <c r="G177" i="8" s="1"/>
  <c r="H176" i="8"/>
  <c r="J177" i="8" l="1"/>
  <c r="I177" i="8" l="1"/>
  <c r="L177" i="8"/>
  <c r="K177" i="8" l="1"/>
  <c r="M177" i="8"/>
  <c r="G178" i="8" s="1"/>
  <c r="H177" i="8"/>
  <c r="J178" i="8" l="1"/>
  <c r="I178" i="8" l="1"/>
  <c r="L178" i="8"/>
  <c r="K178" i="8" l="1"/>
  <c r="M178" i="8"/>
  <c r="G179" i="8" s="1"/>
  <c r="H178" i="8"/>
  <c r="J179" i="8" l="1"/>
  <c r="I179" i="8" l="1"/>
  <c r="L179" i="8"/>
  <c r="K179" i="8" l="1"/>
  <c r="M179" i="8"/>
  <c r="G180" i="8" s="1"/>
  <c r="H179" i="8"/>
  <c r="J180" i="8" l="1"/>
  <c r="I180" i="8" l="1"/>
  <c r="L180" i="8"/>
  <c r="K180" i="8" l="1"/>
  <c r="M180" i="8"/>
  <c r="G181" i="8" s="1"/>
  <c r="H180" i="8"/>
  <c r="J181" i="8" l="1"/>
  <c r="I181" i="8" l="1"/>
  <c r="L181" i="8"/>
  <c r="K181" i="8" l="1"/>
  <c r="M181" i="8"/>
  <c r="G182" i="8" s="1"/>
  <c r="H181" i="8"/>
  <c r="J182" i="8" l="1"/>
  <c r="I182" i="8" l="1"/>
  <c r="L182" i="8"/>
  <c r="K182" i="8" l="1"/>
  <c r="M182" i="8"/>
  <c r="G183" i="8" s="1"/>
  <c r="H182" i="8"/>
  <c r="J183" i="8" l="1"/>
  <c r="I183" i="8" l="1"/>
  <c r="L183" i="8"/>
  <c r="K183" i="8" l="1"/>
  <c r="M183" i="8"/>
  <c r="G184" i="8" s="1"/>
  <c r="H183" i="8"/>
  <c r="J184" i="8" l="1"/>
  <c r="I184" i="8" l="1"/>
  <c r="L184" i="8"/>
  <c r="K184" i="8" l="1"/>
  <c r="M184" i="8"/>
  <c r="G185" i="8" s="1"/>
  <c r="H184" i="8"/>
  <c r="J185" i="8" l="1"/>
  <c r="I185" i="8" l="1"/>
  <c r="L185" i="8"/>
  <c r="K185" i="8" l="1"/>
  <c r="M185" i="8"/>
  <c r="G186" i="8" s="1"/>
  <c r="H185" i="8"/>
  <c r="J186" i="8" l="1"/>
  <c r="I186" i="8" l="1"/>
  <c r="L186" i="8"/>
  <c r="K186" i="8" l="1"/>
  <c r="M186" i="8"/>
  <c r="G187" i="8" s="1"/>
  <c r="H186" i="8"/>
  <c r="J187" i="8" l="1"/>
  <c r="I187" i="8" l="1"/>
  <c r="L187" i="8"/>
  <c r="K187" i="8" l="1"/>
  <c r="M187" i="8"/>
  <c r="G188" i="8" s="1"/>
  <c r="H187" i="8"/>
  <c r="J188" i="8" l="1"/>
  <c r="I188" i="8" l="1"/>
  <c r="L188" i="8"/>
  <c r="K188" i="8" l="1"/>
  <c r="M188" i="8"/>
  <c r="G189" i="8" s="1"/>
  <c r="H188" i="8"/>
  <c r="J189" i="8" l="1"/>
  <c r="I189" i="8" l="1"/>
  <c r="H189" i="8" s="1"/>
  <c r="L189" i="8"/>
  <c r="K189" i="8" l="1"/>
  <c r="M189" i="8"/>
  <c r="G190" i="8" s="1"/>
  <c r="J190" i="8" l="1"/>
  <c r="I190" i="8" l="1"/>
  <c r="L190" i="8"/>
  <c r="K190" i="8" l="1"/>
  <c r="M190" i="8"/>
  <c r="G191" i="8" s="1"/>
  <c r="H190" i="8"/>
  <c r="J191" i="8" l="1"/>
  <c r="I191" i="8" l="1"/>
  <c r="L191" i="8"/>
  <c r="K191" i="8" l="1"/>
  <c r="M191" i="8"/>
  <c r="G192" i="8" s="1"/>
  <c r="H191" i="8"/>
  <c r="J192" i="8" l="1"/>
  <c r="I192" i="8" l="1"/>
  <c r="L192" i="8"/>
  <c r="K192" i="8" l="1"/>
  <c r="M192" i="8"/>
  <c r="G193" i="8" s="1"/>
  <c r="H192" i="8"/>
  <c r="J193" i="8" l="1"/>
  <c r="I193" i="8" l="1"/>
  <c r="L193" i="8"/>
  <c r="K193" i="8" l="1"/>
  <c r="M193" i="8"/>
  <c r="G194" i="8" s="1"/>
  <c r="H193" i="8"/>
  <c r="J194" i="8" l="1"/>
  <c r="I194" i="8" l="1"/>
  <c r="L194" i="8"/>
  <c r="K194" i="8" l="1"/>
  <c r="M194" i="8"/>
  <c r="G195" i="8" s="1"/>
  <c r="H194" i="8"/>
  <c r="J195" i="8" l="1"/>
  <c r="I195" i="8" l="1"/>
  <c r="L195" i="8"/>
  <c r="K195" i="8" l="1"/>
  <c r="M195" i="8"/>
  <c r="G196" i="8" s="1"/>
  <c r="H195" i="8"/>
  <c r="J196" i="8" l="1"/>
  <c r="I196" i="8" l="1"/>
  <c r="L196" i="8"/>
  <c r="K196" i="8" l="1"/>
  <c r="M196" i="8"/>
  <c r="G197" i="8" s="1"/>
  <c r="H196" i="8"/>
  <c r="J197" i="8" l="1"/>
  <c r="I197" i="8" l="1"/>
  <c r="L197" i="8"/>
  <c r="K197" i="8" l="1"/>
  <c r="M197" i="8"/>
  <c r="G198" i="8" s="1"/>
  <c r="H197" i="8"/>
  <c r="J198" i="8" l="1"/>
  <c r="I198" i="8" l="1"/>
  <c r="L198" i="8"/>
  <c r="K198" i="8" l="1"/>
  <c r="M198" i="8"/>
  <c r="G199" i="8" s="1"/>
  <c r="H198" i="8"/>
  <c r="J199" i="8" l="1"/>
  <c r="I199" i="8" l="1"/>
  <c r="L199" i="8"/>
  <c r="K199" i="8" l="1"/>
  <c r="M199" i="8"/>
  <c r="G200" i="8" s="1"/>
  <c r="H199" i="8"/>
  <c r="J200" i="8" l="1"/>
  <c r="I200" i="8" l="1"/>
  <c r="L200" i="8"/>
  <c r="K200" i="8" l="1"/>
  <c r="M200" i="8"/>
  <c r="G201" i="8" s="1"/>
  <c r="H200" i="8"/>
  <c r="J201" i="8" l="1"/>
  <c r="I201" i="8" l="1"/>
  <c r="L201" i="8"/>
  <c r="K201" i="8" l="1"/>
  <c r="M201" i="8"/>
  <c r="G202" i="8" s="1"/>
  <c r="H201" i="8"/>
  <c r="J202" i="8" l="1"/>
  <c r="I202" i="8" l="1"/>
  <c r="L202" i="8"/>
  <c r="K202" i="8" l="1"/>
  <c r="M202" i="8"/>
  <c r="G203" i="8" s="1"/>
  <c r="H202" i="8"/>
  <c r="J203" i="8" l="1"/>
  <c r="I203" i="8" l="1"/>
  <c r="L203" i="8"/>
  <c r="K203" i="8" l="1"/>
  <c r="M203" i="8"/>
  <c r="G204" i="8" s="1"/>
  <c r="H203" i="8"/>
  <c r="J204" i="8" l="1"/>
  <c r="I204" i="8" l="1"/>
  <c r="L204" i="8"/>
  <c r="K204" i="8" l="1"/>
  <c r="M204" i="8"/>
  <c r="G205" i="8" s="1"/>
  <c r="H204" i="8"/>
  <c r="J205" i="8" l="1"/>
  <c r="I205" i="8" l="1"/>
  <c r="L205" i="8"/>
  <c r="K205" i="8" l="1"/>
  <c r="M205" i="8"/>
  <c r="G206" i="8" s="1"/>
  <c r="H205" i="8"/>
  <c r="J206" i="8" l="1"/>
  <c r="I206" i="8" l="1"/>
  <c r="L206" i="8"/>
  <c r="K206" i="8" l="1"/>
  <c r="M206" i="8"/>
  <c r="G207" i="8" s="1"/>
  <c r="H206" i="8"/>
  <c r="J207" i="8" l="1"/>
  <c r="I207" i="8" l="1"/>
  <c r="L207" i="8"/>
  <c r="K207" i="8" l="1"/>
  <c r="M207" i="8"/>
  <c r="G208" i="8" s="1"/>
  <c r="H207" i="8"/>
  <c r="J208" i="8" l="1"/>
  <c r="I208" i="8" l="1"/>
  <c r="L208" i="8"/>
  <c r="K208" i="8" l="1"/>
  <c r="M208" i="8"/>
  <c r="G209" i="8" s="1"/>
  <c r="H208" i="8"/>
  <c r="J209" i="8" l="1"/>
  <c r="I209" i="8" l="1"/>
  <c r="L209" i="8"/>
  <c r="K209" i="8" l="1"/>
  <c r="M209" i="8"/>
  <c r="G210" i="8" s="1"/>
  <c r="H209" i="8"/>
  <c r="J210" i="8" l="1"/>
  <c r="I210" i="8" l="1"/>
  <c r="L210" i="8"/>
  <c r="K210" i="8" l="1"/>
  <c r="M210" i="8"/>
  <c r="G211" i="8" s="1"/>
  <c r="H210" i="8"/>
  <c r="J211" i="8" l="1"/>
  <c r="I211" i="8" l="1"/>
  <c r="L211" i="8"/>
  <c r="K211" i="8" l="1"/>
  <c r="M211" i="8"/>
  <c r="G212" i="8" s="1"/>
  <c r="H211" i="8"/>
  <c r="J212" i="8" l="1"/>
  <c r="I212" i="8" l="1"/>
  <c r="L212" i="8"/>
  <c r="K212" i="8" l="1"/>
  <c r="M212" i="8"/>
  <c r="G213" i="8" s="1"/>
  <c r="H212" i="8"/>
  <c r="J213" i="8" l="1"/>
  <c r="I213" i="8" l="1"/>
  <c r="L213" i="8"/>
  <c r="K213" i="8" l="1"/>
  <c r="M213" i="8"/>
  <c r="G214" i="8" s="1"/>
  <c r="H213" i="8"/>
  <c r="J214" i="8" l="1"/>
  <c r="I214" i="8" l="1"/>
  <c r="L214" i="8"/>
  <c r="K214" i="8" l="1"/>
  <c r="M214" i="8"/>
  <c r="G215" i="8" s="1"/>
  <c r="H214" i="8"/>
  <c r="J215" i="8" l="1"/>
  <c r="I215" i="8" l="1"/>
  <c r="L215" i="8"/>
  <c r="K215" i="8" l="1"/>
  <c r="M215" i="8"/>
  <c r="G216" i="8" s="1"/>
  <c r="H215" i="8"/>
  <c r="J216" i="8" l="1"/>
  <c r="I216" i="8" l="1"/>
  <c r="L216" i="8"/>
  <c r="K216" i="8" l="1"/>
  <c r="M216" i="8"/>
  <c r="G217" i="8" s="1"/>
  <c r="H216" i="8"/>
  <c r="J217" i="8" l="1"/>
  <c r="I217" i="8" l="1"/>
  <c r="L217" i="8"/>
  <c r="K217" i="8" l="1"/>
  <c r="M217" i="8"/>
  <c r="G218" i="8" s="1"/>
  <c r="H217" i="8"/>
  <c r="J218" i="8" l="1"/>
  <c r="I218" i="8" l="1"/>
  <c r="L218" i="8"/>
  <c r="K218" i="8" l="1"/>
  <c r="M218" i="8"/>
  <c r="G219" i="8" s="1"/>
  <c r="H218" i="8"/>
  <c r="J219" i="8" l="1"/>
  <c r="I219" i="8" l="1"/>
  <c r="L219" i="8"/>
  <c r="K219" i="8" l="1"/>
  <c r="M219" i="8"/>
  <c r="G220" i="8" s="1"/>
  <c r="H219" i="8"/>
  <c r="J220" i="8" l="1"/>
  <c r="I220" i="8" l="1"/>
  <c r="L220" i="8"/>
  <c r="K220" i="8" l="1"/>
  <c r="M220" i="8"/>
  <c r="G221" i="8" s="1"/>
  <c r="H220" i="8"/>
  <c r="J221" i="8" l="1"/>
  <c r="I221" i="8" l="1"/>
  <c r="L221" i="8"/>
  <c r="K221" i="8" l="1"/>
  <c r="M221" i="8"/>
  <c r="G222" i="8" s="1"/>
  <c r="H221" i="8"/>
  <c r="J222" i="8" l="1"/>
  <c r="I222" i="8" l="1"/>
  <c r="L222" i="8"/>
  <c r="K222" i="8" l="1"/>
  <c r="M222" i="8"/>
  <c r="G223" i="8" s="1"/>
  <c r="H222" i="8"/>
  <c r="J223" i="8" l="1"/>
  <c r="I223" i="8" l="1"/>
  <c r="L223" i="8"/>
  <c r="K223" i="8" l="1"/>
  <c r="M223" i="8"/>
  <c r="G224" i="8" s="1"/>
  <c r="H223" i="8"/>
  <c r="J224" i="8" l="1"/>
  <c r="I224" i="8" l="1"/>
  <c r="L224" i="8"/>
  <c r="K224" i="8" l="1"/>
  <c r="M224" i="8"/>
  <c r="G225" i="8" s="1"/>
  <c r="H224" i="8"/>
  <c r="J225" i="8" l="1"/>
  <c r="I225" i="8" l="1"/>
  <c r="L225" i="8"/>
  <c r="K225" i="8" l="1"/>
  <c r="M225" i="8"/>
  <c r="G226" i="8" s="1"/>
  <c r="H225" i="8"/>
  <c r="J226" i="8" l="1"/>
  <c r="I226" i="8" l="1"/>
  <c r="L226" i="8"/>
  <c r="K226" i="8" l="1"/>
  <c r="M226" i="8"/>
  <c r="G227" i="8" s="1"/>
  <c r="H226" i="8"/>
  <c r="J227" i="8" l="1"/>
  <c r="I227" i="8" l="1"/>
  <c r="L227" i="8"/>
  <c r="K227" i="8" l="1"/>
  <c r="M227" i="8"/>
  <c r="G228" i="8" s="1"/>
  <c r="H227" i="8"/>
  <c r="J228" i="8" l="1"/>
  <c r="I228" i="8" l="1"/>
  <c r="L228" i="8"/>
  <c r="K228" i="8" l="1"/>
  <c r="M228" i="8"/>
  <c r="G229" i="8" s="1"/>
  <c r="H228" i="8"/>
  <c r="J229" i="8" l="1"/>
  <c r="I229" i="8" l="1"/>
  <c r="L229" i="8"/>
  <c r="K229" i="8" l="1"/>
  <c r="M229" i="8"/>
  <c r="G230" i="8" s="1"/>
  <c r="H229" i="8"/>
  <c r="J230" i="8" l="1"/>
  <c r="I230" i="8" l="1"/>
  <c r="L230" i="8"/>
  <c r="K230" i="8" l="1"/>
  <c r="M230" i="8"/>
  <c r="G231" i="8" s="1"/>
  <c r="H230" i="8"/>
  <c r="J231" i="8" l="1"/>
  <c r="I231" i="8" l="1"/>
  <c r="L231" i="8"/>
  <c r="K231" i="8" l="1"/>
  <c r="M231" i="8"/>
  <c r="G232" i="8" s="1"/>
  <c r="H231" i="8"/>
  <c r="J232" i="8" l="1"/>
  <c r="I232" i="8" l="1"/>
  <c r="L232" i="8"/>
  <c r="K232" i="8" l="1"/>
  <c r="M232" i="8"/>
  <c r="G233" i="8" s="1"/>
  <c r="H232" i="8"/>
  <c r="J233" i="8" l="1"/>
  <c r="I233" i="8" l="1"/>
  <c r="L233" i="8"/>
  <c r="K233" i="8" l="1"/>
  <c r="M233" i="8"/>
  <c r="G234" i="8" s="1"/>
  <c r="H233" i="8"/>
  <c r="J234" i="8" l="1"/>
  <c r="I234" i="8" l="1"/>
  <c r="L234" i="8"/>
  <c r="K234" i="8" l="1"/>
  <c r="M234" i="8"/>
  <c r="G235" i="8" s="1"/>
  <c r="H234" i="8"/>
  <c r="J235" i="8" l="1"/>
  <c r="I235" i="8" l="1"/>
  <c r="L235" i="8"/>
  <c r="K235" i="8" l="1"/>
  <c r="M235" i="8"/>
  <c r="G236" i="8" s="1"/>
  <c r="H235" i="8"/>
  <c r="J236" i="8" l="1"/>
  <c r="I236" i="8" l="1"/>
  <c r="L236" i="8"/>
  <c r="K236" i="8" l="1"/>
  <c r="M236" i="8"/>
  <c r="G237" i="8" s="1"/>
  <c r="H236" i="8"/>
  <c r="J237" i="8" l="1"/>
  <c r="I237" i="8" l="1"/>
  <c r="L237" i="8"/>
  <c r="K237" i="8" l="1"/>
  <c r="M237" i="8"/>
  <c r="G238" i="8" s="1"/>
  <c r="H237" i="8"/>
  <c r="J238" i="8" l="1"/>
  <c r="I238" i="8" l="1"/>
  <c r="L238" i="8"/>
  <c r="K238" i="8" l="1"/>
  <c r="M238" i="8"/>
  <c r="G239" i="8" s="1"/>
  <c r="H238" i="8"/>
  <c r="J239" i="8" l="1"/>
  <c r="I239" i="8" l="1"/>
  <c r="L239" i="8"/>
  <c r="K239" i="8" l="1"/>
  <c r="M239" i="8"/>
  <c r="G240" i="8" s="1"/>
  <c r="H239" i="8"/>
  <c r="J240" i="8" l="1"/>
  <c r="I240" i="8" l="1"/>
  <c r="H240" i="8" s="1"/>
  <c r="L240" i="8"/>
  <c r="K240" i="8" l="1"/>
  <c r="M240" i="8"/>
  <c r="G241" i="8" s="1"/>
  <c r="J241" i="8" l="1"/>
  <c r="I241" i="8" l="1"/>
  <c r="L241" i="8"/>
  <c r="K241" i="8" l="1"/>
  <c r="M241" i="8"/>
  <c r="G242" i="8" s="1"/>
  <c r="H241" i="8"/>
  <c r="J242" i="8" l="1"/>
  <c r="I242" i="8" l="1"/>
  <c r="L242" i="8"/>
  <c r="K242" i="8" l="1"/>
  <c r="M242" i="8"/>
  <c r="G243" i="8" s="1"/>
  <c r="H242" i="8"/>
  <c r="J243" i="8" l="1"/>
  <c r="I243" i="8" l="1"/>
  <c r="L243" i="8"/>
  <c r="K243" i="8" l="1"/>
  <c r="M243" i="8"/>
  <c r="G244" i="8" s="1"/>
  <c r="H243" i="8"/>
  <c r="J244" i="8" l="1"/>
  <c r="I244" i="8" l="1"/>
  <c r="L244" i="8"/>
  <c r="K244" i="8" l="1"/>
  <c r="M244" i="8"/>
  <c r="G245" i="8" s="1"/>
  <c r="H244" i="8"/>
  <c r="J245" i="8" l="1"/>
  <c r="I245" i="8" l="1"/>
  <c r="L245" i="8"/>
  <c r="K245" i="8" l="1"/>
  <c r="M245" i="8"/>
  <c r="G246" i="8" s="1"/>
  <c r="H245" i="8"/>
  <c r="J246" i="8" l="1"/>
  <c r="I246" i="8" l="1"/>
  <c r="L246" i="8"/>
  <c r="K246" i="8" l="1"/>
  <c r="M246" i="8"/>
  <c r="G247" i="8" s="1"/>
  <c r="H246" i="8"/>
  <c r="J247" i="8" l="1"/>
  <c r="I247" i="8" l="1"/>
  <c r="L247" i="8"/>
  <c r="K247" i="8" l="1"/>
  <c r="M247" i="8"/>
  <c r="G248" i="8" s="1"/>
  <c r="H247" i="8"/>
  <c r="J248" i="8" l="1"/>
  <c r="I248" i="8" l="1"/>
  <c r="L248" i="8"/>
  <c r="K248" i="8" l="1"/>
  <c r="M248" i="8"/>
  <c r="G249" i="8" s="1"/>
  <c r="H248" i="8"/>
  <c r="J249" i="8" l="1"/>
  <c r="I249" i="8" l="1"/>
  <c r="L249" i="8"/>
  <c r="K249" i="8" l="1"/>
  <c r="M249" i="8"/>
  <c r="G250" i="8" s="1"/>
  <c r="H249" i="8"/>
  <c r="J250" i="8" l="1"/>
  <c r="I250" i="8" l="1"/>
  <c r="L250" i="8"/>
  <c r="K250" i="8" l="1"/>
  <c r="M250" i="8"/>
  <c r="G251" i="8" s="1"/>
  <c r="H250" i="8"/>
  <c r="J251" i="8" l="1"/>
  <c r="I251" i="8" l="1"/>
  <c r="L251" i="8"/>
  <c r="K251" i="8" l="1"/>
  <c r="M251" i="8"/>
  <c r="G252" i="8" s="1"/>
  <c r="H251" i="8"/>
  <c r="J252" i="8" l="1"/>
  <c r="I252" i="8" l="1"/>
  <c r="L252" i="8"/>
  <c r="K252" i="8" l="1"/>
  <c r="M252" i="8"/>
  <c r="G253" i="8" s="1"/>
  <c r="H252" i="8"/>
  <c r="J253" i="8" l="1"/>
  <c r="I253" i="8" l="1"/>
  <c r="L253" i="8"/>
  <c r="K253" i="8" l="1"/>
  <c r="M253" i="8"/>
  <c r="G254" i="8" s="1"/>
  <c r="H253" i="8"/>
  <c r="J254" i="8" l="1"/>
  <c r="I254" i="8" l="1"/>
  <c r="L254" i="8"/>
  <c r="K254" i="8" l="1"/>
  <c r="M254" i="8"/>
  <c r="G255" i="8" s="1"/>
  <c r="H254" i="8"/>
  <c r="J255" i="8" l="1"/>
  <c r="I255" i="8" l="1"/>
  <c r="L255" i="8"/>
  <c r="K255" i="8" l="1"/>
  <c r="M255" i="8"/>
  <c r="G256" i="8" s="1"/>
  <c r="H255" i="8"/>
  <c r="J256" i="8" l="1"/>
  <c r="I256" i="8" l="1"/>
  <c r="L256" i="8"/>
  <c r="K256" i="8" l="1"/>
  <c r="M256" i="8"/>
  <c r="G257" i="8" s="1"/>
  <c r="H256" i="8"/>
  <c r="J257" i="8" l="1"/>
  <c r="I257" i="8" l="1"/>
  <c r="L257" i="8"/>
  <c r="K257" i="8" l="1"/>
  <c r="M257" i="8"/>
  <c r="G258" i="8" s="1"/>
  <c r="H257" i="8"/>
  <c r="J258" i="8" l="1"/>
  <c r="I258" i="8" l="1"/>
  <c r="L258" i="8"/>
  <c r="K258" i="8" l="1"/>
  <c r="M258" i="8"/>
  <c r="G259" i="8" s="1"/>
  <c r="H258" i="8"/>
  <c r="J259" i="8" l="1"/>
  <c r="I259" i="8" l="1"/>
  <c r="L259" i="8"/>
  <c r="K259" i="8" l="1"/>
  <c r="M259" i="8"/>
  <c r="G260" i="8" s="1"/>
  <c r="H259" i="8"/>
  <c r="J260" i="8" l="1"/>
  <c r="I260" i="8" l="1"/>
  <c r="L260" i="8"/>
  <c r="K260" i="8" l="1"/>
  <c r="M260" i="8"/>
  <c r="G261" i="8" s="1"/>
  <c r="H260" i="8"/>
  <c r="J261" i="8" l="1"/>
  <c r="I261" i="8" l="1"/>
  <c r="L261" i="8"/>
  <c r="K261" i="8" l="1"/>
  <c r="M261" i="8"/>
  <c r="G262" i="8" s="1"/>
  <c r="H261" i="8"/>
  <c r="J262" i="8" l="1"/>
  <c r="I262" i="8" l="1"/>
  <c r="L262" i="8"/>
  <c r="K262" i="8" l="1"/>
  <c r="M262" i="8"/>
  <c r="G263" i="8" s="1"/>
  <c r="H262" i="8"/>
  <c r="J263" i="8" l="1"/>
  <c r="I263" i="8" l="1"/>
  <c r="L263" i="8"/>
  <c r="K263" i="8" l="1"/>
  <c r="M263" i="8"/>
  <c r="G264" i="8" s="1"/>
  <c r="H263" i="8"/>
  <c r="J264" i="8" l="1"/>
  <c r="I264" i="8" l="1"/>
  <c r="L264" i="8"/>
  <c r="K264" i="8" l="1"/>
  <c r="M264" i="8"/>
  <c r="G265" i="8" s="1"/>
  <c r="H264" i="8"/>
  <c r="J265" i="8" l="1"/>
  <c r="I265" i="8" l="1"/>
  <c r="L265" i="8"/>
  <c r="K265" i="8" l="1"/>
  <c r="M265" i="8"/>
  <c r="G266" i="8" s="1"/>
  <c r="H265" i="8"/>
  <c r="J266" i="8" l="1"/>
  <c r="I266" i="8" l="1"/>
  <c r="L266" i="8"/>
  <c r="K266" i="8" l="1"/>
  <c r="M266" i="8"/>
  <c r="G267" i="8" s="1"/>
  <c r="H266" i="8"/>
  <c r="J267" i="8" l="1"/>
  <c r="I267" i="8" l="1"/>
  <c r="L267" i="8"/>
  <c r="K267" i="8" l="1"/>
  <c r="M267" i="8"/>
  <c r="G268" i="8" s="1"/>
  <c r="H267" i="8"/>
  <c r="J268" i="8" l="1"/>
  <c r="I268" i="8" l="1"/>
  <c r="L268" i="8"/>
  <c r="K268" i="8" l="1"/>
  <c r="M268" i="8"/>
  <c r="G269" i="8" s="1"/>
  <c r="H268" i="8"/>
  <c r="J269" i="8" l="1"/>
  <c r="I269" i="8" l="1"/>
  <c r="L269" i="8"/>
  <c r="K269" i="8" l="1"/>
  <c r="M269" i="8"/>
  <c r="G270" i="8" s="1"/>
  <c r="H269" i="8"/>
  <c r="J270" i="8" l="1"/>
  <c r="I270" i="8" l="1"/>
  <c r="L270" i="8"/>
  <c r="K270" i="8" l="1"/>
  <c r="M270" i="8"/>
  <c r="G271" i="8" s="1"/>
  <c r="H270" i="8"/>
  <c r="J271" i="8" l="1"/>
  <c r="I271" i="8" l="1"/>
  <c r="L271" i="8"/>
  <c r="K271" i="8" l="1"/>
  <c r="M271" i="8"/>
  <c r="G272" i="8" s="1"/>
  <c r="H271" i="8"/>
  <c r="J272" i="8" l="1"/>
  <c r="I272" i="8" l="1"/>
  <c r="L272" i="8"/>
  <c r="K272" i="8" l="1"/>
  <c r="M272" i="8"/>
  <c r="G273" i="8" s="1"/>
  <c r="H272" i="8"/>
  <c r="J273" i="8" l="1"/>
  <c r="I273" i="8" l="1"/>
  <c r="L273" i="8"/>
  <c r="K273" i="8" l="1"/>
  <c r="M273" i="8"/>
  <c r="G274" i="8" s="1"/>
  <c r="H273" i="8"/>
  <c r="J274" i="8" l="1"/>
  <c r="I274" i="8" l="1"/>
  <c r="L274" i="8"/>
  <c r="K274" i="8" l="1"/>
  <c r="M274" i="8"/>
  <c r="G275" i="8" s="1"/>
  <c r="H274" i="8"/>
  <c r="J275" i="8" l="1"/>
  <c r="I275" i="8" l="1"/>
  <c r="L275" i="8"/>
  <c r="K275" i="8" l="1"/>
  <c r="M275" i="8"/>
  <c r="G276" i="8" s="1"/>
  <c r="H275" i="8"/>
  <c r="J276" i="8" l="1"/>
  <c r="I276" i="8" l="1"/>
  <c r="L276" i="8"/>
  <c r="K276" i="8" l="1"/>
  <c r="M276" i="8"/>
  <c r="G277" i="8" s="1"/>
  <c r="H276" i="8"/>
  <c r="J277" i="8" l="1"/>
  <c r="I277" i="8" l="1"/>
  <c r="L277" i="8"/>
  <c r="K277" i="8" l="1"/>
  <c r="M277" i="8"/>
  <c r="G278" i="8" s="1"/>
  <c r="H277" i="8"/>
  <c r="J278" i="8" l="1"/>
  <c r="I278" i="8" l="1"/>
  <c r="L278" i="8"/>
  <c r="K278" i="8" l="1"/>
  <c r="M278" i="8"/>
  <c r="G279" i="8" s="1"/>
  <c r="H278" i="8"/>
  <c r="J279" i="8" l="1"/>
  <c r="I279" i="8" l="1"/>
  <c r="L279" i="8"/>
  <c r="K279" i="8" l="1"/>
  <c r="M279" i="8"/>
  <c r="G280" i="8" s="1"/>
  <c r="H279" i="8"/>
  <c r="J280" i="8" l="1"/>
  <c r="I280" i="8" l="1"/>
  <c r="L280" i="8"/>
  <c r="K280" i="8" l="1"/>
  <c r="M280" i="8"/>
  <c r="G281" i="8" s="1"/>
  <c r="H280" i="8"/>
  <c r="J281" i="8" l="1"/>
  <c r="I281" i="8" l="1"/>
  <c r="L281" i="8"/>
  <c r="K281" i="8" l="1"/>
  <c r="M281" i="8"/>
  <c r="G282" i="8" s="1"/>
  <c r="H281" i="8"/>
  <c r="J282" i="8" l="1"/>
  <c r="I282" i="8" l="1"/>
  <c r="L282" i="8"/>
  <c r="K282" i="8" l="1"/>
  <c r="M282" i="8"/>
  <c r="G283" i="8" s="1"/>
  <c r="H282" i="8"/>
  <c r="J283" i="8" l="1"/>
  <c r="I283" i="8" l="1"/>
  <c r="L283" i="8"/>
  <c r="K283" i="8" l="1"/>
  <c r="M283" i="8"/>
  <c r="G284" i="8" s="1"/>
  <c r="H283" i="8"/>
  <c r="J284" i="8" l="1"/>
  <c r="I284" i="8" l="1"/>
  <c r="L284" i="8"/>
  <c r="K284" i="8" l="1"/>
  <c r="M284" i="8"/>
  <c r="G285" i="8" s="1"/>
  <c r="H284" i="8"/>
  <c r="J285" i="8" l="1"/>
  <c r="I285" i="8" l="1"/>
  <c r="L285" i="8"/>
  <c r="K285" i="8" l="1"/>
  <c r="M285" i="8"/>
  <c r="G286" i="8" s="1"/>
  <c r="H285" i="8"/>
  <c r="J286" i="8" l="1"/>
  <c r="I286" i="8" l="1"/>
  <c r="L286" i="8"/>
  <c r="K286" i="8" l="1"/>
  <c r="M286" i="8"/>
  <c r="G287" i="8" s="1"/>
  <c r="H286" i="8"/>
  <c r="J287" i="8" l="1"/>
  <c r="I287" i="8" l="1"/>
  <c r="L287" i="8"/>
  <c r="K287" i="8" l="1"/>
  <c r="M287" i="8"/>
  <c r="G288" i="8" s="1"/>
  <c r="H287" i="8"/>
  <c r="J288" i="8" l="1"/>
  <c r="I288" i="8" l="1"/>
  <c r="L288" i="8"/>
  <c r="K288" i="8" l="1"/>
  <c r="M288" i="8"/>
  <c r="G289" i="8" s="1"/>
  <c r="H288" i="8"/>
  <c r="J289" i="8" l="1"/>
  <c r="I289" i="8" l="1"/>
  <c r="L289" i="8"/>
  <c r="K289" i="8" l="1"/>
  <c r="M289" i="8"/>
  <c r="G290" i="8" s="1"/>
  <c r="H289" i="8"/>
  <c r="J290" i="8" l="1"/>
  <c r="I290" i="8" l="1"/>
  <c r="L290" i="8"/>
  <c r="K290" i="8" l="1"/>
  <c r="M290" i="8"/>
  <c r="G291" i="8" s="1"/>
  <c r="H290" i="8"/>
  <c r="J291" i="8" l="1"/>
  <c r="I291" i="8" l="1"/>
  <c r="L291" i="8"/>
  <c r="K291" i="8" l="1"/>
  <c r="M291" i="8"/>
  <c r="G292" i="8" s="1"/>
  <c r="H291" i="8"/>
  <c r="J292" i="8" l="1"/>
  <c r="I292" i="8" l="1"/>
  <c r="L292" i="8"/>
  <c r="K292" i="8" l="1"/>
  <c r="M292" i="8"/>
  <c r="G293" i="8" s="1"/>
  <c r="H292" i="8"/>
  <c r="J293" i="8" l="1"/>
  <c r="I293" i="8" l="1"/>
  <c r="L293" i="8"/>
  <c r="K293" i="8" l="1"/>
  <c r="M293" i="8"/>
  <c r="G294" i="8" s="1"/>
  <c r="H293" i="8"/>
  <c r="J294" i="8" l="1"/>
  <c r="I294" i="8" l="1"/>
  <c r="L294" i="8"/>
  <c r="K294" i="8" l="1"/>
  <c r="M294" i="8"/>
  <c r="G295" i="8" s="1"/>
  <c r="H294" i="8"/>
  <c r="J295" i="8" l="1"/>
  <c r="I295" i="8" l="1"/>
  <c r="L295" i="8"/>
  <c r="K295" i="8" l="1"/>
  <c r="M295" i="8"/>
  <c r="G296" i="8" s="1"/>
  <c r="H295" i="8"/>
  <c r="J296" i="8" l="1"/>
  <c r="I296" i="8" l="1"/>
  <c r="L296" i="8"/>
  <c r="K296" i="8" l="1"/>
  <c r="M296" i="8"/>
  <c r="G297" i="8" s="1"/>
  <c r="H296" i="8"/>
  <c r="J297" i="8" l="1"/>
  <c r="I297" i="8" l="1"/>
  <c r="L297" i="8"/>
  <c r="K297" i="8" l="1"/>
  <c r="M297" i="8"/>
  <c r="G298" i="8" s="1"/>
  <c r="H297" i="8"/>
  <c r="J298" i="8" l="1"/>
  <c r="I298" i="8" l="1"/>
  <c r="L298" i="8"/>
  <c r="K298" i="8" l="1"/>
  <c r="M298" i="8"/>
  <c r="G299" i="8" s="1"/>
  <c r="H298" i="8"/>
  <c r="J299" i="8" l="1"/>
  <c r="I299" i="8" l="1"/>
  <c r="L299" i="8"/>
  <c r="K299" i="8" l="1"/>
  <c r="M299" i="8"/>
  <c r="G300" i="8" s="1"/>
  <c r="H299" i="8"/>
  <c r="J300" i="8" l="1"/>
  <c r="I300" i="8" l="1"/>
  <c r="L300" i="8"/>
  <c r="K300" i="8" l="1"/>
  <c r="M300" i="8"/>
  <c r="G301" i="8" s="1"/>
  <c r="H300" i="8"/>
  <c r="J301" i="8" l="1"/>
  <c r="I301" i="8" l="1"/>
  <c r="L301" i="8"/>
  <c r="K301" i="8" l="1"/>
  <c r="M301" i="8"/>
  <c r="G302" i="8" s="1"/>
  <c r="H301" i="8"/>
  <c r="J302" i="8" l="1"/>
  <c r="I302" i="8" l="1"/>
  <c r="L302" i="8"/>
  <c r="K302" i="8" l="1"/>
  <c r="M302" i="8"/>
  <c r="G303" i="8" s="1"/>
  <c r="H302" i="8"/>
  <c r="J303" i="8" l="1"/>
  <c r="I303" i="8" l="1"/>
  <c r="L303" i="8"/>
  <c r="K303" i="8" l="1"/>
  <c r="M303" i="8"/>
  <c r="G304" i="8" s="1"/>
  <c r="H303" i="8"/>
  <c r="J304" i="8" l="1"/>
  <c r="I304" i="8" l="1"/>
  <c r="L304" i="8"/>
  <c r="K304" i="8" l="1"/>
  <c r="M304" i="8"/>
  <c r="G305" i="8" s="1"/>
  <c r="H304" i="8"/>
  <c r="J305" i="8" l="1"/>
  <c r="I305" i="8" l="1"/>
  <c r="L305" i="8"/>
  <c r="K305" i="8" l="1"/>
  <c r="M305" i="8"/>
  <c r="G306" i="8" s="1"/>
  <c r="H305" i="8"/>
  <c r="J306" i="8" l="1"/>
  <c r="I306" i="8" l="1"/>
  <c r="L306" i="8"/>
  <c r="K306" i="8" l="1"/>
  <c r="M306" i="8"/>
  <c r="G307" i="8" s="1"/>
  <c r="H306" i="8"/>
  <c r="J307" i="8" l="1"/>
  <c r="I307" i="8" l="1"/>
  <c r="L307" i="8"/>
  <c r="K307" i="8" l="1"/>
  <c r="M307" i="8"/>
  <c r="G308" i="8" s="1"/>
  <c r="H307" i="8"/>
  <c r="J308" i="8" l="1"/>
  <c r="I308" i="8" l="1"/>
  <c r="L308" i="8"/>
  <c r="K308" i="8" l="1"/>
  <c r="M308" i="8"/>
  <c r="G309" i="8" s="1"/>
  <c r="H308" i="8"/>
  <c r="J309" i="8" l="1"/>
  <c r="I309" i="8" l="1"/>
  <c r="L309" i="8"/>
  <c r="K309" i="8" l="1"/>
  <c r="M309" i="8"/>
  <c r="G310" i="8" s="1"/>
  <c r="H309" i="8"/>
  <c r="J310" i="8" l="1"/>
  <c r="I310" i="8" l="1"/>
  <c r="L310" i="8"/>
  <c r="K310" i="8" l="1"/>
  <c r="M310" i="8"/>
  <c r="G311" i="8" s="1"/>
  <c r="H310" i="8"/>
  <c r="J311" i="8" l="1"/>
  <c r="I311" i="8" l="1"/>
  <c r="L311" i="8"/>
  <c r="K311" i="8" l="1"/>
  <c r="M311" i="8"/>
  <c r="G312" i="8" s="1"/>
  <c r="H311" i="8"/>
  <c r="J312" i="8" l="1"/>
  <c r="I312" i="8" l="1"/>
  <c r="L312" i="8"/>
  <c r="K312" i="8" l="1"/>
  <c r="M312" i="8"/>
  <c r="G313" i="8" s="1"/>
  <c r="H312" i="8"/>
  <c r="J313" i="8" l="1"/>
  <c r="I313" i="8" l="1"/>
  <c r="L313" i="8"/>
  <c r="K313" i="8" l="1"/>
  <c r="M313" i="8"/>
  <c r="G314" i="8" s="1"/>
  <c r="H313" i="8"/>
  <c r="J314" i="8" l="1"/>
  <c r="I314" i="8" l="1"/>
  <c r="L314" i="8"/>
  <c r="K314" i="8" l="1"/>
  <c r="M314" i="8"/>
  <c r="G315" i="8" s="1"/>
  <c r="H314" i="8"/>
  <c r="J315" i="8" l="1"/>
  <c r="I315" i="8" l="1"/>
  <c r="L315" i="8"/>
  <c r="K315" i="8" l="1"/>
  <c r="M315" i="8"/>
  <c r="G316" i="8" s="1"/>
  <c r="H315" i="8"/>
  <c r="J316" i="8" l="1"/>
  <c r="I316" i="8" l="1"/>
  <c r="L316" i="8"/>
  <c r="K316" i="8" l="1"/>
  <c r="M316" i="8"/>
  <c r="G317" i="8" s="1"/>
  <c r="H316" i="8"/>
  <c r="J317" i="8" l="1"/>
  <c r="I317" i="8" l="1"/>
  <c r="L317" i="8"/>
  <c r="K317" i="8" l="1"/>
  <c r="M317" i="8"/>
  <c r="G318" i="8" s="1"/>
  <c r="H317" i="8"/>
  <c r="J318" i="8" l="1"/>
  <c r="I318" i="8" l="1"/>
  <c r="L318" i="8"/>
  <c r="K318" i="8" l="1"/>
  <c r="M318" i="8"/>
  <c r="G319" i="8" s="1"/>
  <c r="H318" i="8"/>
  <c r="J319" i="8" l="1"/>
  <c r="I319" i="8" l="1"/>
  <c r="L319" i="8"/>
  <c r="K319" i="8" l="1"/>
  <c r="M319" i="8"/>
  <c r="G320" i="8" s="1"/>
  <c r="H319" i="8"/>
  <c r="J320" i="8" l="1"/>
  <c r="I320" i="8" l="1"/>
  <c r="L320" i="8"/>
  <c r="K320" i="8" l="1"/>
  <c r="M320" i="8"/>
  <c r="G321" i="8" s="1"/>
  <c r="H320" i="8"/>
  <c r="J321" i="8" l="1"/>
  <c r="I321" i="8" l="1"/>
  <c r="L321" i="8"/>
  <c r="K321" i="8" l="1"/>
  <c r="M321" i="8"/>
  <c r="G322" i="8" s="1"/>
  <c r="H321" i="8"/>
  <c r="J322" i="8" l="1"/>
  <c r="I322" i="8" l="1"/>
  <c r="L322" i="8"/>
  <c r="K322" i="8" l="1"/>
  <c r="M322" i="8"/>
  <c r="G323" i="8" s="1"/>
  <c r="H322" i="8"/>
  <c r="J323" i="8" l="1"/>
  <c r="I323" i="8" l="1"/>
  <c r="L323" i="8"/>
  <c r="K323" i="8" l="1"/>
  <c r="M323" i="8"/>
  <c r="G324" i="8" s="1"/>
  <c r="H323" i="8"/>
  <c r="J324" i="8" l="1"/>
  <c r="I324" i="8" l="1"/>
  <c r="L324" i="8"/>
  <c r="K324" i="8" l="1"/>
  <c r="M324" i="8"/>
  <c r="G325" i="8" s="1"/>
  <c r="H324" i="8"/>
  <c r="J325" i="8" l="1"/>
  <c r="I325" i="8" l="1"/>
  <c r="L325" i="8"/>
  <c r="K325" i="8" l="1"/>
  <c r="M325" i="8"/>
  <c r="G326" i="8" s="1"/>
  <c r="H325" i="8"/>
  <c r="J326" i="8" l="1"/>
  <c r="I326" i="8" l="1"/>
  <c r="L326" i="8"/>
  <c r="K326" i="8" l="1"/>
  <c r="M326" i="8"/>
  <c r="G327" i="8" s="1"/>
  <c r="H326" i="8"/>
  <c r="J327" i="8" l="1"/>
  <c r="I327" i="8" l="1"/>
  <c r="L327" i="8"/>
  <c r="K327" i="8" l="1"/>
  <c r="M327" i="8"/>
  <c r="G328" i="8" s="1"/>
  <c r="H327" i="8"/>
  <c r="J328" i="8" l="1"/>
  <c r="I328" i="8" l="1"/>
  <c r="L328" i="8"/>
  <c r="K328" i="8" l="1"/>
  <c r="M328" i="8"/>
  <c r="G329" i="8" s="1"/>
  <c r="H328" i="8"/>
  <c r="J329" i="8" l="1"/>
  <c r="I329" i="8" l="1"/>
  <c r="L329" i="8"/>
  <c r="K329" i="8" l="1"/>
  <c r="M329" i="8"/>
  <c r="G330" i="8" s="1"/>
  <c r="H329" i="8"/>
  <c r="J330" i="8" l="1"/>
  <c r="I330" i="8" l="1"/>
  <c r="L330" i="8"/>
  <c r="K330" i="8" l="1"/>
  <c r="M330" i="8"/>
  <c r="G331" i="8" s="1"/>
  <c r="H330" i="8"/>
  <c r="J331" i="8" l="1"/>
  <c r="I331" i="8" l="1"/>
  <c r="L331" i="8"/>
  <c r="K331" i="8" l="1"/>
  <c r="M331" i="8"/>
  <c r="G332" i="8" s="1"/>
  <c r="H331" i="8"/>
  <c r="J332" i="8" l="1"/>
  <c r="I332" i="8" l="1"/>
  <c r="L332" i="8"/>
  <c r="K332" i="8" l="1"/>
  <c r="M332" i="8"/>
  <c r="G333" i="8" s="1"/>
  <c r="H332" i="8"/>
  <c r="J333" i="8" l="1"/>
  <c r="I333" i="8" l="1"/>
  <c r="L333" i="8"/>
  <c r="K333" i="8" l="1"/>
  <c r="M333" i="8"/>
  <c r="G334" i="8" s="1"/>
  <c r="H333" i="8"/>
  <c r="J334" i="8" l="1"/>
  <c r="I334" i="8" l="1"/>
  <c r="L334" i="8"/>
  <c r="K334" i="8" l="1"/>
  <c r="M334" i="8"/>
  <c r="G335" i="8" s="1"/>
  <c r="H334" i="8"/>
  <c r="J335" i="8" l="1"/>
  <c r="I335" i="8" l="1"/>
  <c r="L335" i="8"/>
  <c r="K335" i="8" l="1"/>
  <c r="M335" i="8"/>
  <c r="G336" i="8" s="1"/>
  <c r="H335" i="8"/>
  <c r="J336" i="8" l="1"/>
  <c r="I336" i="8" l="1"/>
  <c r="L336" i="8"/>
  <c r="K336" i="8" l="1"/>
  <c r="M336" i="8"/>
  <c r="G337" i="8" s="1"/>
  <c r="H336" i="8"/>
  <c r="J337" i="8" l="1"/>
  <c r="I337" i="8" l="1"/>
  <c r="L337" i="8"/>
  <c r="K337" i="8" l="1"/>
  <c r="M337" i="8"/>
  <c r="G338" i="8" s="1"/>
  <c r="H337" i="8"/>
  <c r="J338" i="8" l="1"/>
  <c r="I338" i="8" l="1"/>
  <c r="L338" i="8"/>
  <c r="K338" i="8" l="1"/>
  <c r="M338" i="8"/>
  <c r="G339" i="8" s="1"/>
  <c r="H338" i="8"/>
  <c r="J339" i="8" l="1"/>
  <c r="I339" i="8" l="1"/>
  <c r="L339" i="8"/>
  <c r="K339" i="8" l="1"/>
  <c r="M339" i="8"/>
  <c r="G340" i="8" s="1"/>
  <c r="H339" i="8"/>
  <c r="J340" i="8" l="1"/>
  <c r="I340" i="8" l="1"/>
  <c r="L340" i="8"/>
  <c r="K340" i="8" l="1"/>
  <c r="M340" i="8"/>
  <c r="G341" i="8" s="1"/>
  <c r="H340" i="8"/>
  <c r="J341" i="8" l="1"/>
  <c r="I341" i="8" l="1"/>
  <c r="L341" i="8"/>
  <c r="K341" i="8" l="1"/>
  <c r="M341" i="8"/>
  <c r="G342" i="8" s="1"/>
  <c r="H341" i="8"/>
  <c r="J342" i="8" l="1"/>
  <c r="I342" i="8" l="1"/>
  <c r="L342" i="8"/>
  <c r="K342" i="8" l="1"/>
  <c r="M342" i="8"/>
  <c r="G343" i="8" s="1"/>
  <c r="H342" i="8"/>
  <c r="J343" i="8" l="1"/>
  <c r="I343" i="8" l="1"/>
  <c r="L343" i="8"/>
  <c r="K343" i="8" l="1"/>
  <c r="M343" i="8"/>
  <c r="G344" i="8" s="1"/>
  <c r="H343" i="8"/>
  <c r="J344" i="8" l="1"/>
  <c r="I344" i="8" l="1"/>
  <c r="L344" i="8"/>
  <c r="K344" i="8" l="1"/>
  <c r="M344" i="8"/>
  <c r="G345" i="8" s="1"/>
  <c r="H344" i="8"/>
  <c r="J345" i="8" l="1"/>
  <c r="I345" i="8" l="1"/>
  <c r="L345" i="8"/>
  <c r="K345" i="8" l="1"/>
  <c r="M345" i="8"/>
  <c r="G346" i="8" s="1"/>
  <c r="H345" i="8"/>
  <c r="J346" i="8" l="1"/>
  <c r="I346" i="8" l="1"/>
  <c r="L346" i="8"/>
  <c r="K346" i="8" l="1"/>
  <c r="M346" i="8"/>
  <c r="G347" i="8" s="1"/>
  <c r="H346" i="8"/>
  <c r="J347" i="8" l="1"/>
  <c r="I347" i="8" l="1"/>
  <c r="L347" i="8"/>
  <c r="K347" i="8" l="1"/>
  <c r="M347" i="8"/>
  <c r="G348" i="8" s="1"/>
  <c r="H347" i="8"/>
  <c r="J348" i="8" l="1"/>
  <c r="I348" i="8" l="1"/>
  <c r="L348" i="8"/>
  <c r="K348" i="8" l="1"/>
  <c r="M348" i="8"/>
  <c r="G349" i="8" s="1"/>
  <c r="H348" i="8"/>
  <c r="J349" i="8" l="1"/>
  <c r="I349" i="8" l="1"/>
  <c r="L349" i="8"/>
  <c r="K349" i="8" l="1"/>
  <c r="M349" i="8"/>
  <c r="G350" i="8" s="1"/>
  <c r="H349" i="8"/>
  <c r="J350" i="8" l="1"/>
  <c r="I350" i="8" l="1"/>
  <c r="L350" i="8"/>
  <c r="K350" i="8" l="1"/>
  <c r="M350" i="8"/>
  <c r="G351" i="8" s="1"/>
  <c r="H350" i="8"/>
  <c r="J351" i="8" l="1"/>
  <c r="I351" i="8" l="1"/>
  <c r="L351" i="8"/>
  <c r="K351" i="8" l="1"/>
  <c r="M351" i="8"/>
  <c r="G352" i="8" s="1"/>
  <c r="H351" i="8"/>
  <c r="J352" i="8" l="1"/>
  <c r="I352" i="8" l="1"/>
  <c r="L352" i="8"/>
  <c r="K352" i="8" l="1"/>
  <c r="M352" i="8"/>
  <c r="G353" i="8" s="1"/>
  <c r="H352" i="8"/>
  <c r="J353" i="8" l="1"/>
  <c r="I353" i="8" l="1"/>
  <c r="L353" i="8"/>
  <c r="K353" i="8" l="1"/>
  <c r="M353" i="8"/>
  <c r="G354" i="8" s="1"/>
  <c r="H353" i="8"/>
  <c r="J354" i="8" l="1"/>
  <c r="I354" i="8" l="1"/>
  <c r="L354" i="8"/>
  <c r="K354" i="8" l="1"/>
  <c r="M354" i="8"/>
  <c r="G355" i="8" s="1"/>
  <c r="H354" i="8"/>
  <c r="J355" i="8" l="1"/>
  <c r="I355" i="8" l="1"/>
  <c r="L355" i="8"/>
  <c r="K355" i="8" l="1"/>
  <c r="M355" i="8"/>
  <c r="G356" i="8" s="1"/>
  <c r="H355" i="8"/>
  <c r="J356" i="8" l="1"/>
  <c r="I356" i="8" l="1"/>
  <c r="L356" i="8"/>
  <c r="K356" i="8" l="1"/>
  <c r="M356" i="8"/>
  <c r="G357" i="8" s="1"/>
  <c r="H356" i="8"/>
  <c r="J357" i="8" l="1"/>
  <c r="I357" i="8" l="1"/>
  <c r="L357" i="8"/>
  <c r="K357" i="8" l="1"/>
  <c r="M357" i="8"/>
  <c r="G358" i="8" s="1"/>
  <c r="H357" i="8"/>
  <c r="J358" i="8" l="1"/>
  <c r="I358" i="8" l="1"/>
  <c r="L358" i="8"/>
  <c r="K358" i="8" l="1"/>
  <c r="M358" i="8"/>
  <c r="G359" i="8" s="1"/>
  <c r="H358" i="8"/>
  <c r="J359" i="8" l="1"/>
  <c r="I359" i="8" l="1"/>
  <c r="L359" i="8"/>
  <c r="K359" i="8" l="1"/>
  <c r="M359" i="8"/>
  <c r="G360" i="8" s="1"/>
  <c r="H359" i="8"/>
  <c r="J360" i="8" l="1"/>
  <c r="I360" i="8" l="1"/>
  <c r="L360" i="8"/>
  <c r="K360" i="8" l="1"/>
  <c r="M360" i="8"/>
  <c r="G361" i="8" s="1"/>
  <c r="H360" i="8"/>
  <c r="J361" i="8" l="1"/>
  <c r="I361" i="8" l="1"/>
  <c r="L361" i="8"/>
  <c r="K361" i="8" l="1"/>
  <c r="M361" i="8"/>
  <c r="G362" i="8" s="1"/>
  <c r="H361" i="8"/>
  <c r="J362" i="8" l="1"/>
  <c r="I362" i="8" l="1"/>
  <c r="L362" i="8"/>
  <c r="K362" i="8" l="1"/>
  <c r="M362" i="8"/>
  <c r="G363" i="8" s="1"/>
  <c r="H362" i="8"/>
  <c r="J363" i="8" l="1"/>
  <c r="I363" i="8" l="1"/>
  <c r="L363" i="8"/>
  <c r="K363" i="8" l="1"/>
  <c r="M363" i="8"/>
  <c r="G364" i="8" s="1"/>
  <c r="H363" i="8"/>
  <c r="J364" i="8" l="1"/>
  <c r="I364" i="8" l="1"/>
  <c r="L364" i="8"/>
  <c r="K364" i="8" l="1"/>
  <c r="M364" i="8"/>
  <c r="C25" i="8" s="1"/>
  <c r="H364" i="8"/>
  <c r="P91" i="2" l="1"/>
  <c r="P97" i="2" s="1"/>
  <c r="Q91" i="2"/>
  <c r="Q97" i="2" s="1"/>
  <c r="O92" i="2"/>
  <c r="Q104" i="2" l="1"/>
  <c r="P92" i="2"/>
  <c r="P104" i="2"/>
  <c r="R91" i="2"/>
  <c r="R97" i="2" s="1"/>
  <c r="Q92" i="2"/>
  <c r="R104" i="2"/>
  <c r="S91" i="2" l="1"/>
  <c r="R92" i="2"/>
  <c r="S97" i="2"/>
  <c r="S104" i="2"/>
  <c r="T91" i="2" l="1"/>
  <c r="S92" i="2"/>
  <c r="T97" i="2"/>
  <c r="T104" i="2"/>
  <c r="U91" i="2" l="1"/>
  <c r="T92" i="2"/>
  <c r="U97" i="2"/>
  <c r="U104" i="2"/>
  <c r="V91" i="2" l="1"/>
  <c r="V97" i="2" s="1"/>
  <c r="U92" i="2"/>
  <c r="V104" i="2"/>
  <c r="W91" i="2" l="1"/>
  <c r="W104" i="2" s="1"/>
  <c r="V92" i="2"/>
  <c r="W97" i="2"/>
  <c r="X91" i="2" l="1"/>
  <c r="X92" i="2" s="1"/>
  <c r="Y91" i="2"/>
  <c r="Y92" i="2" s="1"/>
  <c r="Z91" i="2"/>
  <c r="Z104" i="2" s="1"/>
  <c r="AA91" i="2"/>
  <c r="AA104" i="2" s="1"/>
  <c r="AB91" i="2"/>
  <c r="AB104" i="2" s="1"/>
  <c r="AC91" i="2"/>
  <c r="AC104" i="2" s="1"/>
  <c r="AD91" i="2"/>
  <c r="AD92" i="2" s="1"/>
  <c r="AE91" i="2"/>
  <c r="AE104" i="2" s="1"/>
  <c r="AF91" i="2"/>
  <c r="AF92" i="2" s="1"/>
  <c r="AG91" i="2"/>
  <c r="AG104" i="2" s="1"/>
  <c r="AH91" i="2"/>
  <c r="AH104" i="2" s="1"/>
  <c r="AI91" i="2"/>
  <c r="AI92" i="2" s="1"/>
  <c r="AJ91" i="2"/>
  <c r="AJ92" i="2" s="1"/>
  <c r="AK91" i="2"/>
  <c r="W92" i="2"/>
  <c r="X97" i="2"/>
  <c r="Y97" i="2"/>
  <c r="AJ97" i="2"/>
  <c r="AK97" i="2"/>
  <c r="X104" i="2"/>
  <c r="Y104" i="2"/>
  <c r="AJ104" i="2"/>
  <c r="AK104" i="2"/>
  <c r="AI104" i="2" l="1"/>
  <c r="AH92" i="2"/>
  <c r="AG92" i="2"/>
  <c r="AF97" i="2"/>
  <c r="AF104" i="2"/>
  <c r="AE92" i="2"/>
  <c r="AD104" i="2"/>
  <c r="AI97" i="2"/>
  <c r="AG97" i="2"/>
  <c r="AE97" i="2"/>
  <c r="AD97" i="2"/>
  <c r="AC97" i="2"/>
  <c r="AC92" i="2"/>
  <c r="AA97" i="2"/>
  <c r="AH97" i="2"/>
  <c r="AB97" i="2"/>
  <c r="Z97" i="2"/>
  <c r="AB92" i="2"/>
  <c r="AA92" i="2"/>
  <c r="Z92" i="2"/>
  <c r="AL91" i="2" l="1"/>
  <c r="AL92" i="2" s="1"/>
  <c r="AL57" i="2" s="1"/>
  <c r="AK92" i="2"/>
  <c r="AO92" i="2" s="1"/>
  <c r="AL97" i="2"/>
  <c r="H98" i="2"/>
  <c r="AL104" i="2"/>
  <c r="AP92" i="2" l="1"/>
  <c r="AO104" i="2"/>
  <c r="AP104" i="2" s="1"/>
  <c r="H100" i="2"/>
  <c r="AC29" i="2" l="1"/>
  <c r="AC44" i="2" s="1"/>
  <c r="AC51" i="2" l="1"/>
  <c r="AC115" i="2"/>
  <c r="I29" i="2"/>
  <c r="I44" i="2" s="1"/>
  <c r="I51" i="2" s="1"/>
  <c r="J29" i="2"/>
  <c r="J44" i="2" s="1"/>
  <c r="J51" i="2" s="1"/>
  <c r="K29" i="2"/>
  <c r="K44" i="2" s="1"/>
  <c r="K51" i="2" s="1"/>
  <c r="L29" i="2"/>
  <c r="L44" i="2" s="1"/>
  <c r="L51" i="2" s="1"/>
  <c r="AB29" i="2"/>
  <c r="AB44" i="2" s="1"/>
  <c r="AB115" i="2" s="1"/>
  <c r="X29" i="2"/>
  <c r="X44" i="2" s="1"/>
  <c r="X51" i="2" s="1"/>
  <c r="Y29" i="2"/>
  <c r="Y44" i="2" s="1"/>
  <c r="AA29" i="2"/>
  <c r="AA44" i="2" s="1"/>
  <c r="U29" i="2"/>
  <c r="U44" i="2" s="1"/>
  <c r="U51" i="2" s="1"/>
  <c r="V29" i="2"/>
  <c r="V44" i="2" s="1"/>
  <c r="S29" i="2"/>
  <c r="S44" i="2" s="1"/>
  <c r="P29" i="2"/>
  <c r="P44" i="2" s="1"/>
  <c r="P115" i="2" s="1"/>
  <c r="R29" i="2"/>
  <c r="R44" i="2" s="1"/>
  <c r="R51" i="2" s="1"/>
  <c r="W29" i="2"/>
  <c r="W44" i="2" s="1"/>
  <c r="Q29" i="2"/>
  <c r="M29" i="2"/>
  <c r="M44" i="2" s="1"/>
  <c r="V51" i="2" l="1"/>
  <c r="V115" i="2"/>
  <c r="Y51" i="2"/>
  <c r="Y115" i="2"/>
  <c r="W51" i="2"/>
  <c r="W115" i="2"/>
  <c r="S51" i="2"/>
  <c r="S115" i="2"/>
  <c r="M51" i="2"/>
  <c r="P51" i="2"/>
  <c r="AA73" i="2"/>
  <c r="AA51" i="2"/>
  <c r="AB73" i="2"/>
  <c r="AB51" i="2"/>
  <c r="AB94" i="2" l="1"/>
  <c r="AA94" i="2"/>
  <c r="AO27" i="2"/>
  <c r="H29" i="2"/>
  <c r="H44" i="2" s="1"/>
  <c r="E17" i="1" l="1"/>
  <c r="Q36" i="1" s="1"/>
  <c r="H51" i="2"/>
  <c r="H74" i="2"/>
  <c r="H71" i="2" s="1"/>
  <c r="H57" i="2" s="1"/>
  <c r="H59" i="2" s="1"/>
  <c r="AO29" i="2"/>
  <c r="AP29" i="2" s="1"/>
  <c r="AP27" i="2"/>
  <c r="M14" i="1"/>
  <c r="F17" i="1"/>
  <c r="F18" i="1" s="1"/>
  <c r="E18" i="1"/>
  <c r="I70" i="2" l="1"/>
  <c r="I76" i="2" s="1"/>
  <c r="AS84" i="2"/>
  <c r="H61" i="2"/>
  <c r="H144" i="2" s="1"/>
  <c r="I74" i="2"/>
  <c r="M37" i="1"/>
  <c r="N14" i="1"/>
  <c r="DV7" i="7"/>
  <c r="I71" i="2" l="1"/>
  <c r="I57" i="2" s="1"/>
  <c r="I59" i="2" s="1"/>
  <c r="AS85" i="2"/>
  <c r="H146" i="2"/>
  <c r="J74" i="2"/>
  <c r="K70" i="2" s="1"/>
  <c r="K76" i="2" s="1"/>
  <c r="H132" i="2"/>
  <c r="H113" i="2" s="1"/>
  <c r="H115" i="2"/>
  <c r="J70" i="2"/>
  <c r="J76" i="2" s="1"/>
  <c r="K74" i="2"/>
  <c r="N37" i="1"/>
  <c r="H135" i="2" l="1"/>
  <c r="I128" i="2" s="1"/>
  <c r="H117" i="2"/>
  <c r="I113" i="2" s="1"/>
  <c r="J71" i="2"/>
  <c r="J57" i="2" s="1"/>
  <c r="J59" i="2" s="1"/>
  <c r="J61" i="2" s="1"/>
  <c r="J115" i="2" s="1"/>
  <c r="J119" i="2" s="1"/>
  <c r="H119" i="2"/>
  <c r="I61" i="2"/>
  <c r="K71" i="2"/>
  <c r="L70" i="2"/>
  <c r="L74" i="2"/>
  <c r="J144" i="2" l="1"/>
  <c r="J146" i="2"/>
  <c r="I115" i="2"/>
  <c r="I117" i="2" s="1"/>
  <c r="I146" i="2"/>
  <c r="I144" i="2"/>
  <c r="I153" i="2"/>
  <c r="J153" i="2"/>
  <c r="K57" i="2"/>
  <c r="K59" i="2" s="1"/>
  <c r="L71" i="2"/>
  <c r="L57" i="2" s="1"/>
  <c r="M70" i="2"/>
  <c r="M74" i="2"/>
  <c r="L76" i="2"/>
  <c r="L54" i="2" l="1"/>
  <c r="M83" i="2"/>
  <c r="M132" i="2" s="1"/>
  <c r="M76" i="2"/>
  <c r="I119" i="2"/>
  <c r="M71" i="2"/>
  <c r="M57" i="2" s="1"/>
  <c r="N70" i="2"/>
  <c r="N74" i="2"/>
  <c r="K61" i="2"/>
  <c r="J113" i="2"/>
  <c r="J117" i="2" s="1"/>
  <c r="J129" i="2" s="1"/>
  <c r="I129" i="2"/>
  <c r="K113" i="2" l="1"/>
  <c r="J156" i="2"/>
  <c r="J162" i="2" s="1"/>
  <c r="M54" i="2"/>
  <c r="M59" i="2" s="1"/>
  <c r="M61" i="2" s="1"/>
  <c r="M115" i="2" s="1"/>
  <c r="M158" i="2"/>
  <c r="K115" i="2"/>
  <c r="K119" i="2" s="1"/>
  <c r="K146" i="2"/>
  <c r="K144" i="2"/>
  <c r="K153" i="2"/>
  <c r="O74" i="2"/>
  <c r="N71" i="2"/>
  <c r="N57" i="2" s="1"/>
  <c r="O70" i="2"/>
  <c r="N83" i="2"/>
  <c r="N132" i="2" s="1"/>
  <c r="N76" i="2"/>
  <c r="L59" i="2"/>
  <c r="I156" i="2"/>
  <c r="I135" i="2"/>
  <c r="L158" i="2"/>
  <c r="I162" i="2" l="1"/>
  <c r="L61" i="2"/>
  <c r="L115" i="2" s="1"/>
  <c r="N54" i="2"/>
  <c r="N158" i="2"/>
  <c r="N159" i="2" s="1"/>
  <c r="P74" i="2"/>
  <c r="O71" i="2"/>
  <c r="O57" i="2" s="1"/>
  <c r="P70" i="2"/>
  <c r="L159" i="2"/>
  <c r="M159" i="2"/>
  <c r="M144" i="2"/>
  <c r="M119" i="2"/>
  <c r="M146" i="2"/>
  <c r="O83" i="2"/>
  <c r="O76" i="2"/>
  <c r="J128" i="2"/>
  <c r="J135" i="2" s="1"/>
  <c r="I154" i="2"/>
  <c r="I157" i="2"/>
  <c r="I163" i="2" s="1"/>
  <c r="J157" i="2"/>
  <c r="K117" i="2"/>
  <c r="Q74" i="2" l="1"/>
  <c r="P71" i="2"/>
  <c r="P57" i="2" s="1"/>
  <c r="Q70" i="2"/>
  <c r="K128" i="2"/>
  <c r="J154" i="2"/>
  <c r="L113" i="2"/>
  <c r="K129" i="2"/>
  <c r="K156" i="2" s="1"/>
  <c r="K165" i="2" s="1"/>
  <c r="N59" i="2"/>
  <c r="N61" i="2" s="1"/>
  <c r="N115" i="2" s="1"/>
  <c r="O54" i="2"/>
  <c r="O59" i="2" s="1"/>
  <c r="O61" i="2" s="1"/>
  <c r="O132" i="2"/>
  <c r="J160" i="2"/>
  <c r="J163" i="2"/>
  <c r="I160" i="2"/>
  <c r="P83" i="2"/>
  <c r="P132" i="2" s="1"/>
  <c r="P76" i="2"/>
  <c r="L119" i="2"/>
  <c r="L146" i="2"/>
  <c r="L144" i="2"/>
  <c r="M153" i="2"/>
  <c r="L153" i="2"/>
  <c r="Q174" i="2" l="1"/>
  <c r="BX7" i="7"/>
  <c r="K162" i="2"/>
  <c r="K157" i="2"/>
  <c r="DG8" i="7"/>
  <c r="L117" i="2"/>
  <c r="N119" i="2"/>
  <c r="N146" i="2"/>
  <c r="N144" i="2"/>
  <c r="N153" i="2"/>
  <c r="O158" i="2"/>
  <c r="P54" i="2"/>
  <c r="P59" i="2" s="1"/>
  <c r="P61" i="2" s="1"/>
  <c r="P158" i="2"/>
  <c r="O153" i="2"/>
  <c r="O144" i="2"/>
  <c r="O119" i="2"/>
  <c r="O146" i="2"/>
  <c r="K135" i="2"/>
  <c r="Q83" i="2"/>
  <c r="Q76" i="2"/>
  <c r="R74" i="2"/>
  <c r="Q71" i="2"/>
  <c r="Q57" i="2" s="1"/>
  <c r="R70" i="2"/>
  <c r="DT7" i="7" l="1"/>
  <c r="DW7" i="7" s="1"/>
  <c r="CA7" i="7"/>
  <c r="P144" i="2"/>
  <c r="P119" i="2"/>
  <c r="P146" i="2"/>
  <c r="P153" i="2"/>
  <c r="P159" i="2"/>
  <c r="O159" i="2"/>
  <c r="R83" i="2"/>
  <c r="R76" i="2"/>
  <c r="Q54" i="2"/>
  <c r="Q132" i="2"/>
  <c r="K160" i="2"/>
  <c r="K163" i="2"/>
  <c r="L128" i="2"/>
  <c r="K154" i="2"/>
  <c r="L129" i="2"/>
  <c r="L156" i="2" s="1"/>
  <c r="M113" i="2"/>
  <c r="M117" i="2" s="1"/>
  <c r="S70" i="2"/>
  <c r="S74" i="2"/>
  <c r="R71" i="2"/>
  <c r="R57" i="2" s="1"/>
  <c r="Q158" i="2" l="1"/>
  <c r="Q173" i="2"/>
  <c r="Q177" i="2" s="1"/>
  <c r="Q178" i="2" s="1"/>
  <c r="DV8" i="7"/>
  <c r="DW8" i="7"/>
  <c r="Q59" i="2"/>
  <c r="R132" i="2"/>
  <c r="R54" i="2"/>
  <c r="R59" i="2" s="1"/>
  <c r="R61" i="2" s="1"/>
  <c r="R115" i="2" s="1"/>
  <c r="Q159" i="2"/>
  <c r="L133" i="2"/>
  <c r="L135" i="2" s="1"/>
  <c r="L162" i="2"/>
  <c r="L157" i="2"/>
  <c r="T70" i="2"/>
  <c r="T74" i="2"/>
  <c r="S71" i="2"/>
  <c r="S57" i="2" s="1"/>
  <c r="S83" i="2"/>
  <c r="S76" i="2"/>
  <c r="M129" i="2"/>
  <c r="M156" i="2" s="1"/>
  <c r="M162" i="2" s="1"/>
  <c r="N113" i="2"/>
  <c r="N117" i="2" s="1"/>
  <c r="R158" i="2" l="1"/>
  <c r="R159" i="2" s="1"/>
  <c r="M157" i="2"/>
  <c r="M128" i="2"/>
  <c r="M135" i="2" s="1"/>
  <c r="L154" i="2"/>
  <c r="T83" i="2"/>
  <c r="T76" i="2"/>
  <c r="S132" i="2"/>
  <c r="S158" i="2" s="1"/>
  <c r="S54" i="2"/>
  <c r="S59" i="2" s="1"/>
  <c r="S61" i="2" s="1"/>
  <c r="M160" i="2"/>
  <c r="M163" i="2"/>
  <c r="T71" i="2"/>
  <c r="T57" i="2" s="1"/>
  <c r="U70" i="2"/>
  <c r="U74" i="2"/>
  <c r="R119" i="2"/>
  <c r="R144" i="2"/>
  <c r="R146" i="2"/>
  <c r="N129" i="2"/>
  <c r="N156" i="2" s="1"/>
  <c r="O113" i="2"/>
  <c r="O117" i="2" s="1"/>
  <c r="L163" i="2"/>
  <c r="L160" i="2"/>
  <c r="O129" i="2" l="1"/>
  <c r="O156" i="2" s="1"/>
  <c r="O157" i="2" s="1"/>
  <c r="P113" i="2"/>
  <c r="P117" i="2" s="1"/>
  <c r="S144" i="2"/>
  <c r="S146" i="2"/>
  <c r="S119" i="2"/>
  <c r="U71" i="2"/>
  <c r="U57" i="2" s="1"/>
  <c r="V70" i="2"/>
  <c r="V74" i="2"/>
  <c r="S159" i="2"/>
  <c r="N162" i="2"/>
  <c r="N165" i="2"/>
  <c r="DH8" i="7" s="1"/>
  <c r="N157" i="2"/>
  <c r="U76" i="2"/>
  <c r="U83" i="2"/>
  <c r="T132" i="2"/>
  <c r="T54" i="2"/>
  <c r="T59" i="2" s="1"/>
  <c r="T61" i="2" s="1"/>
  <c r="N128" i="2"/>
  <c r="N135" i="2" s="1"/>
  <c r="M154" i="2"/>
  <c r="T173" i="2" l="1"/>
  <c r="T177" i="2" s="1"/>
  <c r="T178" i="2" s="1"/>
  <c r="U54" i="2"/>
  <c r="U59" i="2" s="1"/>
  <c r="U61" i="2" s="1"/>
  <c r="U115" i="2" s="1"/>
  <c r="U132" i="2"/>
  <c r="T119" i="2"/>
  <c r="T144" i="2"/>
  <c r="T146" i="2"/>
  <c r="P129" i="2"/>
  <c r="P156" i="2" s="1"/>
  <c r="Q113" i="2"/>
  <c r="V76" i="2"/>
  <c r="V83" i="2"/>
  <c r="T158" i="2"/>
  <c r="DT9" i="7"/>
  <c r="N160" i="2"/>
  <c r="N163" i="2"/>
  <c r="O162" i="2"/>
  <c r="V71" i="2"/>
  <c r="V57" i="2" s="1"/>
  <c r="W70" i="2"/>
  <c r="W74" i="2"/>
  <c r="O163" i="2"/>
  <c r="O160" i="2"/>
  <c r="O128" i="2"/>
  <c r="N154" i="2"/>
  <c r="O133" i="2" l="1"/>
  <c r="O135" i="2" s="1"/>
  <c r="V54" i="2"/>
  <c r="V59" i="2" s="1"/>
  <c r="V61" i="2" s="1"/>
  <c r="V132" i="2"/>
  <c r="V158" i="2" s="1"/>
  <c r="U158" i="2"/>
  <c r="U159" i="2" s="1"/>
  <c r="P162" i="2"/>
  <c r="W83" i="2"/>
  <c r="W76" i="2"/>
  <c r="U119" i="2"/>
  <c r="U144" i="2"/>
  <c r="U146" i="2"/>
  <c r="DT12" i="7"/>
  <c r="T159" i="2"/>
  <c r="W71" i="2"/>
  <c r="W57" i="2" s="1"/>
  <c r="X70" i="2"/>
  <c r="X74" i="2"/>
  <c r="P157" i="2"/>
  <c r="V119" i="2" l="1"/>
  <c r="V144" i="2"/>
  <c r="V146" i="2"/>
  <c r="W54" i="2"/>
  <c r="W59" i="2" s="1"/>
  <c r="W61" i="2" s="1"/>
  <c r="W132" i="2"/>
  <c r="W173" i="2" s="1"/>
  <c r="W177" i="2" s="1"/>
  <c r="P160" i="2"/>
  <c r="P163" i="2"/>
  <c r="V159" i="2"/>
  <c r="P128" i="2"/>
  <c r="P135" i="2" s="1"/>
  <c r="O154" i="2"/>
  <c r="X71" i="2"/>
  <c r="X57" i="2" s="1"/>
  <c r="Y70" i="2"/>
  <c r="Y74" i="2"/>
  <c r="X83" i="2"/>
  <c r="X132" i="2" s="1"/>
  <c r="X76" i="2"/>
  <c r="W178" i="2" l="1"/>
  <c r="Y83" i="2"/>
  <c r="Y132" i="2" s="1"/>
  <c r="Y76" i="2"/>
  <c r="W119" i="2"/>
  <c r="W144" i="2"/>
  <c r="W146" i="2"/>
  <c r="Y71" i="2"/>
  <c r="Y57" i="2" s="1"/>
  <c r="Z70" i="2"/>
  <c r="Z74" i="2"/>
  <c r="Q128" i="2"/>
  <c r="P154" i="2"/>
  <c r="X54" i="2"/>
  <c r="X59" i="2" s="1"/>
  <c r="X61" i="2" s="1"/>
  <c r="X115" i="2" s="1"/>
  <c r="X158" i="2"/>
  <c r="W158" i="2"/>
  <c r="AA74" i="2" l="1"/>
  <c r="Z71" i="2"/>
  <c r="Z57" i="2" s="1"/>
  <c r="AA70" i="2"/>
  <c r="Z83" i="2"/>
  <c r="Z132" i="2" s="1"/>
  <c r="Z158" i="2" s="1"/>
  <c r="Z76" i="2"/>
  <c r="X159" i="2"/>
  <c r="X119" i="2"/>
  <c r="X144" i="2"/>
  <c r="X146" i="2"/>
  <c r="W159" i="2"/>
  <c r="Y54" i="2"/>
  <c r="Y59" i="2" s="1"/>
  <c r="Y61" i="2" s="1"/>
  <c r="Z173" i="2" l="1"/>
  <c r="Z177" i="2" s="1"/>
  <c r="Y144" i="2"/>
  <c r="Y119" i="2"/>
  <c r="Y146" i="2"/>
  <c r="Z54" i="2"/>
  <c r="Z59" i="2" s="1"/>
  <c r="Z61" i="2" s="1"/>
  <c r="AA83" i="2"/>
  <c r="AA76" i="2"/>
  <c r="Y158" i="2"/>
  <c r="AB74" i="2"/>
  <c r="AA71" i="2"/>
  <c r="AA57" i="2" s="1"/>
  <c r="AB70" i="2"/>
  <c r="Q180" i="2" l="1"/>
  <c r="T180" i="2" s="1"/>
  <c r="W180" i="2" s="1"/>
  <c r="Z180" i="2" s="1"/>
  <c r="Z178" i="2"/>
  <c r="Z159" i="2"/>
  <c r="AB83" i="2"/>
  <c r="AB76" i="2"/>
  <c r="AC74" i="2"/>
  <c r="AB71" i="2"/>
  <c r="AB57" i="2" s="1"/>
  <c r="AC70" i="2"/>
  <c r="Z119" i="2"/>
  <c r="Z144" i="2"/>
  <c r="Z146" i="2"/>
  <c r="Y159" i="2"/>
  <c r="AA54" i="2"/>
  <c r="AA59" i="2" s="1"/>
  <c r="AA61" i="2" s="1"/>
  <c r="AA115" i="2" s="1"/>
  <c r="AA132" i="2"/>
  <c r="AA158" i="2" l="1"/>
  <c r="AA144" i="2"/>
  <c r="AA119" i="2"/>
  <c r="AA146" i="2"/>
  <c r="AA159" i="2"/>
  <c r="AD74" i="2"/>
  <c r="AC71" i="2"/>
  <c r="AC57" i="2" s="1"/>
  <c r="AD70" i="2"/>
  <c r="AC83" i="2"/>
  <c r="AC76" i="2"/>
  <c r="AB54" i="2"/>
  <c r="AB59" i="2" s="1"/>
  <c r="AB61" i="2" s="1"/>
  <c r="AB132" i="2"/>
  <c r="AB158" i="2" s="1"/>
  <c r="AD83" i="2" l="1"/>
  <c r="AD76" i="2"/>
  <c r="AE70" i="2"/>
  <c r="AE74" i="2"/>
  <c r="AD71" i="2"/>
  <c r="AD57" i="2" s="1"/>
  <c r="AB159" i="2"/>
  <c r="AC54" i="2"/>
  <c r="AC59" i="2" s="1"/>
  <c r="AC61" i="2" s="1"/>
  <c r="AC132" i="2"/>
  <c r="AB144" i="2"/>
  <c r="AB119" i="2"/>
  <c r="AB146" i="2"/>
  <c r="AC158" i="2" l="1"/>
  <c r="AC173" i="2"/>
  <c r="AC177" i="2" s="1"/>
  <c r="AC144" i="2"/>
  <c r="AC119" i="2"/>
  <c r="AC146" i="2"/>
  <c r="AF70" i="2"/>
  <c r="AF74" i="2"/>
  <c r="AE71" i="2"/>
  <c r="AE57" i="2" s="1"/>
  <c r="AE83" i="2"/>
  <c r="AE76" i="2"/>
  <c r="AD132" i="2"/>
  <c r="AD54" i="2"/>
  <c r="AD59" i="2" s="1"/>
  <c r="AD61" i="2" s="1"/>
  <c r="AC159" i="2"/>
  <c r="AC178" i="2" l="1"/>
  <c r="AD158" i="2"/>
  <c r="AF83" i="2"/>
  <c r="AF76" i="2"/>
  <c r="AF71" i="2"/>
  <c r="AF57" i="2" s="1"/>
  <c r="AG70" i="2"/>
  <c r="AG74" i="2"/>
  <c r="AD159" i="2"/>
  <c r="AD119" i="2"/>
  <c r="AD144" i="2"/>
  <c r="AD146" i="2"/>
  <c r="AE132" i="2"/>
  <c r="AE158" i="2" s="1"/>
  <c r="AE54" i="2"/>
  <c r="AE59" i="2" s="1"/>
  <c r="AE61" i="2" s="1"/>
  <c r="AE159" i="2" l="1"/>
  <c r="AE119" i="2"/>
  <c r="AE146" i="2"/>
  <c r="AE144" i="2"/>
  <c r="AG71" i="2"/>
  <c r="AG57" i="2" s="1"/>
  <c r="AH70" i="2"/>
  <c r="AH74" i="2"/>
  <c r="AG76" i="2"/>
  <c r="AG83" i="2"/>
  <c r="AF132" i="2"/>
  <c r="AF173" i="2" s="1"/>
  <c r="AF177" i="2" s="1"/>
  <c r="AF54" i="2"/>
  <c r="AF59" i="2" s="1"/>
  <c r="AF61" i="2" s="1"/>
  <c r="AF178" i="2" l="1"/>
  <c r="AG54" i="2"/>
  <c r="AG59" i="2" s="1"/>
  <c r="AG61" i="2" s="1"/>
  <c r="AG115" i="2" s="1"/>
  <c r="AG132" i="2"/>
  <c r="AH76" i="2"/>
  <c r="AH83" i="2"/>
  <c r="AF119" i="2"/>
  <c r="AF146" i="2"/>
  <c r="AF144" i="2"/>
  <c r="AF158" i="2"/>
  <c r="DU9" i="7"/>
  <c r="AH71" i="2"/>
  <c r="AH57" i="2" s="1"/>
  <c r="AI70" i="2"/>
  <c r="AI74" i="2"/>
  <c r="AF159" i="2" l="1"/>
  <c r="DU12" i="7"/>
  <c r="AH54" i="2"/>
  <c r="AH59" i="2" s="1"/>
  <c r="AH61" i="2" s="1"/>
  <c r="AH132" i="2"/>
  <c r="AH158" i="2" s="1"/>
  <c r="AI71" i="2"/>
  <c r="AI57" i="2" s="1"/>
  <c r="AJ70" i="2"/>
  <c r="AJ74" i="2"/>
  <c r="AI83" i="2"/>
  <c r="AI76" i="2"/>
  <c r="AG158" i="2"/>
  <c r="AG146" i="2"/>
  <c r="AG119" i="2"/>
  <c r="AG144" i="2"/>
  <c r="AH146" i="2" l="1"/>
  <c r="AH119" i="2"/>
  <c r="AH144" i="2"/>
  <c r="AG159" i="2"/>
  <c r="AJ71" i="2"/>
  <c r="AJ57" i="2" s="1"/>
  <c r="AK70" i="2"/>
  <c r="AK74" i="2"/>
  <c r="AJ83" i="2"/>
  <c r="AJ132" i="2" s="1"/>
  <c r="AJ76" i="2"/>
  <c r="AH159" i="2"/>
  <c r="AI54" i="2"/>
  <c r="AI59" i="2" s="1"/>
  <c r="AI61" i="2" s="1"/>
  <c r="AI132" i="2"/>
  <c r="AI158" i="2" s="1"/>
  <c r="AI173" i="2" l="1"/>
  <c r="AI177" i="2" s="1"/>
  <c r="AI159" i="2"/>
  <c r="AI119" i="2"/>
  <c r="AI144" i="2"/>
  <c r="AI146" i="2"/>
  <c r="AK83" i="2"/>
  <c r="AK132" i="2" s="1"/>
  <c r="AK76" i="2"/>
  <c r="AJ54" i="2"/>
  <c r="AJ59" i="2" s="1"/>
  <c r="AJ61" i="2" s="1"/>
  <c r="AJ115" i="2" s="1"/>
  <c r="AJ158" i="2"/>
  <c r="AK71" i="2"/>
  <c r="AK57" i="2" s="1"/>
  <c r="AL70" i="2"/>
  <c r="AI178" i="2" l="1"/>
  <c r="AJ119" i="2"/>
  <c r="AJ144" i="2"/>
  <c r="AJ146" i="2"/>
  <c r="AK54" i="2"/>
  <c r="AK59" i="2" s="1"/>
  <c r="AK61" i="2" s="1"/>
  <c r="AK158" i="2"/>
  <c r="AL72" i="2"/>
  <c r="AL83" i="2"/>
  <c r="AL54" i="2" s="1"/>
  <c r="AL76" i="2"/>
  <c r="AL74" i="2"/>
  <c r="AM70" i="2" s="1"/>
  <c r="AJ159" i="2"/>
  <c r="AM83" i="2" l="1"/>
  <c r="AM71" i="2"/>
  <c r="AM76" i="2"/>
  <c r="H77" i="2" s="1"/>
  <c r="AK159" i="2"/>
  <c r="AO72" i="2"/>
  <c r="AP72" i="2" s="1"/>
  <c r="AL58" i="2"/>
  <c r="AK144" i="2"/>
  <c r="AK146" i="2"/>
  <c r="AK119" i="2"/>
  <c r="AC180" i="2" l="1"/>
  <c r="AF180" i="2" s="1"/>
  <c r="AI180" i="2" s="1"/>
  <c r="AS86" i="2"/>
  <c r="AL59" i="2"/>
  <c r="AO58" i="2"/>
  <c r="AP58" i="2" s="1"/>
  <c r="AM57" i="2"/>
  <c r="AO71" i="2"/>
  <c r="AM54" i="2"/>
  <c r="H79" i="2"/>
  <c r="C33" i="2" s="1"/>
  <c r="C35" i="2" s="1"/>
  <c r="C24" i="9" s="1"/>
  <c r="AO83" i="2"/>
  <c r="AP83" i="2" s="1"/>
  <c r="AM59" i="2" l="1"/>
  <c r="AO54" i="2"/>
  <c r="AP54" i="2" s="1"/>
  <c r="AO57" i="2"/>
  <c r="AP57" i="2" s="1"/>
  <c r="AP71" i="2"/>
  <c r="AM61" i="2" l="1"/>
  <c r="AO59" i="2"/>
  <c r="AP59" i="2" s="1"/>
  <c r="AM115" i="2" l="1"/>
  <c r="AM119" i="2" s="1"/>
  <c r="AM144" i="2"/>
  <c r="AM146" i="2"/>
  <c r="R5" i="7" l="1"/>
  <c r="AF10" i="7" s="1"/>
  <c r="AQ22" i="7" s="1"/>
  <c r="E2" i="9"/>
  <c r="C9" i="9" l="1"/>
  <c r="M13" i="1" l="1"/>
  <c r="F22" i="1"/>
  <c r="E23" i="1"/>
  <c r="F23" i="1"/>
  <c r="E31" i="1"/>
  <c r="G31" i="1" s="1"/>
  <c r="F31" i="1"/>
  <c r="R36" i="1"/>
  <c r="Q37" i="1"/>
  <c r="I37" i="1" s="1"/>
  <c r="AO40" i="2"/>
  <c r="Q40" i="2" s="1"/>
  <c r="Q42" i="2" s="1"/>
  <c r="Q44" i="2" s="1"/>
  <c r="AO42" i="2"/>
  <c r="AP40" i="2" l="1"/>
  <c r="C15" i="9"/>
  <c r="C29" i="8"/>
  <c r="R37" i="1"/>
  <c r="Q38" i="1"/>
  <c r="I7" i="1" s="1"/>
  <c r="J7" i="1" s="1"/>
  <c r="AU15" i="7"/>
  <c r="C18" i="2"/>
  <c r="C19" i="2" s="1"/>
  <c r="CT11" i="7"/>
  <c r="CU11" i="7" s="1"/>
  <c r="CV11" i="7" s="1"/>
  <c r="CW11" i="7" s="1"/>
  <c r="CX11" i="7" s="1"/>
  <c r="CY11" i="7" s="1"/>
  <c r="CZ11" i="7" s="1"/>
  <c r="DA11" i="7" s="1"/>
  <c r="DB11" i="7" s="1"/>
  <c r="DC11" i="7" s="1"/>
  <c r="DD11" i="7" s="1"/>
  <c r="C6" i="2"/>
  <c r="Q39" i="1"/>
  <c r="R39" i="1" s="1"/>
  <c r="AX8" i="7"/>
  <c r="Q115" i="2"/>
  <c r="Q117" i="2" s="1"/>
  <c r="Q51" i="2"/>
  <c r="AP42" i="2"/>
  <c r="AO44" i="2"/>
  <c r="AP44" i="2" s="1"/>
  <c r="J37" i="1"/>
  <c r="N13" i="1"/>
  <c r="M40" i="1"/>
  <c r="M18" i="1"/>
  <c r="N18" i="1" s="1"/>
  <c r="Q12" i="1"/>
  <c r="R12" i="1" s="1"/>
  <c r="Q11" i="1"/>
  <c r="Q41" i="1"/>
  <c r="G33" i="1"/>
  <c r="Q5" i="1"/>
  <c r="R5" i="1" s="1"/>
  <c r="C16" i="9" l="1"/>
  <c r="C17" i="9"/>
  <c r="I38" i="1"/>
  <c r="J38" i="1" s="1"/>
  <c r="R38" i="1"/>
  <c r="I43" i="1"/>
  <c r="J43" i="1" s="1"/>
  <c r="N40" i="1"/>
  <c r="M43" i="1"/>
  <c r="Q61" i="2"/>
  <c r="Q129" i="2"/>
  <c r="R113" i="2"/>
  <c r="R117" i="2" s="1"/>
  <c r="R41" i="1"/>
  <c r="AS33" i="2"/>
  <c r="Q13" i="1"/>
  <c r="R11" i="1"/>
  <c r="R13" i="1" s="1"/>
  <c r="AX5" i="7"/>
  <c r="R129" i="2" l="1"/>
  <c r="R156" i="2" s="1"/>
  <c r="S113" i="2"/>
  <c r="S117" i="2" s="1"/>
  <c r="AL48" i="2"/>
  <c r="CX9" i="7"/>
  <c r="CX13" i="7" s="1"/>
  <c r="CY9" i="7"/>
  <c r="CY13" i="7" s="1"/>
  <c r="CZ9" i="7"/>
  <c r="CZ13" i="7" s="1"/>
  <c r="DA9" i="7"/>
  <c r="DA13" i="7" s="1"/>
  <c r="DB9" i="7"/>
  <c r="DB13" i="7" s="1"/>
  <c r="DC9" i="7"/>
  <c r="DC13" i="7" s="1"/>
  <c r="DD9" i="7"/>
  <c r="DD13" i="7" s="1"/>
  <c r="CU9" i="7"/>
  <c r="CU13" i="7" s="1"/>
  <c r="CV9" i="7"/>
  <c r="CV13" i="7" s="1"/>
  <c r="CT9" i="7"/>
  <c r="CT13" i="7" s="1"/>
  <c r="CW9" i="7"/>
  <c r="CW13" i="7" s="1"/>
  <c r="T153" i="2"/>
  <c r="AF153" i="2"/>
  <c r="U153" i="2"/>
  <c r="AG153" i="2"/>
  <c r="Q144" i="2"/>
  <c r="V153" i="2"/>
  <c r="AH153" i="2"/>
  <c r="W153" i="2"/>
  <c r="AI153" i="2"/>
  <c r="X153" i="2"/>
  <c r="AJ153" i="2"/>
  <c r="Y153" i="2"/>
  <c r="AK153" i="2"/>
  <c r="Z153" i="2"/>
  <c r="Q146" i="2"/>
  <c r="AA153" i="2"/>
  <c r="Q119" i="2"/>
  <c r="AB153" i="2"/>
  <c r="Q153" i="2"/>
  <c r="AC153" i="2"/>
  <c r="R153" i="2"/>
  <c r="AD153" i="2"/>
  <c r="S153" i="2"/>
  <c r="AE153" i="2"/>
  <c r="AX6" i="7"/>
  <c r="AX9" i="7"/>
  <c r="N43" i="1"/>
  <c r="Q135" i="2"/>
  <c r="Q156" i="2"/>
  <c r="I18" i="1"/>
  <c r="J18" i="1" s="1"/>
  <c r="R128" i="2" l="1"/>
  <c r="Q154" i="2"/>
  <c r="AO48" i="2"/>
  <c r="AP48" i="2" s="1"/>
  <c r="AL49" i="2"/>
  <c r="S129" i="2"/>
  <c r="S156" i="2" s="1"/>
  <c r="S162" i="2" s="1"/>
  <c r="T113" i="2"/>
  <c r="T117" i="2" s="1"/>
  <c r="AX16" i="7"/>
  <c r="AX17" i="7" s="1"/>
  <c r="AX10" i="7"/>
  <c r="Q157" i="2"/>
  <c r="R157" i="2"/>
  <c r="Q165" i="2"/>
  <c r="DI8" i="7" s="1"/>
  <c r="Q162" i="2"/>
  <c r="R162" i="2"/>
  <c r="Q160" i="2" l="1"/>
  <c r="Q163" i="2"/>
  <c r="R160" i="2"/>
  <c r="R163" i="2"/>
  <c r="AO49" i="2"/>
  <c r="AP49" i="2" s="1"/>
  <c r="AL51" i="2"/>
  <c r="C32" i="9"/>
  <c r="S157" i="2"/>
  <c r="U113" i="2"/>
  <c r="U117" i="2" s="1"/>
  <c r="T129" i="2"/>
  <c r="T156" i="2" s="1"/>
  <c r="T162" i="2" s="1"/>
  <c r="C26" i="7"/>
  <c r="C27" i="7" s="1"/>
  <c r="R133" i="2"/>
  <c r="R135" i="2" s="1"/>
  <c r="S128" i="2" l="1"/>
  <c r="S135" i="2" s="1"/>
  <c r="R154" i="2"/>
  <c r="S160" i="2"/>
  <c r="S163" i="2"/>
  <c r="T157" i="2"/>
  <c r="T166" i="2"/>
  <c r="AL61" i="2"/>
  <c r="AO51" i="2"/>
  <c r="AP51" i="2" s="1"/>
  <c r="F51" i="2"/>
  <c r="V113" i="2"/>
  <c r="V117" i="2" s="1"/>
  <c r="U129" i="2"/>
  <c r="U156" i="2" s="1"/>
  <c r="T165" i="2"/>
  <c r="DJ8" i="7" s="1"/>
  <c r="E51" i="2" l="1"/>
  <c r="E29" i="9"/>
  <c r="T163" i="2"/>
  <c r="T160" i="2"/>
  <c r="U162" i="2"/>
  <c r="W113" i="2"/>
  <c r="W117" i="2" s="1"/>
  <c r="V129" i="2"/>
  <c r="V156" i="2" s="1"/>
  <c r="U157" i="2"/>
  <c r="AL146" i="2"/>
  <c r="F146" i="2" s="1"/>
  <c r="AO61" i="2"/>
  <c r="AP61" i="2" s="1"/>
  <c r="F61" i="2"/>
  <c r="T128" i="2"/>
  <c r="T135" i="2" s="1"/>
  <c r="S154" i="2"/>
  <c r="U128" i="2" l="1"/>
  <c r="T154" i="2"/>
  <c r="U163" i="2"/>
  <c r="U160" i="2"/>
  <c r="V157" i="2"/>
  <c r="X113" i="2"/>
  <c r="X117" i="2" s="1"/>
  <c r="W129" i="2"/>
  <c r="W156" i="2" s="1"/>
  <c r="E146" i="2"/>
  <c r="V162" i="2"/>
  <c r="BJ10" i="2"/>
  <c r="E61" i="2"/>
  <c r="E30" i="9"/>
  <c r="V163" i="2" l="1"/>
  <c r="V160" i="2"/>
  <c r="U133" i="2"/>
  <c r="U135" i="2" s="1"/>
  <c r="W162" i="2"/>
  <c r="W165" i="2"/>
  <c r="DK8" i="7" s="1"/>
  <c r="Y113" i="2"/>
  <c r="Y117" i="2" s="1"/>
  <c r="X129" i="2"/>
  <c r="X156" i="2" s="1"/>
  <c r="W157" i="2"/>
  <c r="V128" i="2" l="1"/>
  <c r="V135" i="2" s="1"/>
  <c r="U154" i="2"/>
  <c r="X162" i="2"/>
  <c r="X157" i="2"/>
  <c r="Z113" i="2"/>
  <c r="Z117" i="2" s="1"/>
  <c r="Y129" i="2"/>
  <c r="Y156" i="2" s="1"/>
  <c r="W163" i="2"/>
  <c r="W160" i="2"/>
  <c r="AA113" i="2" l="1"/>
  <c r="AA117" i="2" s="1"/>
  <c r="Z129" i="2"/>
  <c r="Z156" i="2" s="1"/>
  <c r="Y162" i="2"/>
  <c r="Y157" i="2"/>
  <c r="X163" i="2"/>
  <c r="X160" i="2"/>
  <c r="W128" i="2"/>
  <c r="W135" i="2" s="1"/>
  <c r="V154" i="2"/>
  <c r="Z162" i="2" l="1"/>
  <c r="Z157" i="2"/>
  <c r="AB113" i="2"/>
  <c r="AB117" i="2" s="1"/>
  <c r="AA129" i="2"/>
  <c r="AA156" i="2" s="1"/>
  <c r="X128" i="2"/>
  <c r="W154" i="2"/>
  <c r="Y163" i="2"/>
  <c r="Y160" i="2"/>
  <c r="Z165" i="2"/>
  <c r="DL8" i="7" s="1"/>
  <c r="AA162" i="2" l="1"/>
  <c r="AA157" i="2"/>
  <c r="AC113" i="2"/>
  <c r="AC117" i="2" s="1"/>
  <c r="AB129" i="2"/>
  <c r="AB156" i="2" s="1"/>
  <c r="X133" i="2"/>
  <c r="X135" i="2" s="1"/>
  <c r="Z163" i="2"/>
  <c r="Z160" i="2"/>
  <c r="Y128" i="2" l="1"/>
  <c r="Y135" i="2" s="1"/>
  <c r="X154" i="2"/>
  <c r="AB162" i="2"/>
  <c r="AB157" i="2"/>
  <c r="AC129" i="2"/>
  <c r="AC156" i="2" s="1"/>
  <c r="AC165" i="2" s="1"/>
  <c r="DM8" i="7" s="1"/>
  <c r="AD113" i="2"/>
  <c r="AD117" i="2" s="1"/>
  <c r="AA163" i="2"/>
  <c r="AA160" i="2"/>
  <c r="AD129" i="2" l="1"/>
  <c r="AD156" i="2" s="1"/>
  <c r="AE113" i="2"/>
  <c r="AE117" i="2" s="1"/>
  <c r="AC162" i="2"/>
  <c r="AC157" i="2"/>
  <c r="AB160" i="2"/>
  <c r="AB163" i="2"/>
  <c r="Z128" i="2"/>
  <c r="Z135" i="2" s="1"/>
  <c r="Y154" i="2"/>
  <c r="AA128" i="2" l="1"/>
  <c r="Z154" i="2"/>
  <c r="AC160" i="2"/>
  <c r="AC163" i="2"/>
  <c r="AE129" i="2"/>
  <c r="AE156" i="2" s="1"/>
  <c r="AF113" i="2"/>
  <c r="AF117" i="2" s="1"/>
  <c r="AD162" i="2"/>
  <c r="AD157" i="2"/>
  <c r="AD160" i="2" l="1"/>
  <c r="AD163" i="2"/>
  <c r="AE162" i="2"/>
  <c r="AE157" i="2"/>
  <c r="AG113" i="2"/>
  <c r="AG117" i="2" s="1"/>
  <c r="AF129" i="2"/>
  <c r="AF156" i="2" s="1"/>
  <c r="E26" i="7"/>
  <c r="E27" i="7" s="1"/>
  <c r="AA133" i="2"/>
  <c r="AA135" i="2" s="1"/>
  <c r="AB128" i="2" l="1"/>
  <c r="AB135" i="2" s="1"/>
  <c r="AA154" i="2"/>
  <c r="AF162" i="2"/>
  <c r="AF157" i="2"/>
  <c r="AF166" i="2"/>
  <c r="AF165" i="2"/>
  <c r="DN8" i="7" s="1"/>
  <c r="AH113" i="2"/>
  <c r="AH117" i="2" s="1"/>
  <c r="AG129" i="2"/>
  <c r="AG156" i="2" s="1"/>
  <c r="AE160" i="2"/>
  <c r="AE163" i="2"/>
  <c r="AG162" i="2" l="1"/>
  <c r="AG157" i="2"/>
  <c r="AI113" i="2"/>
  <c r="AI117" i="2" s="1"/>
  <c r="AH129" i="2"/>
  <c r="AH156" i="2" s="1"/>
  <c r="AF163" i="2"/>
  <c r="AF160" i="2"/>
  <c r="AC128" i="2"/>
  <c r="AC135" i="2" s="1"/>
  <c r="AB154" i="2"/>
  <c r="AD128" i="2" l="1"/>
  <c r="AC154" i="2"/>
  <c r="AJ113" i="2"/>
  <c r="AJ117" i="2" s="1"/>
  <c r="AI129" i="2"/>
  <c r="AI156" i="2" s="1"/>
  <c r="AI165" i="2" s="1"/>
  <c r="DO8" i="7" s="1"/>
  <c r="AG163" i="2"/>
  <c r="AG160" i="2"/>
  <c r="AH162" i="2"/>
  <c r="AH157" i="2"/>
  <c r="AH163" i="2" l="1"/>
  <c r="AH160" i="2"/>
  <c r="AI162" i="2"/>
  <c r="AI157" i="2"/>
  <c r="AK113" i="2"/>
  <c r="AK117" i="2" s="1"/>
  <c r="AJ129" i="2"/>
  <c r="AJ156" i="2" s="1"/>
  <c r="AD133" i="2"/>
  <c r="AD135" i="2" s="1"/>
  <c r="AE128" i="2" l="1"/>
  <c r="AE135" i="2" s="1"/>
  <c r="AD154" i="2"/>
  <c r="AL113" i="2"/>
  <c r="AK129" i="2"/>
  <c r="AK156" i="2" s="1"/>
  <c r="AL129" i="2"/>
  <c r="AJ162" i="2"/>
  <c r="AJ157" i="2"/>
  <c r="AI163" i="2"/>
  <c r="AI160" i="2"/>
  <c r="AL165" i="2" l="1"/>
  <c r="DP8" i="7" s="1"/>
  <c r="AL166" i="2"/>
  <c r="AJ163" i="2"/>
  <c r="AJ160" i="2"/>
  <c r="AK162" i="2"/>
  <c r="AK157" i="2"/>
  <c r="G26" i="7"/>
  <c r="G27" i="7" s="1"/>
  <c r="AL115" i="2"/>
  <c r="AF128" i="2"/>
  <c r="AF135" i="2" s="1"/>
  <c r="AE154" i="2"/>
  <c r="AG128" i="2" l="1"/>
  <c r="AF154" i="2"/>
  <c r="AS87" i="2"/>
  <c r="AK163" i="2"/>
  <c r="E23" i="9" s="1"/>
  <c r="AK160" i="2"/>
  <c r="BJ29" i="2" l="1"/>
  <c r="DS15" i="7" s="1"/>
  <c r="AG133" i="2"/>
  <c r="AG135" i="2" s="1"/>
  <c r="AH128" i="2" l="1"/>
  <c r="AH135" i="2" s="1"/>
  <c r="AG154" i="2"/>
  <c r="AI128" i="2" l="1"/>
  <c r="AI135" i="2" s="1"/>
  <c r="AH154" i="2"/>
  <c r="AJ128" i="2" l="1"/>
  <c r="AI154" i="2"/>
  <c r="AJ133" i="2" l="1"/>
  <c r="AJ135" i="2" s="1"/>
  <c r="AK128" i="2" l="1"/>
  <c r="AK135" i="2" s="1"/>
  <c r="AJ154" i="2"/>
  <c r="AL128" i="2" l="1"/>
  <c r="AK154" i="2"/>
  <c r="CT14" i="7" l="1"/>
  <c r="CU14" i="7" s="1"/>
  <c r="CV14" i="7" s="1"/>
  <c r="CW14" i="7" s="1"/>
  <c r="CX14" i="7" s="1"/>
  <c r="CY14" i="7" s="1"/>
  <c r="CZ14" i="7" s="1"/>
  <c r="DA14" i="7" s="1"/>
  <c r="DB14" i="7" s="1"/>
  <c r="DC14" i="7" s="1"/>
  <c r="DD14" i="7" s="1"/>
  <c r="AL117" i="2"/>
  <c r="AM113" i="2" s="1"/>
  <c r="AM117" i="2" s="1"/>
  <c r="AN113" i="2" s="1"/>
  <c r="AL119" i="2"/>
  <c r="AL124" i="2"/>
  <c r="AL132" i="2" s="1"/>
  <c r="C21" i="9" s="1"/>
  <c r="AL143" i="2"/>
  <c r="AL137" i="2" l="1"/>
  <c r="AL135" i="2"/>
  <c r="AN115" i="2"/>
  <c r="AN117" i="2" s="1"/>
  <c r="AN129" i="2"/>
  <c r="AM129" i="2"/>
  <c r="AS89" i="2"/>
  <c r="AS90" i="2" s="1"/>
  <c r="AN119" i="2" l="1"/>
  <c r="AM132" i="2"/>
  <c r="AL139" i="2"/>
  <c r="AS91" i="2" l="1"/>
  <c r="AS92" i="2" s="1"/>
  <c r="AL144" i="2"/>
  <c r="E21" i="9"/>
  <c r="AL145" i="2"/>
  <c r="AM135" i="2"/>
  <c r="AN123" i="2"/>
  <c r="AN143" i="2" s="1"/>
  <c r="F143" i="2" s="1"/>
  <c r="E143" i="2" s="1"/>
  <c r="AN124" i="2"/>
  <c r="AN132" i="2" l="1"/>
  <c r="C30" i="8" l="1"/>
  <c r="C23" i="9"/>
  <c r="C27" i="9" s="1"/>
  <c r="C29" i="9" s="1"/>
  <c r="AN135" i="2"/>
  <c r="DV9" i="7"/>
  <c r="AN137" i="2"/>
  <c r="AN139" i="2" l="1"/>
  <c r="DW9" i="7"/>
  <c r="C32" i="8"/>
  <c r="C33" i="8" s="1"/>
  <c r="C38" i="8" s="1"/>
  <c r="E49" i="9" l="1"/>
  <c r="C47" i="9"/>
  <c r="E44" i="9"/>
  <c r="C39" i="8"/>
  <c r="C40" i="8" s="1"/>
  <c r="X23" i="8" a="1"/>
  <c r="X23" i="8" s="1"/>
  <c r="DV10" i="7"/>
  <c r="AN144" i="2"/>
  <c r="AN145" i="2"/>
  <c r="BJ34" i="2" s="1"/>
  <c r="E27" i="9" l="1"/>
  <c r="BN65" i="2"/>
  <c r="BO65" i="2" s="1"/>
  <c r="BK34" i="2"/>
  <c r="BN71" i="2"/>
  <c r="BO71" i="2" s="1"/>
  <c r="BJ36" i="2"/>
  <c r="BK36" i="2" s="1"/>
  <c r="BJ7" i="2"/>
  <c r="BK7" i="2" s="1"/>
  <c r="BJ25" i="2"/>
  <c r="BK25" i="2" s="1"/>
  <c r="BJ6" i="2"/>
  <c r="BJ24" i="2"/>
  <c r="F144" i="2"/>
  <c r="DW10" i="7"/>
  <c r="DW12" i="7" s="1"/>
  <c r="DV12" i="7"/>
  <c r="BJ28" i="2" l="1"/>
  <c r="DS14" i="7" s="1"/>
  <c r="E144" i="2"/>
  <c r="E24" i="9"/>
  <c r="BK24" i="2"/>
  <c r="BJ26" i="2"/>
  <c r="BK6" i="2"/>
  <c r="BJ8" i="2"/>
  <c r="BK26" i="2" l="1"/>
  <c r="BJ30" i="2"/>
  <c r="E26" i="9"/>
  <c r="E22" i="9" s="1"/>
  <c r="BK8" i="2"/>
  <c r="BJ11" i="2"/>
  <c r="E32" i="9" s="1"/>
  <c r="E31" i="9"/>
  <c r="E25" i="9" l="1"/>
  <c r="DS16" i="7"/>
  <c r="D8" i="3"/>
  <c r="T8" i="3"/>
  <c r="D9" i="3"/>
  <c r="T9" i="3"/>
  <c r="D10" i="3"/>
  <c r="T10" i="3"/>
  <c r="G19" i="3"/>
  <c r="H19" i="3"/>
  <c r="I19" i="3"/>
  <c r="J19" i="3"/>
  <c r="K19" i="3"/>
  <c r="L19" i="3"/>
  <c r="M19" i="3"/>
  <c r="N19" i="3"/>
  <c r="O19" i="3"/>
  <c r="P19" i="3"/>
  <c r="W19" i="3"/>
  <c r="X19" i="3"/>
  <c r="Y19" i="3"/>
  <c r="Z19" i="3"/>
  <c r="AA19" i="3"/>
  <c r="C22" i="3"/>
  <c r="D22" i="3"/>
  <c r="F22" i="3"/>
  <c r="G22" i="3"/>
  <c r="H22" i="3"/>
  <c r="I22" i="3"/>
  <c r="J22" i="3"/>
  <c r="K22" i="3"/>
  <c r="L22" i="3"/>
  <c r="M22" i="3"/>
  <c r="N22" i="3"/>
  <c r="O22" i="3"/>
  <c r="P22" i="3"/>
  <c r="S22" i="3"/>
  <c r="T22" i="3"/>
  <c r="V22" i="3"/>
  <c r="W22" i="3"/>
  <c r="X22" i="3"/>
  <c r="Y22" i="3"/>
  <c r="Z22" i="3"/>
  <c r="AA22" i="3"/>
  <c r="C23" i="3"/>
  <c r="D23" i="3"/>
  <c r="F23" i="3"/>
  <c r="G23" i="3"/>
  <c r="H23" i="3"/>
  <c r="I23" i="3"/>
  <c r="J23" i="3"/>
  <c r="K23" i="3"/>
  <c r="L23" i="3"/>
  <c r="M23" i="3"/>
  <c r="N23" i="3"/>
  <c r="O23" i="3"/>
  <c r="P23" i="3"/>
  <c r="S23" i="3"/>
  <c r="T23" i="3"/>
  <c r="V23" i="3"/>
  <c r="W23" i="3"/>
  <c r="X23" i="3"/>
  <c r="Y23" i="3"/>
  <c r="Z23" i="3"/>
  <c r="AA23" i="3"/>
  <c r="C24" i="3"/>
  <c r="D24" i="3"/>
  <c r="F24" i="3"/>
  <c r="G24" i="3"/>
  <c r="H24" i="3"/>
  <c r="I24" i="3"/>
  <c r="J24" i="3"/>
  <c r="K24" i="3"/>
  <c r="L24" i="3"/>
  <c r="M24" i="3"/>
  <c r="N24" i="3"/>
  <c r="O24" i="3"/>
  <c r="P24" i="3"/>
  <c r="S24" i="3"/>
  <c r="T24" i="3"/>
  <c r="V24" i="3"/>
  <c r="W24" i="3"/>
  <c r="X24" i="3"/>
  <c r="Y24" i="3"/>
  <c r="Z24" i="3"/>
  <c r="AA24" i="3"/>
  <c r="D25" i="3"/>
  <c r="F25" i="3"/>
  <c r="G25" i="3"/>
  <c r="H25" i="3"/>
  <c r="I25" i="3"/>
  <c r="J25" i="3"/>
  <c r="K25" i="3"/>
  <c r="L25" i="3"/>
  <c r="M25" i="3"/>
  <c r="N25" i="3"/>
  <c r="O25" i="3"/>
  <c r="P25" i="3"/>
  <c r="T25" i="3"/>
  <c r="V25" i="3"/>
  <c r="W25" i="3"/>
  <c r="X25" i="3"/>
  <c r="Y25" i="3"/>
  <c r="Z25" i="3"/>
  <c r="AA25" i="3"/>
  <c r="D26" i="3"/>
  <c r="F26" i="3"/>
  <c r="G26" i="3"/>
  <c r="H26" i="3"/>
  <c r="I26" i="3"/>
  <c r="J26" i="3"/>
  <c r="K26" i="3"/>
  <c r="L26" i="3"/>
  <c r="M26" i="3"/>
  <c r="N26" i="3"/>
  <c r="O26" i="3"/>
  <c r="P26" i="3"/>
  <c r="T26" i="3"/>
  <c r="V26" i="3"/>
  <c r="W26" i="3"/>
  <c r="X26" i="3"/>
  <c r="Y26" i="3"/>
  <c r="Z26" i="3"/>
  <c r="AA26" i="3"/>
  <c r="D27" i="3"/>
  <c r="T27" i="3"/>
  <c r="D28" i="3"/>
  <c r="F28" i="3"/>
  <c r="G28" i="3"/>
  <c r="H28" i="3"/>
  <c r="I28" i="3"/>
  <c r="J28" i="3"/>
  <c r="K28" i="3"/>
  <c r="L28" i="3"/>
  <c r="M28" i="3"/>
  <c r="N28" i="3"/>
  <c r="O28" i="3"/>
  <c r="P28" i="3"/>
  <c r="T28" i="3"/>
  <c r="V28" i="3"/>
  <c r="W28" i="3"/>
  <c r="X28" i="3"/>
  <c r="Y28" i="3"/>
  <c r="Z28" i="3"/>
  <c r="AA28" i="3"/>
  <c r="D29" i="3"/>
  <c r="T29" i="3"/>
  <c r="C32" i="3"/>
  <c r="D32" i="3"/>
  <c r="F32" i="3"/>
  <c r="G32" i="3"/>
  <c r="H32" i="3"/>
  <c r="I32" i="3"/>
  <c r="J32" i="3"/>
  <c r="K32" i="3"/>
  <c r="L32" i="3"/>
  <c r="M32" i="3"/>
  <c r="N32" i="3"/>
  <c r="O32" i="3"/>
  <c r="P32" i="3"/>
  <c r="S32" i="3"/>
  <c r="T32" i="3"/>
  <c r="V32" i="3"/>
  <c r="W32" i="3"/>
  <c r="X32" i="3"/>
  <c r="Y32" i="3"/>
  <c r="Z32" i="3"/>
  <c r="AA32" i="3"/>
  <c r="C33" i="3"/>
  <c r="D33" i="3"/>
  <c r="F33" i="3"/>
  <c r="G33" i="3"/>
  <c r="H33" i="3"/>
  <c r="I33" i="3"/>
  <c r="J33" i="3"/>
  <c r="K33" i="3"/>
  <c r="L33" i="3"/>
  <c r="M33" i="3"/>
  <c r="N33" i="3"/>
  <c r="O33" i="3"/>
  <c r="P33" i="3"/>
  <c r="S33" i="3"/>
  <c r="T33" i="3"/>
  <c r="V33" i="3"/>
  <c r="W33" i="3"/>
  <c r="X33" i="3"/>
  <c r="Y33" i="3"/>
  <c r="Z33" i="3"/>
  <c r="AA33" i="3"/>
  <c r="C34" i="3"/>
  <c r="D34" i="3"/>
  <c r="F34" i="3"/>
  <c r="G34" i="3"/>
  <c r="H34" i="3"/>
  <c r="I34" i="3"/>
  <c r="J34" i="3"/>
  <c r="K34" i="3"/>
  <c r="L34" i="3"/>
  <c r="M34" i="3"/>
  <c r="N34" i="3"/>
  <c r="O34" i="3"/>
  <c r="P34" i="3"/>
  <c r="S34" i="3"/>
  <c r="T34" i="3"/>
  <c r="V34" i="3"/>
  <c r="W34" i="3"/>
  <c r="X34" i="3"/>
  <c r="Y34" i="3"/>
  <c r="Z34" i="3"/>
  <c r="AA34" i="3"/>
  <c r="C35" i="3"/>
  <c r="D35" i="3"/>
  <c r="F35" i="3"/>
  <c r="G35" i="3"/>
  <c r="H35" i="3"/>
  <c r="I35" i="3"/>
  <c r="J35" i="3"/>
  <c r="K35" i="3"/>
  <c r="L35" i="3"/>
  <c r="M35" i="3"/>
  <c r="N35" i="3"/>
  <c r="O35" i="3"/>
  <c r="P35" i="3"/>
  <c r="S35" i="3"/>
  <c r="T35" i="3"/>
  <c r="V35" i="3"/>
  <c r="W35" i="3"/>
  <c r="X35" i="3"/>
  <c r="Y35" i="3"/>
  <c r="Z35" i="3"/>
  <c r="AA35" i="3"/>
  <c r="D36" i="3"/>
  <c r="F36" i="3"/>
  <c r="G36" i="3"/>
  <c r="H36" i="3"/>
  <c r="I36" i="3"/>
  <c r="J36" i="3"/>
  <c r="K36" i="3"/>
  <c r="L36" i="3"/>
  <c r="M36" i="3"/>
  <c r="N36" i="3"/>
  <c r="O36" i="3"/>
  <c r="P36" i="3"/>
  <c r="T36" i="3"/>
  <c r="V36" i="3"/>
  <c r="W36" i="3"/>
  <c r="X36" i="3"/>
  <c r="Y36" i="3"/>
  <c r="Z36" i="3"/>
  <c r="AA36" i="3"/>
  <c r="D37" i="3"/>
  <c r="G37" i="3"/>
  <c r="H37" i="3"/>
  <c r="I37" i="3"/>
  <c r="J37" i="3"/>
  <c r="K37" i="3"/>
  <c r="L37" i="3"/>
  <c r="M37" i="3"/>
  <c r="N37" i="3"/>
  <c r="O37" i="3"/>
  <c r="P37" i="3"/>
  <c r="T37" i="3"/>
  <c r="W37" i="3"/>
  <c r="X37" i="3"/>
  <c r="Y37" i="3"/>
  <c r="Z37" i="3"/>
  <c r="AA37" i="3"/>
  <c r="D38" i="3"/>
  <c r="F38" i="3"/>
  <c r="G38" i="3"/>
  <c r="H38" i="3"/>
  <c r="I38" i="3"/>
  <c r="J38" i="3"/>
  <c r="K38" i="3"/>
  <c r="L38" i="3"/>
  <c r="M38" i="3"/>
  <c r="N38" i="3"/>
  <c r="O38" i="3"/>
  <c r="P38" i="3"/>
  <c r="T38" i="3"/>
  <c r="V38" i="3"/>
  <c r="W38" i="3"/>
  <c r="X38" i="3"/>
  <c r="Y38" i="3"/>
  <c r="Z38" i="3"/>
  <c r="AA38" i="3"/>
  <c r="D39" i="3"/>
  <c r="T39" i="3"/>
  <c r="D40" i="3"/>
  <c r="F40" i="3"/>
  <c r="G40" i="3"/>
  <c r="H40" i="3"/>
  <c r="I40" i="3"/>
  <c r="J40" i="3"/>
  <c r="K40" i="3"/>
  <c r="L40" i="3"/>
  <c r="M40" i="3"/>
  <c r="N40" i="3"/>
  <c r="O40" i="3"/>
  <c r="P40" i="3"/>
  <c r="T40" i="3"/>
  <c r="V40" i="3"/>
  <c r="W40" i="3"/>
  <c r="X40" i="3"/>
  <c r="Y40" i="3"/>
  <c r="Z40" i="3"/>
  <c r="AA40" i="3"/>
  <c r="D41" i="3"/>
  <c r="T41" i="3"/>
  <c r="G43" i="3"/>
  <c r="H43" i="3"/>
  <c r="I43" i="3"/>
  <c r="J43" i="3"/>
  <c r="K43" i="3"/>
  <c r="L43" i="3"/>
  <c r="M43" i="3"/>
  <c r="N43" i="3"/>
  <c r="O43" i="3"/>
  <c r="P43" i="3"/>
  <c r="W43" i="3"/>
  <c r="X43" i="3"/>
  <c r="Y43" i="3"/>
  <c r="Z43" i="3"/>
  <c r="AA43" i="3"/>
  <c r="G44" i="3"/>
  <c r="H44" i="3"/>
  <c r="I44" i="3"/>
  <c r="J44" i="3"/>
  <c r="K44" i="3"/>
  <c r="L44" i="3"/>
  <c r="M44" i="3"/>
  <c r="N44" i="3"/>
  <c r="O44" i="3"/>
  <c r="P44" i="3"/>
  <c r="W44" i="3"/>
  <c r="X44" i="3"/>
  <c r="Y44" i="3"/>
  <c r="Z44" i="3"/>
  <c r="AA44" i="3"/>
  <c r="F45" i="3"/>
  <c r="G45" i="3"/>
  <c r="H45" i="3"/>
  <c r="I45" i="3"/>
  <c r="J45" i="3"/>
  <c r="K45" i="3"/>
  <c r="L45" i="3"/>
  <c r="M45" i="3"/>
  <c r="N45" i="3"/>
  <c r="O45" i="3"/>
  <c r="P45" i="3"/>
  <c r="V45" i="3"/>
  <c r="W45" i="3"/>
  <c r="X45" i="3"/>
  <c r="Y45" i="3"/>
  <c r="Z45" i="3"/>
  <c r="AA45" i="3"/>
  <c r="G46" i="3"/>
  <c r="H46" i="3"/>
  <c r="I46" i="3"/>
  <c r="J46" i="3"/>
  <c r="K46" i="3"/>
  <c r="L46" i="3"/>
  <c r="M46" i="3"/>
  <c r="N46" i="3"/>
  <c r="O46" i="3"/>
  <c r="P46" i="3"/>
  <c r="W46" i="3"/>
  <c r="X46" i="3"/>
  <c r="Y46" i="3"/>
  <c r="Z46" i="3"/>
  <c r="AA46" i="3"/>
  <c r="F49" i="3"/>
  <c r="G49" i="3"/>
  <c r="H49" i="3"/>
  <c r="I49" i="3"/>
  <c r="J49" i="3"/>
  <c r="K49" i="3"/>
  <c r="L49" i="3"/>
  <c r="M49" i="3"/>
  <c r="N49" i="3"/>
  <c r="O49" i="3"/>
  <c r="P49" i="3"/>
  <c r="V49" i="3"/>
  <c r="W49" i="3"/>
  <c r="X49" i="3"/>
  <c r="Y49" i="3"/>
  <c r="Z49" i="3"/>
  <c r="AA49" i="3"/>
  <c r="F50" i="3"/>
  <c r="V50" i="3"/>
  <c r="F51" i="3"/>
  <c r="V51" i="3"/>
  <c r="G63" i="3"/>
  <c r="H63" i="3"/>
  <c r="I63" i="3"/>
  <c r="J63" i="3"/>
  <c r="K63" i="3"/>
  <c r="L63" i="3"/>
  <c r="M63" i="3"/>
  <c r="N63" i="3"/>
  <c r="O63" i="3"/>
  <c r="P63" i="3"/>
  <c r="W63" i="3"/>
  <c r="X63" i="3"/>
  <c r="Y63" i="3"/>
  <c r="Z63" i="3"/>
  <c r="AA63" i="3"/>
  <c r="D65" i="3"/>
  <c r="F65" i="3"/>
  <c r="G65" i="3"/>
  <c r="H65" i="3"/>
  <c r="I65" i="3"/>
  <c r="J65" i="3"/>
  <c r="K65" i="3"/>
  <c r="L65" i="3"/>
  <c r="M65" i="3"/>
  <c r="N65" i="3"/>
  <c r="O65" i="3"/>
  <c r="P65" i="3"/>
  <c r="T65" i="3"/>
  <c r="V65" i="3"/>
  <c r="W65" i="3"/>
  <c r="X65" i="3"/>
  <c r="Y65" i="3"/>
  <c r="Z65" i="3"/>
  <c r="AA65" i="3"/>
  <c r="D66" i="3"/>
  <c r="F66" i="3"/>
  <c r="G66" i="3"/>
  <c r="H66" i="3"/>
  <c r="I66" i="3"/>
  <c r="J66" i="3"/>
  <c r="K66" i="3"/>
  <c r="L66" i="3"/>
  <c r="M66" i="3"/>
  <c r="N66" i="3"/>
  <c r="O66" i="3"/>
  <c r="P66" i="3"/>
  <c r="T66" i="3"/>
  <c r="V66" i="3"/>
  <c r="W66" i="3"/>
  <c r="X66" i="3"/>
  <c r="Y66" i="3"/>
  <c r="Z66" i="3"/>
  <c r="AA66" i="3"/>
  <c r="D67" i="3"/>
  <c r="T67" i="3"/>
  <c r="D68" i="3"/>
  <c r="F68" i="3"/>
  <c r="G68" i="3"/>
  <c r="H68" i="3"/>
  <c r="I68" i="3"/>
  <c r="J68" i="3"/>
  <c r="K68" i="3"/>
  <c r="L68" i="3"/>
  <c r="M68" i="3"/>
  <c r="N68" i="3"/>
  <c r="O68" i="3"/>
  <c r="P68" i="3"/>
  <c r="T68" i="3"/>
  <c r="V68" i="3"/>
  <c r="W68" i="3"/>
  <c r="X68" i="3"/>
  <c r="Y68" i="3"/>
  <c r="Z68" i="3"/>
  <c r="AA68" i="3"/>
  <c r="D69" i="3"/>
  <c r="T69" i="3"/>
  <c r="D72" i="3"/>
  <c r="F72" i="3"/>
  <c r="G72" i="3"/>
  <c r="H72" i="3"/>
  <c r="I72" i="3"/>
  <c r="J72" i="3"/>
  <c r="K72" i="3"/>
  <c r="L72" i="3"/>
  <c r="M72" i="3"/>
  <c r="N72" i="3"/>
  <c r="O72" i="3"/>
  <c r="P72" i="3"/>
  <c r="T72" i="3"/>
  <c r="V72" i="3"/>
  <c r="W72" i="3"/>
  <c r="X72" i="3"/>
  <c r="Y72" i="3"/>
  <c r="Z72" i="3"/>
  <c r="AA72" i="3"/>
  <c r="D73" i="3"/>
  <c r="G73" i="3"/>
  <c r="H73" i="3"/>
  <c r="I73" i="3"/>
  <c r="J73" i="3"/>
  <c r="K73" i="3"/>
  <c r="L73" i="3"/>
  <c r="M73" i="3"/>
  <c r="N73" i="3"/>
  <c r="O73" i="3"/>
  <c r="P73" i="3"/>
  <c r="T73" i="3"/>
  <c r="W73" i="3"/>
  <c r="X73" i="3"/>
  <c r="Y73" i="3"/>
  <c r="Z73" i="3"/>
  <c r="AA73" i="3"/>
  <c r="D74" i="3"/>
  <c r="F74" i="3"/>
  <c r="G74" i="3"/>
  <c r="H74" i="3"/>
  <c r="I74" i="3"/>
  <c r="J74" i="3"/>
  <c r="K74" i="3"/>
  <c r="L74" i="3"/>
  <c r="M74" i="3"/>
  <c r="N74" i="3"/>
  <c r="O74" i="3"/>
  <c r="P74" i="3"/>
  <c r="T74" i="3"/>
  <c r="V74" i="3"/>
  <c r="W74" i="3"/>
  <c r="X74" i="3"/>
  <c r="Y74" i="3"/>
  <c r="Z74" i="3"/>
  <c r="AA74" i="3"/>
  <c r="D75" i="3"/>
  <c r="T75" i="3"/>
  <c r="D76" i="3"/>
  <c r="F76" i="3"/>
  <c r="G76" i="3"/>
  <c r="H76" i="3"/>
  <c r="I76" i="3"/>
  <c r="J76" i="3"/>
  <c r="K76" i="3"/>
  <c r="L76" i="3"/>
  <c r="M76" i="3"/>
  <c r="N76" i="3"/>
  <c r="O76" i="3"/>
  <c r="P76" i="3"/>
  <c r="T76" i="3"/>
  <c r="V76" i="3"/>
  <c r="W76" i="3"/>
  <c r="X76" i="3"/>
  <c r="Y76" i="3"/>
  <c r="Z76" i="3"/>
  <c r="AA76" i="3"/>
  <c r="D77" i="3"/>
  <c r="T77" i="3"/>
  <c r="G79" i="3"/>
  <c r="H79" i="3"/>
  <c r="I79" i="3"/>
  <c r="J79" i="3"/>
  <c r="K79" i="3"/>
  <c r="L79" i="3"/>
  <c r="M79" i="3"/>
  <c r="N79" i="3"/>
  <c r="O79" i="3"/>
  <c r="P79" i="3"/>
  <c r="W79" i="3"/>
  <c r="X79" i="3"/>
  <c r="Y79" i="3"/>
  <c r="Z79" i="3"/>
  <c r="AA79" i="3"/>
  <c r="G80" i="3"/>
  <c r="H80" i="3"/>
  <c r="I80" i="3"/>
  <c r="J80" i="3"/>
  <c r="K80" i="3"/>
  <c r="L80" i="3"/>
  <c r="M80" i="3"/>
  <c r="N80" i="3"/>
  <c r="O80" i="3"/>
  <c r="P80" i="3"/>
  <c r="W80" i="3"/>
  <c r="X80" i="3"/>
  <c r="Y80" i="3"/>
  <c r="Z80" i="3"/>
  <c r="AA80" i="3"/>
  <c r="F81" i="3"/>
  <c r="G81" i="3"/>
  <c r="H81" i="3"/>
  <c r="I81" i="3"/>
  <c r="J81" i="3"/>
  <c r="K81" i="3"/>
  <c r="L81" i="3"/>
  <c r="M81" i="3"/>
  <c r="N81" i="3"/>
  <c r="O81" i="3"/>
  <c r="P81" i="3"/>
  <c r="V81" i="3"/>
  <c r="W81" i="3"/>
  <c r="X81" i="3"/>
  <c r="Y81" i="3"/>
  <c r="Z81" i="3"/>
  <c r="AA81" i="3"/>
  <c r="G82" i="3"/>
  <c r="H82" i="3"/>
  <c r="I82" i="3"/>
  <c r="J82" i="3"/>
  <c r="K82" i="3"/>
  <c r="L82" i="3"/>
  <c r="M82" i="3"/>
  <c r="N82" i="3"/>
  <c r="O82" i="3"/>
  <c r="P82" i="3"/>
  <c r="W82" i="3"/>
  <c r="X82" i="3"/>
  <c r="Y82" i="3"/>
  <c r="Z82" i="3"/>
  <c r="AA82" i="3"/>
  <c r="F84" i="3"/>
  <c r="G84" i="3"/>
  <c r="H84" i="3"/>
  <c r="I84" i="3"/>
  <c r="J84" i="3"/>
  <c r="K84" i="3"/>
  <c r="L84" i="3"/>
  <c r="M84" i="3"/>
  <c r="N84" i="3"/>
  <c r="O84" i="3"/>
  <c r="P84" i="3"/>
  <c r="V84" i="3"/>
  <c r="W84" i="3"/>
  <c r="X84" i="3"/>
  <c r="Y84" i="3"/>
  <c r="Z84" i="3"/>
  <c r="AA84" i="3"/>
  <c r="F85" i="3"/>
  <c r="V85" i="3"/>
  <c r="F86" i="3"/>
  <c r="V86" i="3"/>
  <c r="G89" i="3"/>
  <c r="H89" i="3"/>
  <c r="I89" i="3"/>
  <c r="J89" i="3"/>
  <c r="K89" i="3"/>
  <c r="L89" i="3"/>
  <c r="M89" i="3"/>
  <c r="N89" i="3"/>
  <c r="O89" i="3"/>
  <c r="P89" i="3"/>
  <c r="W89" i="3"/>
  <c r="X89" i="3"/>
  <c r="Y89" i="3"/>
  <c r="Z89" i="3"/>
  <c r="AA89" i="3"/>
  <c r="G90" i="3"/>
  <c r="H90" i="3"/>
  <c r="I90" i="3"/>
  <c r="J90" i="3"/>
  <c r="K90" i="3"/>
  <c r="L90" i="3"/>
  <c r="M90" i="3"/>
  <c r="N90" i="3"/>
  <c r="O90" i="3"/>
  <c r="P90" i="3"/>
  <c r="W90" i="3"/>
  <c r="X90" i="3"/>
  <c r="Y90" i="3"/>
  <c r="Z90" i="3"/>
  <c r="AA90" i="3"/>
  <c r="F91" i="3"/>
  <c r="G91" i="3"/>
  <c r="H91" i="3"/>
  <c r="I91" i="3"/>
  <c r="J91" i="3"/>
  <c r="K91" i="3"/>
  <c r="L91" i="3"/>
  <c r="M91" i="3"/>
  <c r="N91" i="3"/>
  <c r="O91" i="3"/>
  <c r="P91" i="3"/>
  <c r="V91" i="3"/>
  <c r="W91" i="3"/>
  <c r="X91" i="3"/>
  <c r="Y91" i="3"/>
  <c r="Z91" i="3"/>
  <c r="AA91" i="3"/>
  <c r="G92" i="3"/>
  <c r="H92" i="3"/>
  <c r="I92" i="3"/>
  <c r="J92" i="3"/>
  <c r="K92" i="3"/>
  <c r="L92" i="3"/>
  <c r="M92" i="3"/>
  <c r="N92" i="3"/>
  <c r="O92" i="3"/>
  <c r="P92" i="3"/>
  <c r="W92" i="3"/>
  <c r="X92" i="3"/>
  <c r="Y92" i="3"/>
  <c r="Z92" i="3"/>
  <c r="AA92" i="3"/>
  <c r="F93" i="3"/>
  <c r="G93" i="3"/>
  <c r="H93" i="3"/>
  <c r="I93" i="3"/>
  <c r="J93" i="3"/>
  <c r="K93" i="3"/>
  <c r="L93" i="3"/>
  <c r="M93" i="3"/>
  <c r="N93" i="3"/>
  <c r="O93" i="3"/>
  <c r="P93" i="3"/>
  <c r="V93" i="3"/>
  <c r="W93" i="3"/>
  <c r="X93" i="3"/>
  <c r="Y93" i="3"/>
  <c r="Z93" i="3"/>
  <c r="AA93" i="3"/>
  <c r="F94" i="3"/>
  <c r="G94" i="3"/>
  <c r="H94" i="3"/>
  <c r="I94" i="3"/>
  <c r="J94" i="3"/>
  <c r="K94" i="3"/>
  <c r="L94" i="3"/>
  <c r="M94" i="3"/>
  <c r="N94" i="3"/>
  <c r="O94" i="3"/>
  <c r="P94" i="3"/>
  <c r="V94" i="3"/>
  <c r="W94" i="3"/>
  <c r="X94" i="3"/>
  <c r="Y94" i="3"/>
  <c r="Z94" i="3"/>
  <c r="AA94" i="3"/>
  <c r="F95" i="3"/>
  <c r="G95" i="3"/>
  <c r="H95" i="3"/>
  <c r="I95" i="3"/>
  <c r="J95" i="3"/>
  <c r="K95" i="3"/>
  <c r="L95" i="3"/>
  <c r="M95" i="3"/>
  <c r="N95" i="3"/>
  <c r="O95" i="3"/>
  <c r="P95" i="3"/>
  <c r="V95" i="3"/>
  <c r="W95" i="3"/>
  <c r="X95" i="3"/>
  <c r="Y95" i="3"/>
  <c r="Z95" i="3"/>
  <c r="AA95" i="3"/>
  <c r="E96" i="3"/>
  <c r="F96" i="3"/>
  <c r="G96" i="3"/>
  <c r="H96" i="3"/>
  <c r="I96" i="3"/>
  <c r="J96" i="3"/>
  <c r="K96" i="3"/>
  <c r="L96" i="3"/>
  <c r="M96" i="3"/>
  <c r="N96" i="3"/>
  <c r="O96" i="3"/>
  <c r="P96" i="3"/>
  <c r="U96" i="3"/>
  <c r="V96" i="3"/>
  <c r="W96" i="3"/>
  <c r="X96" i="3"/>
  <c r="Y96" i="3"/>
  <c r="Z96" i="3"/>
  <c r="AA96" i="3"/>
  <c r="F97" i="3"/>
  <c r="G97" i="3"/>
  <c r="H97" i="3"/>
  <c r="I97" i="3"/>
  <c r="J97" i="3"/>
  <c r="K97" i="3"/>
  <c r="L97" i="3"/>
  <c r="M97" i="3"/>
  <c r="N97" i="3"/>
  <c r="O97" i="3"/>
  <c r="P97" i="3"/>
  <c r="V97" i="3"/>
  <c r="W97" i="3"/>
  <c r="X97" i="3"/>
  <c r="Y97" i="3"/>
  <c r="Z97" i="3"/>
  <c r="AA97" i="3"/>
  <c r="G99" i="3"/>
  <c r="H99" i="3"/>
  <c r="I99" i="3"/>
  <c r="J99" i="3"/>
  <c r="K99" i="3"/>
  <c r="L99" i="3"/>
  <c r="M99" i="3"/>
  <c r="N99" i="3"/>
  <c r="O99" i="3"/>
  <c r="P99" i="3"/>
  <c r="W99" i="3"/>
  <c r="X99" i="3"/>
  <c r="Y99" i="3"/>
  <c r="Z99" i="3"/>
  <c r="AA99" i="3"/>
  <c r="G100" i="3"/>
  <c r="H100" i="3"/>
  <c r="I100" i="3"/>
  <c r="J100" i="3"/>
  <c r="K100" i="3"/>
  <c r="L100" i="3"/>
  <c r="M100" i="3"/>
  <c r="N100" i="3"/>
  <c r="O100" i="3"/>
  <c r="P100" i="3"/>
  <c r="W100" i="3"/>
  <c r="X100" i="3"/>
  <c r="Y100" i="3"/>
  <c r="Z100" i="3"/>
  <c r="AA100" i="3"/>
  <c r="F101" i="3"/>
  <c r="G101" i="3"/>
  <c r="H101" i="3"/>
  <c r="I101" i="3"/>
  <c r="J101" i="3"/>
  <c r="K101" i="3"/>
  <c r="L101" i="3"/>
  <c r="M101" i="3"/>
  <c r="N101" i="3"/>
  <c r="O101" i="3"/>
  <c r="P101" i="3"/>
  <c r="V101" i="3"/>
  <c r="W101" i="3"/>
  <c r="X101" i="3"/>
  <c r="Y101" i="3"/>
  <c r="Z101" i="3"/>
  <c r="AA101" i="3"/>
  <c r="F102" i="3"/>
  <c r="G102" i="3"/>
  <c r="H102" i="3"/>
  <c r="I102" i="3"/>
  <c r="J102" i="3"/>
  <c r="K102" i="3"/>
  <c r="L102" i="3"/>
  <c r="M102" i="3"/>
  <c r="N102" i="3"/>
  <c r="O102" i="3"/>
  <c r="P102" i="3"/>
  <c r="V102" i="3"/>
  <c r="W102" i="3"/>
  <c r="X102" i="3"/>
  <c r="Y102" i="3"/>
  <c r="Z102" i="3"/>
  <c r="AA102" i="3"/>
  <c r="F103" i="3"/>
  <c r="G103" i="3"/>
  <c r="H103" i="3"/>
  <c r="I103" i="3"/>
  <c r="J103" i="3"/>
  <c r="K103" i="3"/>
  <c r="L103" i="3"/>
  <c r="M103" i="3"/>
  <c r="N103" i="3"/>
  <c r="O103" i="3"/>
  <c r="P103" i="3"/>
  <c r="V103" i="3"/>
  <c r="W103" i="3"/>
  <c r="X103" i="3"/>
  <c r="Y103" i="3"/>
  <c r="Z103" i="3"/>
  <c r="AA103" i="3"/>
  <c r="E104" i="3"/>
  <c r="F104" i="3"/>
  <c r="G104" i="3"/>
  <c r="H104" i="3"/>
  <c r="I104" i="3"/>
  <c r="J104" i="3"/>
  <c r="K104" i="3"/>
  <c r="L104" i="3"/>
  <c r="M104" i="3"/>
  <c r="N104" i="3"/>
  <c r="O104" i="3"/>
  <c r="P104" i="3"/>
  <c r="U104" i="3"/>
  <c r="V104" i="3"/>
  <c r="W104" i="3"/>
  <c r="X104" i="3"/>
  <c r="Y104" i="3"/>
  <c r="Z104" i="3"/>
  <c r="AA104" i="3"/>
  <c r="F106" i="3"/>
  <c r="G106" i="3"/>
  <c r="H106" i="3"/>
  <c r="I106" i="3"/>
  <c r="J106" i="3"/>
  <c r="K106" i="3"/>
  <c r="L106" i="3"/>
  <c r="M106" i="3"/>
  <c r="N106" i="3"/>
  <c r="O106" i="3"/>
  <c r="P106" i="3"/>
  <c r="V106" i="3"/>
  <c r="W106" i="3"/>
  <c r="X106" i="3"/>
  <c r="Y106" i="3"/>
  <c r="Z106" i="3"/>
  <c r="AA106" i="3"/>
  <c r="F107" i="3"/>
  <c r="G107" i="3"/>
  <c r="H107" i="3"/>
  <c r="I107" i="3"/>
  <c r="J107" i="3"/>
  <c r="K107" i="3"/>
  <c r="L107" i="3"/>
  <c r="M107" i="3"/>
  <c r="N107" i="3"/>
  <c r="O107" i="3"/>
  <c r="P107" i="3"/>
  <c r="V107" i="3"/>
  <c r="W107" i="3"/>
  <c r="X107" i="3"/>
  <c r="Y107" i="3"/>
  <c r="Z107" i="3"/>
  <c r="AA107" i="3"/>
  <c r="G109" i="3"/>
  <c r="H109" i="3"/>
  <c r="I109" i="3"/>
  <c r="J109" i="3"/>
  <c r="K109" i="3"/>
  <c r="L109" i="3"/>
  <c r="M109" i="3"/>
  <c r="N109" i="3"/>
  <c r="O109" i="3"/>
  <c r="P109" i="3"/>
  <c r="W109" i="3"/>
  <c r="X109" i="3"/>
  <c r="Y109" i="3"/>
  <c r="Z109" i="3"/>
  <c r="AA109" i="3"/>
  <c r="G111" i="3"/>
  <c r="H111" i="3"/>
  <c r="I111" i="3"/>
  <c r="J111" i="3"/>
  <c r="K111" i="3"/>
  <c r="L111" i="3"/>
  <c r="M111" i="3"/>
  <c r="N111" i="3"/>
  <c r="O111" i="3"/>
  <c r="P111" i="3"/>
  <c r="W111" i="3"/>
  <c r="X111" i="3"/>
  <c r="Y111" i="3"/>
  <c r="Z111" i="3"/>
  <c r="AA111" i="3"/>
  <c r="G112" i="3"/>
  <c r="H112" i="3"/>
  <c r="I112" i="3"/>
  <c r="J112" i="3"/>
  <c r="K112" i="3"/>
  <c r="L112" i="3"/>
  <c r="M112" i="3"/>
  <c r="N112" i="3"/>
  <c r="O112" i="3"/>
  <c r="P112" i="3"/>
  <c r="W112" i="3"/>
  <c r="X112" i="3"/>
  <c r="Y112" i="3"/>
  <c r="Z112" i="3"/>
  <c r="AA112" i="3"/>
  <c r="F113" i="3"/>
  <c r="G113" i="3"/>
  <c r="H113" i="3"/>
  <c r="I113" i="3"/>
  <c r="J113" i="3"/>
  <c r="K113" i="3"/>
  <c r="L113" i="3"/>
  <c r="M113" i="3"/>
  <c r="N113" i="3"/>
  <c r="O113" i="3"/>
  <c r="P113" i="3"/>
  <c r="V113" i="3"/>
  <c r="W113" i="3"/>
  <c r="X113" i="3"/>
  <c r="Y113" i="3"/>
  <c r="Z113" i="3"/>
  <c r="AA113" i="3"/>
  <c r="F114" i="3"/>
  <c r="G114" i="3"/>
  <c r="H114" i="3"/>
  <c r="I114" i="3"/>
  <c r="J114" i="3"/>
  <c r="K114" i="3"/>
  <c r="L114" i="3"/>
  <c r="M114" i="3"/>
  <c r="N114" i="3"/>
  <c r="O114" i="3"/>
  <c r="P114" i="3"/>
  <c r="V114" i="3"/>
  <c r="W114" i="3"/>
  <c r="X114" i="3"/>
  <c r="Y114" i="3"/>
  <c r="Z114" i="3"/>
  <c r="AA114" i="3"/>
  <c r="F115" i="3"/>
  <c r="G115" i="3"/>
  <c r="H115" i="3"/>
  <c r="I115" i="3"/>
  <c r="J115" i="3"/>
  <c r="K115" i="3"/>
  <c r="L115" i="3"/>
  <c r="M115" i="3"/>
  <c r="N115" i="3"/>
  <c r="O115" i="3"/>
  <c r="P115" i="3"/>
  <c r="V115" i="3"/>
  <c r="W115" i="3"/>
  <c r="X115" i="3"/>
  <c r="Y115" i="3"/>
  <c r="Z115" i="3"/>
  <c r="AA115" i="3"/>
  <c r="F116" i="3"/>
  <c r="G116" i="3"/>
  <c r="H116" i="3"/>
  <c r="I116" i="3"/>
  <c r="J116" i="3"/>
  <c r="K116" i="3"/>
  <c r="L116" i="3"/>
  <c r="M116" i="3"/>
  <c r="N116" i="3"/>
  <c r="O116" i="3"/>
  <c r="P116" i="3"/>
  <c r="V116" i="3"/>
  <c r="W116" i="3"/>
  <c r="X116" i="3"/>
  <c r="Y116" i="3"/>
  <c r="Z116" i="3"/>
  <c r="AA116" i="3"/>
  <c r="E117" i="3"/>
  <c r="F117" i="3"/>
  <c r="G117" i="3"/>
  <c r="H117" i="3"/>
  <c r="I117" i="3"/>
  <c r="J117" i="3"/>
  <c r="K117" i="3"/>
  <c r="L117" i="3"/>
  <c r="M117" i="3"/>
  <c r="N117" i="3"/>
  <c r="O117" i="3"/>
  <c r="P117" i="3"/>
  <c r="U117" i="3"/>
  <c r="V117" i="3"/>
  <c r="W117" i="3"/>
  <c r="X117" i="3"/>
  <c r="Y117" i="3"/>
  <c r="Z117" i="3"/>
  <c r="AA117" i="3"/>
  <c r="G118" i="3"/>
  <c r="H118" i="3"/>
  <c r="I118" i="3"/>
  <c r="J118" i="3"/>
  <c r="K118" i="3"/>
  <c r="L118" i="3"/>
  <c r="M118" i="3"/>
  <c r="N118" i="3"/>
  <c r="O118" i="3"/>
  <c r="P118" i="3"/>
  <c r="W118" i="3"/>
  <c r="X118" i="3"/>
  <c r="Y118" i="3"/>
  <c r="Z118" i="3"/>
  <c r="AA118" i="3"/>
  <c r="F119" i="3"/>
  <c r="G119" i="3"/>
  <c r="H119" i="3"/>
  <c r="I119" i="3"/>
  <c r="J119" i="3"/>
  <c r="K119" i="3"/>
  <c r="L119" i="3"/>
  <c r="M119" i="3"/>
  <c r="N119" i="3"/>
  <c r="O119" i="3"/>
  <c r="P119" i="3"/>
  <c r="V119" i="3"/>
  <c r="W119" i="3"/>
  <c r="X119" i="3"/>
  <c r="Y119" i="3"/>
  <c r="Z119" i="3"/>
  <c r="AA119" i="3"/>
  <c r="F120" i="3"/>
  <c r="G120" i="3"/>
  <c r="H120" i="3"/>
  <c r="I120" i="3"/>
  <c r="J120" i="3"/>
  <c r="K120" i="3"/>
  <c r="L120" i="3"/>
  <c r="M120" i="3"/>
  <c r="N120" i="3"/>
  <c r="O120" i="3"/>
  <c r="P120" i="3"/>
  <c r="V120" i="3"/>
  <c r="W120" i="3"/>
  <c r="X120" i="3"/>
  <c r="Y120" i="3"/>
  <c r="Z120" i="3"/>
  <c r="AA120" i="3"/>
  <c r="F121" i="3"/>
  <c r="G121" i="3"/>
  <c r="H121" i="3"/>
  <c r="I121" i="3"/>
  <c r="J121" i="3"/>
  <c r="K121" i="3"/>
  <c r="L121" i="3"/>
  <c r="M121" i="3"/>
  <c r="N121" i="3"/>
  <c r="O121" i="3"/>
  <c r="P121" i="3"/>
  <c r="V121" i="3"/>
  <c r="W121" i="3"/>
  <c r="X121" i="3"/>
  <c r="Y121" i="3"/>
  <c r="Z121" i="3"/>
  <c r="AA121" i="3"/>
  <c r="F122" i="3"/>
  <c r="G122" i="3"/>
  <c r="H122" i="3"/>
  <c r="I122" i="3"/>
  <c r="J122" i="3"/>
  <c r="K122" i="3"/>
  <c r="L122" i="3"/>
  <c r="M122" i="3"/>
  <c r="N122" i="3"/>
  <c r="O122" i="3"/>
  <c r="P122" i="3"/>
  <c r="V122" i="3"/>
  <c r="W122" i="3"/>
  <c r="X122" i="3"/>
  <c r="Y122" i="3"/>
  <c r="Z122" i="3"/>
  <c r="AA122" i="3"/>
  <c r="G124" i="3"/>
  <c r="H124" i="3"/>
  <c r="I124" i="3"/>
  <c r="J124" i="3"/>
  <c r="K124" i="3"/>
  <c r="L124" i="3"/>
  <c r="M124" i="3"/>
  <c r="N124" i="3"/>
  <c r="O124" i="3"/>
  <c r="P124" i="3"/>
  <c r="W124" i="3"/>
  <c r="X124" i="3"/>
  <c r="Y124" i="3"/>
  <c r="Z124" i="3"/>
  <c r="AA124" i="3"/>
  <c r="F126" i="3"/>
  <c r="G126" i="3"/>
  <c r="H126" i="3"/>
  <c r="I126" i="3"/>
  <c r="J126" i="3"/>
  <c r="K126" i="3"/>
  <c r="L126" i="3"/>
  <c r="M126" i="3"/>
  <c r="N126" i="3"/>
  <c r="O126" i="3"/>
  <c r="P126" i="3"/>
  <c r="V126" i="3"/>
  <c r="W126" i="3"/>
  <c r="X126" i="3"/>
  <c r="Y126" i="3"/>
  <c r="Z126" i="3"/>
  <c r="AA126" i="3"/>
  <c r="F127" i="3"/>
  <c r="G127" i="3"/>
  <c r="H127" i="3"/>
  <c r="I127" i="3"/>
  <c r="J127" i="3"/>
  <c r="K127" i="3"/>
  <c r="L127" i="3"/>
  <c r="M127" i="3"/>
  <c r="N127" i="3"/>
  <c r="O127" i="3"/>
  <c r="P127" i="3"/>
  <c r="V127" i="3"/>
  <c r="W127" i="3"/>
  <c r="X127" i="3"/>
  <c r="Y127" i="3"/>
  <c r="Z127" i="3"/>
  <c r="AA127" i="3"/>
  <c r="F128" i="3"/>
  <c r="G128" i="3"/>
  <c r="H128" i="3"/>
  <c r="I128" i="3"/>
  <c r="J128" i="3"/>
  <c r="K128" i="3"/>
  <c r="L128" i="3"/>
  <c r="M128" i="3"/>
  <c r="N128" i="3"/>
  <c r="O128" i="3"/>
  <c r="P128" i="3"/>
  <c r="V128" i="3"/>
  <c r="W128" i="3"/>
  <c r="X128" i="3"/>
  <c r="Y128" i="3"/>
  <c r="Z128" i="3"/>
  <c r="AA128" i="3"/>
  <c r="F129" i="3"/>
  <c r="G129" i="3"/>
  <c r="H129" i="3"/>
  <c r="I129" i="3"/>
  <c r="J129" i="3"/>
  <c r="K129" i="3"/>
  <c r="L129" i="3"/>
  <c r="M129" i="3"/>
  <c r="N129" i="3"/>
  <c r="O129" i="3"/>
  <c r="P129" i="3"/>
  <c r="V129" i="3"/>
  <c r="W129" i="3"/>
  <c r="X129" i="3"/>
  <c r="Y129" i="3"/>
  <c r="Z129" i="3"/>
  <c r="AA129" i="3"/>
  <c r="F130" i="3"/>
  <c r="G130" i="3"/>
  <c r="H130" i="3"/>
  <c r="I130" i="3"/>
  <c r="J130" i="3"/>
  <c r="K130" i="3"/>
  <c r="L130" i="3"/>
  <c r="M130" i="3"/>
  <c r="N130" i="3"/>
  <c r="O130" i="3"/>
  <c r="P130" i="3"/>
  <c r="V130" i="3"/>
  <c r="W130" i="3"/>
  <c r="X130" i="3"/>
  <c r="Y130" i="3"/>
  <c r="Z130" i="3"/>
  <c r="AA130" i="3"/>
  <c r="F131" i="3"/>
  <c r="G131" i="3"/>
  <c r="H131" i="3"/>
  <c r="I131" i="3"/>
  <c r="J131" i="3"/>
  <c r="K131" i="3"/>
  <c r="L131" i="3"/>
  <c r="M131" i="3"/>
  <c r="N131" i="3"/>
  <c r="O131" i="3"/>
  <c r="P131" i="3"/>
  <c r="V131" i="3"/>
  <c r="W131" i="3"/>
  <c r="X131" i="3"/>
  <c r="Y131" i="3"/>
  <c r="Z131" i="3"/>
  <c r="AA131" i="3"/>
  <c r="E132" i="3"/>
  <c r="F132" i="3"/>
  <c r="G132" i="3"/>
  <c r="H132" i="3"/>
  <c r="I132" i="3"/>
  <c r="J132" i="3"/>
  <c r="K132" i="3"/>
  <c r="L132" i="3"/>
  <c r="M132" i="3"/>
  <c r="N132" i="3"/>
  <c r="O132" i="3"/>
  <c r="P132" i="3"/>
  <c r="U132" i="3"/>
  <c r="V132" i="3"/>
  <c r="W132" i="3"/>
  <c r="X132" i="3"/>
  <c r="Y132" i="3"/>
  <c r="Z132" i="3"/>
  <c r="AA132" i="3"/>
  <c r="F133" i="3"/>
  <c r="G133" i="3"/>
  <c r="H133" i="3"/>
  <c r="I133" i="3"/>
  <c r="J133" i="3"/>
  <c r="K133" i="3"/>
  <c r="L133" i="3"/>
  <c r="M133" i="3"/>
  <c r="N133" i="3"/>
  <c r="O133" i="3"/>
  <c r="P133" i="3"/>
  <c r="V133" i="3"/>
  <c r="W133" i="3"/>
  <c r="X133" i="3"/>
  <c r="Y133" i="3"/>
  <c r="Z133" i="3"/>
  <c r="AA133" i="3"/>
  <c r="F134" i="3"/>
  <c r="G134" i="3"/>
  <c r="H134" i="3"/>
  <c r="I134" i="3"/>
  <c r="J134" i="3"/>
  <c r="K134" i="3"/>
  <c r="L134" i="3"/>
  <c r="M134" i="3"/>
  <c r="N134" i="3"/>
  <c r="O134" i="3"/>
  <c r="P134" i="3"/>
  <c r="V134" i="3"/>
  <c r="W134" i="3"/>
  <c r="X134" i="3"/>
  <c r="Y134" i="3"/>
  <c r="Z134" i="3"/>
  <c r="AA134" i="3"/>
  <c r="F135" i="3"/>
  <c r="G135" i="3"/>
  <c r="H135" i="3"/>
  <c r="I135" i="3"/>
  <c r="J135" i="3"/>
  <c r="K135" i="3"/>
  <c r="L135" i="3"/>
  <c r="M135" i="3"/>
  <c r="N135" i="3"/>
  <c r="O135" i="3"/>
  <c r="P135" i="3"/>
  <c r="V135" i="3"/>
  <c r="W135" i="3"/>
  <c r="X135" i="3"/>
  <c r="Y135" i="3"/>
  <c r="Z135" i="3"/>
  <c r="AA135" i="3"/>
  <c r="F136" i="3"/>
  <c r="G136" i="3"/>
  <c r="H136" i="3"/>
  <c r="I136" i="3"/>
  <c r="J136" i="3"/>
  <c r="K136" i="3"/>
  <c r="L136" i="3"/>
  <c r="M136" i="3"/>
  <c r="N136" i="3"/>
  <c r="O136" i="3"/>
  <c r="P136" i="3"/>
  <c r="V136" i="3"/>
  <c r="W136" i="3"/>
  <c r="X136" i="3"/>
  <c r="Y136" i="3"/>
  <c r="Z136" i="3"/>
  <c r="AA136" i="3"/>
  <c r="F137" i="3"/>
  <c r="G137" i="3"/>
  <c r="H137" i="3"/>
  <c r="I137" i="3"/>
  <c r="J137" i="3"/>
  <c r="K137" i="3"/>
  <c r="L137" i="3"/>
  <c r="M137" i="3"/>
  <c r="N137" i="3"/>
  <c r="O137" i="3"/>
  <c r="P137" i="3"/>
  <c r="V137" i="3"/>
  <c r="W137" i="3"/>
  <c r="X137" i="3"/>
  <c r="Y137" i="3"/>
  <c r="Z137" i="3"/>
  <c r="AA137" i="3"/>
  <c r="G139" i="3"/>
  <c r="H139" i="3"/>
  <c r="I139" i="3"/>
  <c r="J139" i="3"/>
  <c r="K139" i="3"/>
  <c r="L139" i="3"/>
  <c r="M139" i="3"/>
  <c r="N139" i="3"/>
  <c r="O139" i="3"/>
  <c r="P139" i="3"/>
  <c r="W139" i="3"/>
  <c r="X139" i="3"/>
  <c r="Y139" i="3"/>
  <c r="Z139" i="3"/>
  <c r="AA139" i="3"/>
  <c r="F141" i="3"/>
  <c r="G141" i="3"/>
  <c r="H141" i="3"/>
  <c r="I141" i="3"/>
  <c r="J141" i="3"/>
  <c r="K141" i="3"/>
  <c r="L141" i="3"/>
  <c r="M141" i="3"/>
  <c r="N141" i="3"/>
  <c r="O141" i="3"/>
  <c r="P141" i="3"/>
  <c r="V141" i="3"/>
  <c r="W141" i="3"/>
  <c r="X141" i="3"/>
  <c r="Y141" i="3"/>
  <c r="Z141" i="3"/>
  <c r="AA141" i="3"/>
  <c r="F142" i="3"/>
  <c r="G142" i="3"/>
  <c r="H142" i="3"/>
  <c r="I142" i="3"/>
  <c r="J142" i="3"/>
  <c r="K142" i="3"/>
  <c r="L142" i="3"/>
  <c r="M142" i="3"/>
  <c r="N142" i="3"/>
  <c r="O142" i="3"/>
  <c r="P142" i="3"/>
  <c r="V142" i="3"/>
  <c r="W142" i="3"/>
  <c r="X142" i="3"/>
  <c r="Y142" i="3"/>
  <c r="Z142" i="3"/>
  <c r="AA142" i="3"/>
  <c r="F143" i="3"/>
  <c r="G143" i="3"/>
  <c r="H143" i="3"/>
  <c r="I143" i="3"/>
  <c r="J143" i="3"/>
  <c r="K143" i="3"/>
  <c r="L143" i="3"/>
  <c r="M143" i="3"/>
  <c r="N143" i="3"/>
  <c r="O143" i="3"/>
  <c r="P143" i="3"/>
  <c r="V143" i="3"/>
  <c r="W143" i="3"/>
  <c r="X143" i="3"/>
  <c r="Y143" i="3"/>
  <c r="Z143" i="3"/>
  <c r="AA143" i="3"/>
  <c r="F144" i="3"/>
  <c r="G144" i="3"/>
  <c r="H144" i="3"/>
  <c r="I144" i="3"/>
  <c r="J144" i="3"/>
  <c r="K144" i="3"/>
  <c r="L144" i="3"/>
  <c r="M144" i="3"/>
  <c r="N144" i="3"/>
  <c r="O144" i="3"/>
  <c r="P144" i="3"/>
  <c r="V144" i="3"/>
  <c r="W144" i="3"/>
  <c r="X144" i="3"/>
  <c r="Y144" i="3"/>
  <c r="Z144" i="3"/>
  <c r="AA144" i="3"/>
  <c r="BN6" i="2"/>
  <c r="BO6" i="2"/>
  <c r="BN7" i="2"/>
  <c r="BO7" i="2"/>
  <c r="AS8" i="2"/>
  <c r="BN8" i="2"/>
  <c r="BO8" i="2"/>
  <c r="AS9" i="2"/>
  <c r="BN10" i="2"/>
  <c r="BN11" i="2"/>
  <c r="BR11" i="2"/>
  <c r="BN12" i="2"/>
  <c r="BS13" i="2"/>
  <c r="BT13" i="2"/>
  <c r="BU13" i="2"/>
  <c r="BV13" i="2"/>
  <c r="BW13" i="2"/>
  <c r="BR15" i="2"/>
  <c r="BS15" i="2"/>
  <c r="BT15" i="2"/>
  <c r="BU15" i="2"/>
  <c r="BV15" i="2"/>
  <c r="BW15" i="2"/>
  <c r="BN16" i="2"/>
  <c r="BO16" i="2"/>
  <c r="AV17" i="2"/>
  <c r="BN17" i="2"/>
  <c r="BO17" i="2"/>
  <c r="BR17" i="2"/>
  <c r="BN18" i="2"/>
  <c r="BO18" i="2"/>
  <c r="BN19" i="2"/>
  <c r="BO19" i="2"/>
  <c r="BR19" i="2"/>
  <c r="BR20" i="2"/>
  <c r="BN21" i="2"/>
  <c r="BN22" i="2"/>
  <c r="BN26" i="2"/>
  <c r="BO26" i="2"/>
  <c r="BN27" i="2"/>
  <c r="BO27" i="2"/>
  <c r="BN28" i="2"/>
  <c r="BO28" i="2"/>
  <c r="BN30" i="2"/>
  <c r="BN31" i="2"/>
  <c r="AW32" i="2"/>
  <c r="AY32" i="2"/>
  <c r="AZ32" i="2"/>
  <c r="BA32" i="2"/>
  <c r="BB32" i="2"/>
  <c r="BC32" i="2"/>
  <c r="BD32" i="2"/>
  <c r="BE32" i="2"/>
  <c r="BF32" i="2"/>
  <c r="BG32" i="2"/>
  <c r="AW33" i="2"/>
  <c r="AY33" i="2"/>
  <c r="AZ33" i="2"/>
  <c r="BA33" i="2"/>
  <c r="BB33" i="2"/>
  <c r="BC33" i="2"/>
  <c r="BD33" i="2"/>
  <c r="BE33" i="2"/>
  <c r="BF33" i="2"/>
  <c r="BG33" i="2"/>
  <c r="AW35" i="2"/>
  <c r="AY35" i="2"/>
  <c r="AZ35" i="2"/>
  <c r="BA35" i="2"/>
  <c r="BB35" i="2"/>
  <c r="BC35" i="2"/>
  <c r="BD35" i="2"/>
  <c r="BE35" i="2"/>
  <c r="BF35" i="2"/>
  <c r="BG35" i="2"/>
  <c r="BN35" i="2"/>
  <c r="BO35" i="2"/>
  <c r="AW36" i="2"/>
  <c r="AY36" i="2"/>
  <c r="AZ36" i="2"/>
  <c r="BA36" i="2"/>
  <c r="BB36" i="2"/>
  <c r="BC36" i="2"/>
  <c r="BD36" i="2"/>
  <c r="BE36" i="2"/>
  <c r="BF36" i="2"/>
  <c r="BG36" i="2"/>
  <c r="BN36" i="2"/>
  <c r="BO36" i="2"/>
  <c r="AW37" i="2"/>
  <c r="AY37" i="2"/>
  <c r="AZ37" i="2"/>
  <c r="BA37" i="2"/>
  <c r="BB37" i="2"/>
  <c r="BC37" i="2"/>
  <c r="BD37" i="2"/>
  <c r="BE37" i="2"/>
  <c r="BF37" i="2"/>
  <c r="BG37" i="2"/>
  <c r="BN37" i="2"/>
  <c r="BO37" i="2"/>
  <c r="AW39" i="2"/>
  <c r="AY39" i="2"/>
  <c r="AZ39" i="2"/>
  <c r="BA39" i="2"/>
  <c r="BB39" i="2"/>
  <c r="BC39" i="2"/>
  <c r="BD39" i="2"/>
  <c r="BE39" i="2"/>
  <c r="BF39" i="2"/>
  <c r="BG39" i="2"/>
  <c r="BN39" i="2"/>
  <c r="AW40" i="2"/>
  <c r="AY40" i="2"/>
  <c r="AZ40" i="2"/>
  <c r="BA40" i="2"/>
  <c r="BB40" i="2"/>
  <c r="BC40" i="2"/>
  <c r="BD40" i="2"/>
  <c r="BE40" i="2"/>
  <c r="BF40" i="2"/>
  <c r="BG40" i="2"/>
  <c r="BN40" i="2"/>
  <c r="BN41" i="2"/>
  <c r="AS42" i="2"/>
  <c r="AW42" i="2"/>
  <c r="AY42" i="2"/>
  <c r="AZ42" i="2"/>
  <c r="BA42" i="2"/>
  <c r="BB42" i="2"/>
  <c r="BC42" i="2"/>
  <c r="BD42" i="2"/>
  <c r="BE42" i="2"/>
  <c r="BF42" i="2"/>
  <c r="BG42" i="2"/>
  <c r="AS43" i="2"/>
  <c r="AW43" i="2"/>
  <c r="AY43" i="2"/>
  <c r="AZ43" i="2"/>
  <c r="BA43" i="2"/>
  <c r="BB43" i="2"/>
  <c r="BC43" i="2"/>
  <c r="BD43" i="2"/>
  <c r="BE43" i="2"/>
  <c r="BF43" i="2"/>
  <c r="BG43" i="2"/>
  <c r="AV44" i="2"/>
  <c r="AW44" i="2"/>
  <c r="AY44" i="2"/>
  <c r="AZ44" i="2"/>
  <c r="BA44" i="2"/>
  <c r="BB44" i="2"/>
  <c r="BC44" i="2"/>
  <c r="BD44" i="2"/>
  <c r="BE44" i="2"/>
  <c r="BF44" i="2"/>
  <c r="BG44" i="2"/>
  <c r="BN45" i="2"/>
  <c r="BO45" i="2"/>
  <c r="AS46" i="2"/>
  <c r="AW46" i="2"/>
  <c r="AY46" i="2"/>
  <c r="AZ46" i="2"/>
  <c r="BA46" i="2"/>
  <c r="BB46" i="2"/>
  <c r="BC46" i="2"/>
  <c r="BD46" i="2"/>
  <c r="BE46" i="2"/>
  <c r="BF46" i="2"/>
  <c r="BG46" i="2"/>
  <c r="BN46" i="2"/>
  <c r="BO46" i="2"/>
  <c r="AW47" i="2"/>
  <c r="AY47" i="2"/>
  <c r="AZ47" i="2"/>
  <c r="BA47" i="2"/>
  <c r="BB47" i="2"/>
  <c r="BC47" i="2"/>
  <c r="BD47" i="2"/>
  <c r="BE47" i="2"/>
  <c r="BF47" i="2"/>
  <c r="BG47" i="2"/>
  <c r="BN47" i="2"/>
  <c r="BO47" i="2"/>
  <c r="BN48" i="2"/>
  <c r="BO48" i="2"/>
  <c r="AW49" i="2"/>
  <c r="AY49" i="2"/>
  <c r="AZ49" i="2"/>
  <c r="BA49" i="2"/>
  <c r="BB49" i="2"/>
  <c r="BC49" i="2"/>
  <c r="BD49" i="2"/>
  <c r="BE49" i="2"/>
  <c r="BF49" i="2"/>
  <c r="BG49" i="2"/>
  <c r="AS50" i="2"/>
  <c r="AW50" i="2"/>
  <c r="AY50" i="2"/>
  <c r="AZ50" i="2"/>
  <c r="BA50" i="2"/>
  <c r="BB50" i="2"/>
  <c r="BC50" i="2"/>
  <c r="BD50" i="2"/>
  <c r="BE50" i="2"/>
  <c r="BF50" i="2"/>
  <c r="BG50" i="2"/>
  <c r="BN50" i="2"/>
  <c r="AS51" i="2"/>
  <c r="BN51" i="2"/>
  <c r="AS52" i="2"/>
  <c r="AW53" i="2"/>
  <c r="AY53" i="2"/>
  <c r="AZ53" i="2"/>
  <c r="BA53" i="2"/>
  <c r="BB53" i="2"/>
  <c r="BC53" i="2"/>
  <c r="BD53" i="2"/>
  <c r="BE53" i="2"/>
  <c r="BF53" i="2"/>
  <c r="BG53" i="2"/>
  <c r="AV54" i="2"/>
  <c r="AW54" i="2"/>
  <c r="AY54" i="2"/>
  <c r="AZ54" i="2"/>
  <c r="BA54" i="2"/>
  <c r="BB54" i="2"/>
  <c r="BC54" i="2"/>
  <c r="BD54" i="2"/>
  <c r="BE54" i="2"/>
  <c r="BF54" i="2"/>
  <c r="BG54" i="2"/>
  <c r="AW55" i="2"/>
  <c r="AY55" i="2"/>
  <c r="AZ55" i="2"/>
  <c r="BA55" i="2"/>
  <c r="BB55" i="2"/>
  <c r="BC55" i="2"/>
  <c r="BD55" i="2"/>
  <c r="BE55" i="2"/>
  <c r="BF55" i="2"/>
  <c r="BG55" i="2"/>
  <c r="BN55" i="2"/>
  <c r="BO55" i="2"/>
  <c r="AY56" i="2"/>
  <c r="AZ56" i="2"/>
  <c r="BA56" i="2"/>
  <c r="BB56" i="2"/>
  <c r="BC56" i="2"/>
  <c r="BD56" i="2"/>
  <c r="BE56" i="2"/>
  <c r="BF56" i="2"/>
  <c r="BG56" i="2"/>
  <c r="BN56" i="2"/>
  <c r="BO56" i="2"/>
  <c r="AS57" i="2"/>
  <c r="AZ57" i="2"/>
  <c r="BA57" i="2"/>
  <c r="BB57" i="2"/>
  <c r="BC57" i="2"/>
  <c r="BD57" i="2"/>
  <c r="BE57" i="2"/>
  <c r="BF57" i="2"/>
  <c r="BG57" i="2"/>
  <c r="BN57" i="2"/>
  <c r="BO57" i="2"/>
  <c r="AS58" i="2"/>
  <c r="BA58" i="2"/>
  <c r="BB58" i="2"/>
  <c r="BC58" i="2"/>
  <c r="BD58" i="2"/>
  <c r="BE58" i="2"/>
  <c r="BF58" i="2"/>
  <c r="BG58" i="2"/>
  <c r="BB59" i="2"/>
  <c r="BC59" i="2"/>
  <c r="BD59" i="2"/>
  <c r="BE59" i="2"/>
  <c r="BF59" i="2"/>
  <c r="BG59" i="2"/>
  <c r="BN59" i="2"/>
  <c r="BC60" i="2"/>
  <c r="BD60" i="2"/>
  <c r="BE60" i="2"/>
  <c r="BF60" i="2"/>
  <c r="BG60" i="2"/>
  <c r="BN60" i="2"/>
  <c r="BD61" i="2"/>
  <c r="BE61" i="2"/>
  <c r="BF61" i="2"/>
  <c r="BG61" i="2"/>
  <c r="BE62" i="2"/>
  <c r="BF62" i="2"/>
  <c r="BG62" i="2"/>
  <c r="BF63" i="2"/>
  <c r="BG63" i="2"/>
  <c r="BG64" i="2"/>
  <c r="BN64" i="2"/>
  <c r="BO64" i="2"/>
  <c r="AW66" i="2"/>
  <c r="AY66" i="2"/>
  <c r="AZ66" i="2"/>
  <c r="BA66" i="2"/>
  <c r="BB66" i="2"/>
  <c r="BC66" i="2"/>
  <c r="BD66" i="2"/>
  <c r="BE66" i="2"/>
  <c r="BF66" i="2"/>
  <c r="BG66" i="2"/>
  <c r="BN66" i="2"/>
  <c r="BO66" i="2"/>
  <c r="AV67" i="2"/>
  <c r="AW67" i="2"/>
  <c r="AY67" i="2"/>
  <c r="AZ67" i="2"/>
  <c r="BA67" i="2"/>
  <c r="BB67" i="2"/>
  <c r="BC67" i="2"/>
  <c r="BD67" i="2"/>
  <c r="BE67" i="2"/>
  <c r="BF67" i="2"/>
  <c r="BG67" i="2"/>
  <c r="AS70" i="2"/>
  <c r="BN70" i="2"/>
  <c r="BO70" i="2"/>
  <c r="AS71" i="2"/>
  <c r="BN72" i="2"/>
  <c r="BO72" i="2"/>
  <c r="AW79" i="2"/>
  <c r="AY79" i="2"/>
  <c r="AZ79" i="2"/>
  <c r="BA79" i="2"/>
  <c r="BB79" i="2"/>
  <c r="BC79" i="2"/>
  <c r="BD79" i="2"/>
  <c r="BE79" i="2"/>
  <c r="BF79" i="2"/>
  <c r="BG79" i="2"/>
  <c r="AV80" i="2"/>
  <c r="AW80" i="2"/>
  <c r="AY80" i="2"/>
  <c r="AZ80" i="2"/>
  <c r="BA80" i="2"/>
  <c r="BB80" i="2"/>
  <c r="BC80" i="2"/>
  <c r="BD80" i="2"/>
  <c r="BE80" i="2"/>
  <c r="BF80" i="2"/>
  <c r="BG80" i="2"/>
  <c r="AW81" i="2"/>
  <c r="AY81" i="2"/>
  <c r="AZ81" i="2"/>
  <c r="BA81" i="2"/>
  <c r="BB81" i="2"/>
  <c r="BC81" i="2"/>
  <c r="BD81" i="2"/>
  <c r="BE81" i="2"/>
  <c r="BF81" i="2"/>
  <c r="BG81" i="2"/>
  <c r="AY82" i="2"/>
  <c r="AZ82" i="2"/>
  <c r="BA82" i="2"/>
  <c r="BB82" i="2"/>
  <c r="BC82" i="2"/>
  <c r="BD82" i="2"/>
  <c r="BE82" i="2"/>
  <c r="BF82" i="2"/>
  <c r="BG82" i="2"/>
  <c r="AZ83" i="2"/>
  <c r="BA83" i="2"/>
  <c r="BB83" i="2"/>
  <c r="BC83" i="2"/>
  <c r="BD83" i="2"/>
  <c r="BE83" i="2"/>
  <c r="BF83" i="2"/>
  <c r="BG83" i="2"/>
  <c r="BA84" i="2"/>
  <c r="BB84" i="2"/>
  <c r="BC84" i="2"/>
  <c r="BD84" i="2"/>
  <c r="BE84" i="2"/>
  <c r="BF84" i="2"/>
  <c r="BG84" i="2"/>
  <c r="BB85" i="2"/>
  <c r="BC85" i="2"/>
  <c r="BD85" i="2"/>
  <c r="BE85" i="2"/>
  <c r="BF85" i="2"/>
  <c r="BG85" i="2"/>
  <c r="BC86" i="2"/>
  <c r="BD86" i="2"/>
  <c r="BE86" i="2"/>
  <c r="BF86" i="2"/>
  <c r="BG86" i="2"/>
  <c r="BD87" i="2"/>
  <c r="BE87" i="2"/>
  <c r="BF87" i="2"/>
  <c r="BG87" i="2"/>
  <c r="BE88" i="2"/>
  <c r="BF88" i="2"/>
  <c r="BG88" i="2"/>
  <c r="BF89" i="2"/>
  <c r="BG89" i="2"/>
  <c r="BG90" i="2"/>
  <c r="AV98" i="2"/>
  <c r="AW98" i="2"/>
  <c r="AY98" i="2"/>
  <c r="AZ98" i="2"/>
  <c r="BA98" i="2"/>
  <c r="BB98" i="2"/>
  <c r="BC98" i="2"/>
  <c r="BD98" i="2"/>
  <c r="BE98" i="2"/>
  <c r="BF98" i="2"/>
  <c r="BG98" i="2"/>
  <c r="AW99" i="2"/>
  <c r="AY99" i="2"/>
  <c r="AZ99" i="2"/>
  <c r="BA99" i="2"/>
  <c r="BB99" i="2"/>
  <c r="BC99" i="2"/>
  <c r="BD99" i="2"/>
  <c r="BE99" i="2"/>
  <c r="BF99" i="2"/>
  <c r="BG99" i="2"/>
  <c r="AV100" i="2"/>
  <c r="AW100" i="2"/>
  <c r="AY100" i="2"/>
  <c r="AZ100" i="2"/>
  <c r="BA100" i="2"/>
  <c r="BB100" i="2"/>
  <c r="BC100" i="2"/>
  <c r="BD100" i="2"/>
  <c r="BE100" i="2"/>
  <c r="BF100" i="2"/>
  <c r="BG100" i="2"/>
  <c r="BG102" i="2"/>
  <c r="BG103" i="2"/>
  <c r="AV111" i="2"/>
  <c r="AW111" i="2"/>
  <c r="AY111" i="2"/>
  <c r="AZ111" i="2"/>
  <c r="BA111" i="2"/>
  <c r="BB111" i="2"/>
  <c r="AW112" i="2"/>
  <c r="AY112" i="2"/>
  <c r="AZ112" i="2"/>
  <c r="BA112" i="2"/>
  <c r="BB112" i="2"/>
  <c r="AV113" i="2"/>
  <c r="AW113" i="2"/>
  <c r="AY113" i="2"/>
  <c r="AZ113" i="2"/>
  <c r="BA113" i="2"/>
  <c r="BB113" i="2"/>
  <c r="BB115" i="2"/>
  <c r="BB116" i="2"/>
  <c r="E28"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A8608C-2E8B-42F6-B69D-93A335D1F910}" keepAlive="1" name="Query - Updated Daily  Last Update: 3/07/2023" description="Connection to the 'Updated Daily  Last Update: 3/07/2023' query in the workbook." type="5" refreshedVersion="8" background="1" saveData="1">
    <dbPr connection="Provider=Microsoft.Mashup.OleDb.1;Data Source=$Workbook$;Location=&quot;Updated Daily  Last Update: 3/07/2023&quot;;Extended Properties=&quot;&quot;" command="SELECT * FROM [Updated Daily  Last Update: 3/07/2023]"/>
  </connection>
  <connection id="2" xr16:uid="{FA97455F-7B53-49FF-838A-8B8E6F7A22C1}" keepAlive="1" name="Query - Updated Daily  Last Update: 3/07/2023 (3)" description="Connection to the 'Updated Daily  Last Update: 3/07/2023 (3)' query in the workbook." type="5" refreshedVersion="8" background="1" saveData="1">
    <dbPr connection="Provider=Microsoft.Mashup.OleDb.1;Data Source=$Workbook$;Location=&quot;Updated Daily  Last Update: 3/07/2023 (3)&quot;;Extended Properties=&quot;&quot;" command="SELECT * FROM [Updated Daily  Last Update: 3/07/2023 (3)]"/>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<sst xmlns="http://schemas.openxmlformats.org/spreadsheetml/2006/main" count="1427" uniqueCount="744">
  <si>
    <t>Cash Remaining To Distribute</t>
  </si>
  <si>
    <t>Ending Balance</t>
  </si>
  <si>
    <t>Capital Balance</t>
  </si>
  <si>
    <t>Quarterly Compounding</t>
  </si>
  <si>
    <t>Beginning Balance</t>
  </si>
  <si>
    <t>Month Ending</t>
  </si>
  <si>
    <t>Equity Waterfall</t>
  </si>
  <si>
    <t>Interest Payment</t>
  </si>
  <si>
    <t>Effective Usage Rate</t>
  </si>
  <si>
    <t>Usage Rate</t>
  </si>
  <si>
    <t>Loan Repayment</t>
  </si>
  <si>
    <t>Loan Funding</t>
  </si>
  <si>
    <t>Construction Loan</t>
  </si>
  <si>
    <t>PSF</t>
  </si>
  <si>
    <t>Total</t>
  </si>
  <si>
    <t>Construction Financing Schedule</t>
  </si>
  <si>
    <t/>
  </si>
  <si>
    <t>Financing</t>
  </si>
  <si>
    <t>Loan Payoff</t>
  </si>
  <si>
    <t>Origination Fee</t>
  </si>
  <si>
    <t>Principal Payment</t>
  </si>
  <si>
    <t>Disposition</t>
  </si>
  <si>
    <t>Net Sale Price</t>
  </si>
  <si>
    <t>Total Project Development Cost</t>
  </si>
  <si>
    <t>Levered Equity Multiple</t>
  </si>
  <si>
    <t>Levered IRR</t>
  </si>
  <si>
    <t>Aspect GP Returns</t>
  </si>
  <si>
    <t xml:space="preserve">Asset Management Fees </t>
  </si>
  <si>
    <t>Levered Cash Flow</t>
  </si>
  <si>
    <t xml:space="preserve">Equity Multiple </t>
  </si>
  <si>
    <t>Year 0</t>
  </si>
  <si>
    <t>Year Ending</t>
  </si>
  <si>
    <t>IRR</t>
  </si>
  <si>
    <t>Aspect GP Property Returns - Year 5</t>
  </si>
  <si>
    <t xml:space="preserve">Net Profit </t>
  </si>
  <si>
    <t>CASH FLOW</t>
  </si>
  <si>
    <t>Capital Contribution</t>
  </si>
  <si>
    <t>Equity Multiple</t>
  </si>
  <si>
    <t>Total Proceeds</t>
  </si>
  <si>
    <t>$PSF</t>
  </si>
  <si>
    <t xml:space="preserve">Amount </t>
  </si>
  <si>
    <t>Average Cash on Cash</t>
  </si>
  <si>
    <t>Cash on Cash Return</t>
  </si>
  <si>
    <t>Net Profit</t>
  </si>
  <si>
    <t>Asset Management Fees</t>
  </si>
  <si>
    <t xml:space="preserve">$ PSF </t>
  </si>
  <si>
    <t>Amount</t>
  </si>
  <si>
    <t>Welltower Returns</t>
  </si>
  <si>
    <t>Welltower Total Interest</t>
  </si>
  <si>
    <t>Net Cash Flow after Debt Service</t>
  </si>
  <si>
    <t>Aspect Total Interest</t>
  </si>
  <si>
    <t>Aspect GP Property Returns - Year 10</t>
  </si>
  <si>
    <t>Net Gain</t>
  </si>
  <si>
    <t>JV Ownership Interest</t>
  </si>
  <si>
    <t>Net Cash on Sale</t>
  </si>
  <si>
    <t>Total Equity Interest</t>
  </si>
  <si>
    <t xml:space="preserve">Total Capital Stack </t>
  </si>
  <si>
    <t>Debt Coverage Ratio</t>
  </si>
  <si>
    <t xml:space="preserve">Welltower Equity Interest </t>
  </si>
  <si>
    <t xml:space="preserve">Equity </t>
  </si>
  <si>
    <t>Debt Service</t>
  </si>
  <si>
    <t xml:space="preserve">Aspect Equity Interest </t>
  </si>
  <si>
    <t xml:space="preserve">Debt </t>
  </si>
  <si>
    <t>Loan Balance</t>
  </si>
  <si>
    <t>Capital Stack</t>
  </si>
  <si>
    <t>Welltower Equity Interest %</t>
  </si>
  <si>
    <t>Unlevered Equity Multiple</t>
  </si>
  <si>
    <t>Aspect Equity Interest %</t>
  </si>
  <si>
    <t xml:space="preserve">Preferred Return % </t>
  </si>
  <si>
    <t>Unlevered IRR</t>
  </si>
  <si>
    <t>Required Initial Common Capital Contributions</t>
  </si>
  <si>
    <t>Net Sale Price PSF</t>
  </si>
  <si>
    <t>Annual Debt Service</t>
  </si>
  <si>
    <t>Doctor's Equity Interest</t>
  </si>
  <si>
    <t>Loan Amount</t>
  </si>
  <si>
    <t>REIT GAAP Accounting Cap Rate Average</t>
  </si>
  <si>
    <t>Interest Rate</t>
  </si>
  <si>
    <t>--</t>
  </si>
  <si>
    <t>Accretive (Dilutive) Cap Spread</t>
  </si>
  <si>
    <t xml:space="preserve">Total Asset Management Fee's </t>
  </si>
  <si>
    <t>Year</t>
  </si>
  <si>
    <t>Implied Exit Cap Rate</t>
  </si>
  <si>
    <t>Debt</t>
  </si>
  <si>
    <t>Doctor's Equity Interest %</t>
  </si>
  <si>
    <t xml:space="preserve">Total Profit </t>
  </si>
  <si>
    <t>Total GP Distributions</t>
  </si>
  <si>
    <t xml:space="preserve">Cap Rate at Sale </t>
  </si>
  <si>
    <t>Developer Profit</t>
  </si>
  <si>
    <t>Aspect Health Inc. Returns</t>
  </si>
  <si>
    <t>Deal Profit</t>
  </si>
  <si>
    <t>Unlevered Cash Flow</t>
  </si>
  <si>
    <t>Net Cash Flow Before Debt Service</t>
  </si>
  <si>
    <t>Total Proiect Profit - Year 5</t>
  </si>
  <si>
    <t>Capital Reserves</t>
  </si>
  <si>
    <t>Capital Reserves (RSF)</t>
  </si>
  <si>
    <t>Net Operating Income</t>
  </si>
  <si>
    <t>Starting Rent (RSF)</t>
  </si>
  <si>
    <t>Property Size (RSF)</t>
  </si>
  <si>
    <t xml:space="preserve">Property </t>
  </si>
  <si>
    <t>Term</t>
  </si>
  <si>
    <t>Start</t>
  </si>
  <si>
    <t>Total Proiect Profit - Year 10</t>
  </si>
  <si>
    <t>Welltower JV Assumptions</t>
  </si>
  <si>
    <t>Project Development Schedule</t>
  </si>
  <si>
    <t>Cash Flow Remaining</t>
  </si>
  <si>
    <t>Distribution to GP</t>
  </si>
  <si>
    <t>Distribution to LP</t>
  </si>
  <si>
    <t>Return Threshold - Greater than:</t>
  </si>
  <si>
    <t>Tier 4</t>
  </si>
  <si>
    <t>.</t>
  </si>
  <si>
    <t>Ending Balance (LP Capital Account)</t>
  </si>
  <si>
    <t>Prior Distributions</t>
  </si>
  <si>
    <t>Contributions from LP</t>
  </si>
  <si>
    <t>Req'd Return by LP to hit Hurdle 3</t>
  </si>
  <si>
    <t>Beginning Balance (LP Capital Account)</t>
  </si>
  <si>
    <t>Return Threshold - Up to:</t>
  </si>
  <si>
    <t>Tier 3</t>
  </si>
  <si>
    <t>Req'd Return by LP to hit Hurdle 2</t>
  </si>
  <si>
    <t>Tier 2</t>
  </si>
  <si>
    <t>Ending Balance (GP Capital Account)</t>
  </si>
  <si>
    <t>Contributions from GP</t>
  </si>
  <si>
    <t>Req'd Return by GP (Pref)</t>
  </si>
  <si>
    <t>Beginning Balance (GP Capital Account)</t>
  </si>
  <si>
    <t>Distributions to LP (Hurdle 1)</t>
  </si>
  <si>
    <t>Req'd Return by LP to hit Hurdle 1</t>
  </si>
  <si>
    <t>LP Return of Capital</t>
  </si>
  <si>
    <t>Tier 1 - Preferred Return + Return of Capital</t>
  </si>
  <si>
    <t>Adjusted Net Property-Level Cash Flow</t>
  </si>
  <si>
    <t>Net Property-Level Cash Flow</t>
  </si>
  <si>
    <t>Property-Level Cash and GP Fees</t>
  </si>
  <si>
    <t>GP Equity Multiple</t>
  </si>
  <si>
    <t>GP IRR</t>
  </si>
  <si>
    <t>Total GP Profit</t>
  </si>
  <si>
    <t>Total GP Contributions</t>
  </si>
  <si>
    <t>Total GP Fees</t>
  </si>
  <si>
    <t>GP Returns</t>
  </si>
  <si>
    <t>LP Equity Multiple</t>
  </si>
  <si>
    <t>LP IRR</t>
  </si>
  <si>
    <t>Total LP Profit</t>
  </si>
  <si>
    <t>Total LP Contributions</t>
  </si>
  <si>
    <t>Total LP Distributions</t>
  </si>
  <si>
    <t>Limited Partner (LP) Returns</t>
  </si>
  <si>
    <t>Summary of Partnership-Level Returns</t>
  </si>
  <si>
    <t>Tier 4 (Promote)</t>
  </si>
  <si>
    <t>Tier 3 (Promote)</t>
  </si>
  <si>
    <t>Tier 2 (Promote)</t>
  </si>
  <si>
    <t>GP Promote</t>
  </si>
  <si>
    <t>Tier 1 (Pref + Return of Capital)</t>
  </si>
  <si>
    <t>LP %</t>
  </si>
  <si>
    <t>GP %</t>
  </si>
  <si>
    <t>Notes</t>
  </si>
  <si>
    <t>Distribution as %</t>
  </si>
  <si>
    <t>Promote Structure Incentive Breakdown</t>
  </si>
  <si>
    <t>PARTNERSHIP LEVEL RETURNS - IRR EQUITY WATERFALL</t>
  </si>
  <si>
    <t>Acquisition/Disposition Fees</t>
  </si>
  <si>
    <t>Total GP Profit (Including Fees)</t>
  </si>
  <si>
    <t>Excess Cash Flow</t>
  </si>
  <si>
    <t>Promote</t>
  </si>
  <si>
    <t>Return of Capital</t>
  </si>
  <si>
    <t>Preferred Return</t>
  </si>
  <si>
    <t>Check</t>
  </si>
  <si>
    <t>Hurdle Rate Method Used:</t>
  </si>
  <si>
    <t>Total Equity</t>
  </si>
  <si>
    <t>Limited Partner (LP)</t>
  </si>
  <si>
    <t>General Partner (GP)</t>
  </si>
  <si>
    <t>%</t>
  </si>
  <si>
    <t>Equity Contributions</t>
  </si>
  <si>
    <t>Yes</t>
  </si>
  <si>
    <t>Promote Hurdle Method</t>
  </si>
  <si>
    <t>Current Cost</t>
  </si>
  <si>
    <t>Cost/SF</t>
  </si>
  <si>
    <t>Building Sq. ft.</t>
  </si>
  <si>
    <t>Site Acquisition Costs</t>
  </si>
  <si>
    <t>Total Development Cost</t>
  </si>
  <si>
    <t>Project Capitalization</t>
  </si>
  <si>
    <t>Total Capitalization</t>
  </si>
  <si>
    <t xml:space="preserve">IRR </t>
  </si>
  <si>
    <t>Equity Kicker %</t>
  </si>
  <si>
    <t>Doctors Interest</t>
  </si>
  <si>
    <t>Aspect Health, Inc. House</t>
  </si>
  <si>
    <t>ASPECT HEALTH, INC. PROPETY RETURNS - 10 YEAR</t>
  </si>
  <si>
    <t>ASPECT HEALTH, INC. PROPETY RETURNS - 5 YEAR</t>
  </si>
  <si>
    <t xml:space="preserve">Developer Profit </t>
  </si>
  <si>
    <t>LTV</t>
  </si>
  <si>
    <t>OFF</t>
  </si>
  <si>
    <t>ON</t>
  </si>
  <si>
    <t>Operating Expenses (RSF)</t>
  </si>
  <si>
    <t>Operating Expense Inflation %</t>
  </si>
  <si>
    <t>Year 1 Going-In Cap Rate</t>
  </si>
  <si>
    <t>Effective Gross Rent</t>
  </si>
  <si>
    <t>Project-Level</t>
  </si>
  <si>
    <t>Term (Yrs)</t>
  </si>
  <si>
    <t>WALT</t>
  </si>
  <si>
    <t>Cash Flow Available For Distribution</t>
  </si>
  <si>
    <t>Asset Management Fee</t>
  </si>
  <si>
    <t>Cash Flow After Debt Service</t>
  </si>
  <si>
    <t>N/A</t>
  </si>
  <si>
    <t>DSCR Coverage</t>
  </si>
  <si>
    <t>Occupancy</t>
  </si>
  <si>
    <t>Total Project Cost</t>
  </si>
  <si>
    <t>Operating Expenses</t>
  </si>
  <si>
    <t>Effective Revenue</t>
  </si>
  <si>
    <t>Expense Recoveries</t>
  </si>
  <si>
    <t>Schedule Base Rental Revenue</t>
  </si>
  <si>
    <t>Potential Gross Revenue</t>
  </si>
  <si>
    <t>NNN</t>
  </si>
  <si>
    <t>$ PSF</t>
  </si>
  <si>
    <t>Total Capitalization (Sources)</t>
  </si>
  <si>
    <t>Total Project Cost (Uses)</t>
  </si>
  <si>
    <t>Structure</t>
  </si>
  <si>
    <t>Increases</t>
  </si>
  <si>
    <t>Annual</t>
  </si>
  <si>
    <t>$/PSF</t>
  </si>
  <si>
    <t>% Bldg</t>
  </si>
  <si>
    <t>Sq. Ft.</t>
  </si>
  <si>
    <t>Tenant</t>
  </si>
  <si>
    <t xml:space="preserve">Pro Forma </t>
  </si>
  <si>
    <t>Sources &amp; Uses Summary</t>
  </si>
  <si>
    <t>Leasing Overview</t>
  </si>
  <si>
    <t>Project-Level Returns</t>
  </si>
  <si>
    <t>Avg. Cash-on-Cash</t>
  </si>
  <si>
    <t>Year 1</t>
  </si>
  <si>
    <t>Year 2</t>
  </si>
  <si>
    <t xml:space="preserve">Levered Development Returns to Equity </t>
  </si>
  <si>
    <t>Levered Deal Returns to Equity - Year 5</t>
  </si>
  <si>
    <t>Levered Deal Returns to Equity - Year 10</t>
  </si>
  <si>
    <t>Gross Sale Price PSF</t>
  </si>
  <si>
    <t>Gross Sale Price</t>
  </si>
  <si>
    <t xml:space="preserve">Total Valuation - All-In Gross Sale Price Welltower </t>
  </si>
  <si>
    <t>Asset Management Fee % (Equity)</t>
  </si>
  <si>
    <t>Aspect Health, Inc. Fee Schedule - Year 5 Sale</t>
  </si>
  <si>
    <t>Inside Fee</t>
  </si>
  <si>
    <t>Management Fee</t>
  </si>
  <si>
    <t>Yearly Total</t>
  </si>
  <si>
    <t>Hold Period Total</t>
  </si>
  <si>
    <t>Total Project Profit</t>
  </si>
  <si>
    <t>Total Project + Fee Profit</t>
  </si>
  <si>
    <t>Assumptions:</t>
  </si>
  <si>
    <t>Development Fee</t>
  </si>
  <si>
    <t>Lender Origination Fee</t>
  </si>
  <si>
    <t xml:space="preserve">Fee's, Taxes, and Closing Cost's </t>
  </si>
  <si>
    <t>Aspect Health (Inside) Fee</t>
  </si>
  <si>
    <t xml:space="preserve">JV Closing Cost's </t>
  </si>
  <si>
    <t>Cost of Sale - Exit Year</t>
  </si>
  <si>
    <t>Broker (Outside) Fee</t>
  </si>
  <si>
    <t>Self-Perform + Welltower JV</t>
  </si>
  <si>
    <t>Cost of Sale - Buyer - Going-In Year</t>
  </si>
  <si>
    <t xml:space="preserve">Acquisition Cost </t>
  </si>
  <si>
    <t xml:space="preserve">All-In Purchase Price </t>
  </si>
  <si>
    <t>Purchase Price</t>
  </si>
  <si>
    <t>Total Acquisition Cost</t>
  </si>
  <si>
    <t>JV Closing Costs</t>
  </si>
  <si>
    <t>Weighted Average</t>
  </si>
  <si>
    <t>Property Name</t>
  </si>
  <si>
    <t>No.</t>
  </si>
  <si>
    <t>Cap Rate</t>
  </si>
  <si>
    <t>Price</t>
  </si>
  <si>
    <t>Square Feet</t>
  </si>
  <si>
    <t>Year Built</t>
  </si>
  <si>
    <t>Lease Term</t>
  </si>
  <si>
    <t xml:space="preserve">Anchor Tentant </t>
  </si>
  <si>
    <t>Sale Date</t>
  </si>
  <si>
    <t>NOI</t>
  </si>
  <si>
    <t>Single/Multi Tenant</t>
  </si>
  <si>
    <t>Rental Rate</t>
  </si>
  <si>
    <t>ST</t>
  </si>
  <si>
    <t>Assumptions</t>
  </si>
  <si>
    <t xml:space="preserve">Months </t>
  </si>
  <si>
    <t>Lease Date</t>
  </si>
  <si>
    <t xml:space="preserve">Tentant </t>
  </si>
  <si>
    <t>Building SQFT</t>
  </si>
  <si>
    <t>Lease SQFT</t>
  </si>
  <si>
    <t>Rent Steps</t>
  </si>
  <si>
    <t>Lease Type</t>
  </si>
  <si>
    <t>Summary of Comparable Medical Office Leases</t>
  </si>
  <si>
    <t>Development Budget</t>
  </si>
  <si>
    <t>Cost of Sale</t>
  </si>
  <si>
    <t>Payments</t>
  </si>
  <si>
    <t>Prepayment Fee</t>
  </si>
  <si>
    <t>Tier I -  Return of Capital</t>
  </si>
  <si>
    <t>Tier III - Preferred Return</t>
  </si>
  <si>
    <t>Tier II - Sale Distribution</t>
  </si>
  <si>
    <t>Non-Recoverables</t>
  </si>
  <si>
    <t>Total Interest Rate</t>
  </si>
  <si>
    <t>Cash Flow to House</t>
  </si>
  <si>
    <t>Newmark Venture Transaction Fee</t>
  </si>
  <si>
    <t>Nemark Venture Transaction Fee</t>
  </si>
  <si>
    <t>Rental Rate per RSF</t>
  </si>
  <si>
    <t>Year 3</t>
  </si>
  <si>
    <t>Year 4</t>
  </si>
  <si>
    <t>Accrued Preferred Return</t>
  </si>
  <si>
    <t>Welltower IRR</t>
  </si>
  <si>
    <t>Unlevered Deal Returns - Year 10</t>
  </si>
  <si>
    <t>Unlevered Deal Returns - Year 5</t>
  </si>
  <si>
    <t>Preferred Return % of Total Equity Contribution</t>
  </si>
  <si>
    <t>Additional Equity Contribution</t>
  </si>
  <si>
    <t>Required Final Common Capital Contributions</t>
  </si>
  <si>
    <t xml:space="preserve">Property Management Fee </t>
  </si>
  <si>
    <t>Blended Capital Stack Analysis</t>
  </si>
  <si>
    <t>Blended Capital Stack</t>
  </si>
  <si>
    <t>All-In Yield on Cost</t>
  </si>
  <si>
    <t>Available Cash Flow</t>
  </si>
  <si>
    <t>Aggregate Available Cash Flow</t>
  </si>
  <si>
    <t>Aggregate Surplus/(Shortfall)</t>
  </si>
  <si>
    <t>Monthly Current Pay %</t>
  </si>
  <si>
    <t>Preferred Return Aggregate Current Pay %</t>
  </si>
  <si>
    <t>Lender Base Rate</t>
  </si>
  <si>
    <t>Exit Cap Rate</t>
  </si>
  <si>
    <t>Amortization Calculator</t>
  </si>
  <si>
    <t>Amortization Summary</t>
  </si>
  <si>
    <t>Project Name</t>
  </si>
  <si>
    <t>Loan Covenant Analysis</t>
  </si>
  <si>
    <t>Loan Amortization</t>
  </si>
  <si>
    <t>Principle</t>
  </si>
  <si>
    <t>Interest</t>
  </si>
  <si>
    <t>Refinance</t>
  </si>
  <si>
    <t>Loan Months</t>
  </si>
  <si>
    <t>Period</t>
  </si>
  <si>
    <t>Month</t>
  </si>
  <si>
    <t xml:space="preserve">Beginning Balance </t>
  </si>
  <si>
    <t>Payment</t>
  </si>
  <si>
    <t>Principal</t>
  </si>
  <si>
    <t xml:space="preserve">Cumulative Principal </t>
  </si>
  <si>
    <t xml:space="preserve">Cumulative Interest </t>
  </si>
  <si>
    <t>Amortization Months</t>
  </si>
  <si>
    <t>Interest Only Months</t>
  </si>
  <si>
    <t>Year 5</t>
  </si>
  <si>
    <t>Year 6</t>
  </si>
  <si>
    <t>Year 7</t>
  </si>
  <si>
    <t xml:space="preserve">Preferred Return </t>
  </si>
  <si>
    <t>All-In Interest Rate</t>
  </si>
  <si>
    <t>Year 8</t>
  </si>
  <si>
    <t>Monthly Payment</t>
  </si>
  <si>
    <t>Year 9</t>
  </si>
  <si>
    <t>Permanent Loan Amount Analysis</t>
  </si>
  <si>
    <t>Debt Yield (Trailing 12-Month NOI)</t>
  </si>
  <si>
    <t xml:space="preserve">Yearly Payment </t>
  </si>
  <si>
    <t>Year 10</t>
  </si>
  <si>
    <t>As of Disposition Date (12/31/2025)</t>
  </si>
  <si>
    <t>Maximum Loan Size</t>
  </si>
  <si>
    <t>Year 11</t>
  </si>
  <si>
    <t xml:space="preserve">Year 1 Loan Constant </t>
  </si>
  <si>
    <t>Year 12</t>
  </si>
  <si>
    <t>Loan-to-Value Method</t>
  </si>
  <si>
    <t>Appraised Value Cap Rate (Forward 12-Month NOI)</t>
  </si>
  <si>
    <t>Year 1 Payment</t>
  </si>
  <si>
    <t>Year 13</t>
  </si>
  <si>
    <t xml:space="preserve">Appraised Value </t>
  </si>
  <si>
    <t>Maximum Loan-to-Value</t>
  </si>
  <si>
    <t>Year 1 % Interest</t>
  </si>
  <si>
    <t>Maximum Loan-to-Value Covenant</t>
  </si>
  <si>
    <t>Year 1 % Principle</t>
  </si>
  <si>
    <t>Maximum Loan</t>
  </si>
  <si>
    <t>Minimum DSCR</t>
  </si>
  <si>
    <t xml:space="preserve">Year 6 Loan Constant </t>
  </si>
  <si>
    <t>Debt Yield Method</t>
  </si>
  <si>
    <t>Maximum Yearly Payment</t>
  </si>
  <si>
    <t>Year 6 Payment</t>
  </si>
  <si>
    <t>Minimum Debt Yield Covenant</t>
  </si>
  <si>
    <t>Loan Constant</t>
  </si>
  <si>
    <t>Year 6 % Interest</t>
  </si>
  <si>
    <t>12-Month Trailing NOI</t>
  </si>
  <si>
    <t>Maximum Loan Amount</t>
  </si>
  <si>
    <t>Year 6 % Principle</t>
  </si>
  <si>
    <t>Permanent Loan Amount</t>
  </si>
  <si>
    <t>Balloon Payment</t>
  </si>
  <si>
    <t>DSCR Method</t>
  </si>
  <si>
    <t xml:space="preserve">Permanent Financing </t>
  </si>
  <si>
    <t>Loan Back-Up Calculation</t>
  </si>
  <si>
    <t>Loan Closing Costs</t>
  </si>
  <si>
    <t>12-Month Forward NOI</t>
  </si>
  <si>
    <t>Unreturned Equity</t>
  </si>
  <si>
    <t xml:space="preserve">Loan Constant </t>
  </si>
  <si>
    <t>Preferred Return Calculation</t>
  </si>
  <si>
    <t>Total Accruing</t>
  </si>
  <si>
    <t>Strategy Summary Page - Aspect Health, Inc.</t>
  </si>
  <si>
    <t>Property Name:</t>
  </si>
  <si>
    <t>Lender:</t>
  </si>
  <si>
    <t xml:space="preserve">Property Size: </t>
  </si>
  <si>
    <t>Loan Amount:</t>
  </si>
  <si>
    <t xml:space="preserve">Year Built/Renovated: </t>
  </si>
  <si>
    <t>Debt Loan-to-Cost</t>
  </si>
  <si>
    <t xml:space="preserve">Land Area: </t>
  </si>
  <si>
    <t>Loan Term:</t>
  </si>
  <si>
    <t>Tenants:</t>
  </si>
  <si>
    <t>1 Tenant</t>
  </si>
  <si>
    <t>Loan Maturity</t>
  </si>
  <si>
    <t xml:space="preserve">WALT: </t>
  </si>
  <si>
    <t>% Occupied:</t>
  </si>
  <si>
    <t>Initial Equity:</t>
  </si>
  <si>
    <t>% NNN:</t>
  </si>
  <si>
    <t>Equity Loan-to-Cost:</t>
  </si>
  <si>
    <t>Stabilization Date:</t>
  </si>
  <si>
    <t>Preferred Return:</t>
  </si>
  <si>
    <t>Average Rental Rate:</t>
  </si>
  <si>
    <t>Equity Kicker:</t>
  </si>
  <si>
    <t>Forward NOI:</t>
  </si>
  <si>
    <t>Development Budget:</t>
  </si>
  <si>
    <t>Target Disposition Date:</t>
  </si>
  <si>
    <t>Development Price per RSF:</t>
  </si>
  <si>
    <t>Hold Period:</t>
  </si>
  <si>
    <t>Developer Yield:</t>
  </si>
  <si>
    <t>Target Acquirer:</t>
  </si>
  <si>
    <t>Project Returns:</t>
  </si>
  <si>
    <t>Total Outstanding Funding:</t>
  </si>
  <si>
    <t>Average Current Pay from Stabilization:</t>
  </si>
  <si>
    <t>Hold Period Blended Cost of Capital:</t>
  </si>
  <si>
    <t>Preferred Equity Levered IRR</t>
  </si>
  <si>
    <t>Forward Exit Year NOI:</t>
  </si>
  <si>
    <t>Preferred Equity Equity Multiple</t>
  </si>
  <si>
    <t>Hold Period NOI Growth %:</t>
  </si>
  <si>
    <t>Preferred Equity Net Proceeds:</t>
  </si>
  <si>
    <t>Implied Exit Cap Rate:</t>
  </si>
  <si>
    <t>Aspect Net Proceeds:</t>
  </si>
  <si>
    <t>Actual Exit Cap Rate</t>
  </si>
  <si>
    <t>Aspect Project Fees:</t>
  </si>
  <si>
    <t>Accreditive Cap Spread:</t>
  </si>
  <si>
    <t xml:space="preserve">Project Unlevered IRR: </t>
  </si>
  <si>
    <t>Gross Exit Year Price:</t>
  </si>
  <si>
    <t>Project Levered IRR:</t>
  </si>
  <si>
    <t>Cost of Sale:</t>
  </si>
  <si>
    <t>Project Proceeds:</t>
  </si>
  <si>
    <t>Net Exit Year Price:</t>
  </si>
  <si>
    <t>Project Equity Multiple:</t>
  </si>
  <si>
    <t>Exit Year Price per RSF:</t>
  </si>
  <si>
    <t>Average Cash-on-Cash:</t>
  </si>
  <si>
    <t>Exit Year WALT:</t>
  </si>
  <si>
    <t>Aspect Levered IRR:</t>
  </si>
  <si>
    <t xml:space="preserve">Exit Year DSCR: </t>
  </si>
  <si>
    <t>Aspect Equity Multiple:</t>
  </si>
  <si>
    <t>Refinance Analysis:</t>
  </si>
  <si>
    <t>Analysis Date:</t>
  </si>
  <si>
    <t>Minimum DSCR:</t>
  </si>
  <si>
    <t>Appraisal Cap Rate:</t>
  </si>
  <si>
    <t>Appraised Value:</t>
  </si>
  <si>
    <t>Maximum Loan-to-Value Covenant:</t>
  </si>
  <si>
    <t>All-In Interest Rate:</t>
  </si>
  <si>
    <t>Maximum Loan (Appraisal Method):</t>
  </si>
  <si>
    <t>Amortization Months:</t>
  </si>
  <si>
    <t xml:space="preserve">Unreturned Equity: </t>
  </si>
  <si>
    <t>12-Month Forward NOI:</t>
  </si>
  <si>
    <t>Maximum Yearly Payment:</t>
  </si>
  <si>
    <t>Minimum Debt Yield Covenant:</t>
  </si>
  <si>
    <t>Loan Constant:</t>
  </si>
  <si>
    <t>12-Month Trailing NOI:</t>
  </si>
  <si>
    <t>Maximum Loan (DSCR Method):</t>
  </si>
  <si>
    <t>Maximum Loan (Debt Yield Method):</t>
  </si>
  <si>
    <t>Strategy Considerations:</t>
  </si>
  <si>
    <t>Base Rent</t>
  </si>
  <si>
    <t>Exit Year Sale Assumptions</t>
  </si>
  <si>
    <t>December 2025 Exit</t>
  </si>
  <si>
    <t>Year 1 Forward NOI (January 2026 - December 2026)</t>
  </si>
  <si>
    <t xml:space="preserve">Net Sale Price </t>
  </si>
  <si>
    <t>Repayment of Loan</t>
  </si>
  <si>
    <t xml:space="preserve">Return of Capital </t>
  </si>
  <si>
    <t>Cash Remaining to Distribute</t>
  </si>
  <si>
    <t>Connecticut State &amp; Municipal Transfer Tax</t>
  </si>
  <si>
    <t>Washington Trust or Union Savings Bank</t>
  </si>
  <si>
    <t>No</t>
  </si>
  <si>
    <t>Hold Period Begins Date:</t>
  </si>
  <si>
    <t>Healthcare REIT, 1031 Exchange, Private Equity</t>
  </si>
  <si>
    <t>Initial/Accrued Preferred Return at Disposition:</t>
  </si>
  <si>
    <t>Total Valuation per RSF</t>
  </si>
  <si>
    <t>Extension Requirement:</t>
  </si>
  <si>
    <t>Loan Amount at Disposition</t>
  </si>
  <si>
    <t>1500 Boston Post Road, Darien</t>
  </si>
  <si>
    <t>Occupied Building</t>
  </si>
  <si>
    <t>Acquisition &amp; Development Fee</t>
  </si>
  <si>
    <t>Development Budget Notes</t>
  </si>
  <si>
    <t>SOFR Fixed Rate</t>
  </si>
  <si>
    <t xml:space="preserve">Payment of Doctors 0.00% Profit Interest </t>
  </si>
  <si>
    <t>Per Offering Memorandum</t>
  </si>
  <si>
    <t>Aspect Health Standard Acquisition Fee</t>
  </si>
  <si>
    <t>Estimated Based on Hospital Ave/Stratford</t>
  </si>
  <si>
    <t xml:space="preserve">Stamford Health Medical Group </t>
  </si>
  <si>
    <t>End</t>
  </si>
  <si>
    <t>CPI</t>
  </si>
  <si>
    <t>Permanent Loan Request</t>
  </si>
  <si>
    <t>3 Years</t>
  </si>
  <si>
    <t>Interest Only Through Maturity</t>
  </si>
  <si>
    <t>SWAP Breakage Fees</t>
  </si>
  <si>
    <t>Loan-to-Cost</t>
  </si>
  <si>
    <t>Debt Yield</t>
  </si>
  <si>
    <t>Total Cost</t>
  </si>
  <si>
    <t>Loan Constant %</t>
  </si>
  <si>
    <t>Loan Constant Amount</t>
  </si>
  <si>
    <t>DSCR</t>
  </si>
  <si>
    <t>1500 Boston Post Road</t>
  </si>
  <si>
    <t>Darien, CT</t>
  </si>
  <si>
    <t>Stamford Health</t>
  </si>
  <si>
    <t>CPI Adjustment Every 5 Years</t>
  </si>
  <si>
    <t>Index as of 11/2018</t>
  </si>
  <si>
    <t>Annual Rent</t>
  </si>
  <si>
    <t>Annual Rent per RSF</t>
  </si>
  <si>
    <t>Index as of 11/2022</t>
  </si>
  <si>
    <t>Estimated Index as of 11/2023</t>
  </si>
  <si>
    <t>Index Increase 11/2022 to 11/2023</t>
  </si>
  <si>
    <t>Projected Rent Increase %</t>
  </si>
  <si>
    <t>Projected New Rent/SF</t>
  </si>
  <si>
    <t>Projected Annual Rent</t>
  </si>
  <si>
    <t>CPI Index Adjustment</t>
  </si>
  <si>
    <t>Rental Rate Calculation</t>
  </si>
  <si>
    <t>Key Underwriting Metrics</t>
  </si>
  <si>
    <t>Covenant Analysis</t>
  </si>
  <si>
    <t xml:space="preserve"> </t>
  </si>
  <si>
    <t>Tenant Improvement Allowance</t>
  </si>
  <si>
    <t>1.27 Acres</t>
  </si>
  <si>
    <t>3 Year Fixed, Interest Only</t>
  </si>
  <si>
    <t>Date</t>
  </si>
  <si>
    <t>Lender Spread</t>
  </si>
  <si>
    <t>Floating Rate</t>
  </si>
  <si>
    <t>Floating Interest</t>
  </si>
  <si>
    <t>Fixed Rate</t>
  </si>
  <si>
    <t>Fixed Interest</t>
  </si>
  <si>
    <t>NPV</t>
  </si>
  <si>
    <t>Construction Costs</t>
  </si>
  <si>
    <t>Broker Fee</t>
  </si>
  <si>
    <t>Leasing Legal</t>
  </si>
  <si>
    <t>Existing Base Rental Rate</t>
  </si>
  <si>
    <t>Based on Leasing Commission Sheet, 5.00% Year 1-5, 2.50% Year 6-10, 1.00% Year 11-15</t>
  </si>
  <si>
    <t>Per Letter of Intent Dated 2.28.23</t>
  </si>
  <si>
    <t>Per Fifth Amendment to Lease Agreement</t>
  </si>
  <si>
    <t>Tenant Capital Reimbursement</t>
  </si>
  <si>
    <t>Lender Rent Escrow</t>
  </si>
  <si>
    <t>Reset Date</t>
  </si>
  <si>
    <t>1-month Term SOFR</t>
  </si>
  <si>
    <t>Fixed Rate Swap Analysis</t>
  </si>
  <si>
    <t>Lender Escrow</t>
  </si>
  <si>
    <t>Number</t>
  </si>
  <si>
    <t>3-Year Swap</t>
  </si>
  <si>
    <t>NPV Floating</t>
  </si>
  <si>
    <t>NPV Fixed</t>
  </si>
  <si>
    <t>Calculation</t>
  </si>
  <si>
    <t>Closing Date</t>
  </si>
  <si>
    <t>CPI Increase Date</t>
  </si>
  <si>
    <t>Days Between</t>
  </si>
  <si>
    <t>Old Rent</t>
  </si>
  <si>
    <t>New Rent</t>
  </si>
  <si>
    <t>Escrow Amount</t>
  </si>
  <si>
    <t>Quarter 11</t>
  </si>
  <si>
    <t>Lender Escrow/Additional Return</t>
  </si>
  <si>
    <t>Sources &amp; Uses Summary - Permanent Loan</t>
  </si>
  <si>
    <t>Closing Costs - Lender - Permanent Loan</t>
  </si>
  <si>
    <t>Lender Origination Fee - Permanent Loan</t>
  </si>
  <si>
    <t>Closing Costs - Lender - Construction Loan</t>
  </si>
  <si>
    <t>Lender Origination Fee - Construction Loan</t>
  </si>
  <si>
    <t>Site Acquisition Costs Subtotal</t>
  </si>
  <si>
    <t>Construction Costs Subtotal</t>
  </si>
  <si>
    <t>Development Financing</t>
  </si>
  <si>
    <t>Development Financing Subtotal</t>
  </si>
  <si>
    <t>Tenant Fit-Out</t>
  </si>
  <si>
    <t>1.00% of Loan Amount</t>
  </si>
  <si>
    <t>Tenant Leasing Cost</t>
  </si>
  <si>
    <t>Permanent LTC</t>
  </si>
  <si>
    <t>Permanent Financing Schedule</t>
  </si>
  <si>
    <t>Tenant Capital Reimbursement Equity Contribution</t>
  </si>
  <si>
    <t>Construction Cost Equity Contribution</t>
  </si>
  <si>
    <t>Cost of Sale - Seller - Exit Year</t>
  </si>
  <si>
    <t>Swap Breakage</t>
  </si>
  <si>
    <t>SOFR Floating Rate</t>
  </si>
  <si>
    <t>Swap Breakage Fees - Permanent Loan</t>
  </si>
  <si>
    <t>Loan Prepayment Fee - Construction Loan</t>
  </si>
  <si>
    <t>Average Cash-on-Cash</t>
  </si>
  <si>
    <t xml:space="preserve">Construction Financing </t>
  </si>
  <si>
    <t>Construction Loan Request</t>
  </si>
  <si>
    <t>Interest Only on the Drawn Amount</t>
  </si>
  <si>
    <t>None</t>
  </si>
  <si>
    <t>Floating at SOFR + 235 bps</t>
  </si>
  <si>
    <t>Addition Equity Contribution</t>
  </si>
  <si>
    <t>Capital Contribution Schedule</t>
  </si>
  <si>
    <t>Preferred Investors</t>
  </si>
  <si>
    <t>Next Buyer Analysis</t>
  </si>
  <si>
    <t>Next Buyer Returns</t>
  </si>
  <si>
    <t>Closing Costs</t>
  </si>
  <si>
    <t>Interest Expense</t>
  </si>
  <si>
    <t>Cash-on-Cash</t>
  </si>
  <si>
    <t>Equity LTC %</t>
  </si>
  <si>
    <t>Equity</t>
  </si>
  <si>
    <t>TI Allowance</t>
  </si>
  <si>
    <t>Levered</t>
  </si>
  <si>
    <t>Exit Value</t>
  </si>
  <si>
    <t>Net Value</t>
  </si>
  <si>
    <t>Net Debt</t>
  </si>
  <si>
    <t>Cap Rate Sensitivity Analysis</t>
  </si>
  <si>
    <t>Net Sale Proceeds for Distribution</t>
  </si>
  <si>
    <t xml:space="preserve">Cap Rate </t>
  </si>
  <si>
    <t xml:space="preserve">Gross Sale Price </t>
  </si>
  <si>
    <t>Price per RSF</t>
  </si>
  <si>
    <t xml:space="preserve">Total Project Cost </t>
  </si>
  <si>
    <t>Accrued Preferred Return at Disposition</t>
  </si>
  <si>
    <t>Cash-on-Cash Return</t>
  </si>
  <si>
    <t>Quarterly Projections</t>
  </si>
  <si>
    <t>Quarter 1</t>
  </si>
  <si>
    <t>Quarter 2</t>
  </si>
  <si>
    <t>Quarter 3</t>
  </si>
  <si>
    <t>Quarter 4</t>
  </si>
  <si>
    <t>Quarter 5</t>
  </si>
  <si>
    <t>Quarter 6</t>
  </si>
  <si>
    <t>Quarter 7</t>
  </si>
  <si>
    <t>Quarter 8</t>
  </si>
  <si>
    <t>Quarter 9</t>
  </si>
  <si>
    <t>Quarter 10</t>
  </si>
  <si>
    <t>Quarter Ended</t>
  </si>
  <si>
    <t>Levered Returns to Equity</t>
  </si>
  <si>
    <t>Profits Interest</t>
  </si>
  <si>
    <t xml:space="preserve">Total Investment Return </t>
  </si>
  <si>
    <t>2023-2024</t>
  </si>
  <si>
    <t>2024-2025</t>
  </si>
  <si>
    <t>2025-2026</t>
  </si>
  <si>
    <t>Debt Service (Interest Only)</t>
  </si>
  <si>
    <t>Equity Outstanding</t>
  </si>
  <si>
    <t xml:space="preserve">Fixed at 3 Year SWAP Equivalent + 190 bps </t>
  </si>
  <si>
    <t>Preferred Equity Investors</t>
  </si>
  <si>
    <t>191 Post Road West</t>
  </si>
  <si>
    <t>1980/2022</t>
  </si>
  <si>
    <t>Connecticut Children's Medical Group</t>
  </si>
  <si>
    <t>Wesport, Connecticut</t>
  </si>
  <si>
    <t>33 Hospital Avenue</t>
  </si>
  <si>
    <t>1984/2022</t>
  </si>
  <si>
    <t>Nuvance Health</t>
  </si>
  <si>
    <t>Danbury, Connecticut</t>
  </si>
  <si>
    <t>637 West Avenue</t>
  </si>
  <si>
    <t>1955/2021</t>
  </si>
  <si>
    <t>Norwalk, Connecticut</t>
  </si>
  <si>
    <t>50 Old Kings Highway North</t>
  </si>
  <si>
    <t>Hartford Healthcare</t>
  </si>
  <si>
    <t>Darien, Connecticut</t>
  </si>
  <si>
    <t>300 Post Road West</t>
  </si>
  <si>
    <t>Comparable Medical Office Sale</t>
  </si>
  <si>
    <t>Debt LTC %</t>
  </si>
  <si>
    <t>Required Preferred Return @ 11.00%</t>
  </si>
  <si>
    <t>Aggregate Required Preferred Return @ 11.00%</t>
  </si>
  <si>
    <t>0.50% of Loan Amount</t>
  </si>
  <si>
    <t>Calculated; Required Per Lender Term Sheet Dated 5.02.23</t>
  </si>
  <si>
    <t>Pre-Disposition Renovation Costs</t>
  </si>
  <si>
    <t>Aspect Health Common Equity Levered Cash Flow</t>
  </si>
  <si>
    <t>Quarterly Current Pay %</t>
  </si>
  <si>
    <t>Yearly Current Pay %</t>
  </si>
  <si>
    <t>Year 2 Exit Cap Rate</t>
  </si>
  <si>
    <t>Tenant Improvement Allowance (RSF)</t>
  </si>
  <si>
    <t>Renewal Term (Yrs)</t>
  </si>
  <si>
    <t>Prior</t>
  </si>
  <si>
    <t>Difference</t>
  </si>
  <si>
    <t>Accrued Asset Management Fees</t>
  </si>
  <si>
    <t>Accrue?</t>
  </si>
  <si>
    <t>Equity Kicker (20.00%) to Preferred Investors</t>
  </si>
  <si>
    <t>Index Rate</t>
  </si>
  <si>
    <t>Profit Spread</t>
  </si>
  <si>
    <t>Lender Consultant</t>
  </si>
  <si>
    <t>Dealer Fees</t>
  </si>
  <si>
    <t>(Beginning July 2023)</t>
  </si>
  <si>
    <t>Hard Cost</t>
  </si>
  <si>
    <t>Appraisal</t>
  </si>
  <si>
    <t>Flood Certification</t>
  </si>
  <si>
    <t>UCC Filing Fee</t>
  </si>
  <si>
    <t>Tax Service Fee</t>
  </si>
  <si>
    <t>Lender Legal</t>
  </si>
  <si>
    <t>Title/Escrow Charges</t>
  </si>
  <si>
    <t>Recording Fee Affidavit</t>
  </si>
  <si>
    <t>Escrow Fee</t>
  </si>
  <si>
    <t>Disbursements/Reimbursements</t>
  </si>
  <si>
    <t>Ancillary Due Diligence Costs</t>
  </si>
  <si>
    <t>Partners Engineering - PCA/ESA</t>
  </si>
  <si>
    <t>Vanishing Point Renderings</t>
  </si>
  <si>
    <t>Redniss &amp; Mead Survey</t>
  </si>
  <si>
    <t>Zoning Reports &amp; Letter</t>
  </si>
  <si>
    <t>McGuire Woods - Legal Lease Review &amp; Amendment</t>
  </si>
  <si>
    <t>Cuddy + Fedder Legal Opinion</t>
  </si>
  <si>
    <t>Aspect Health Inc Legal</t>
  </si>
  <si>
    <t>Closing Costs - Buyer</t>
  </si>
  <si>
    <t>Rent Escalator %</t>
  </si>
  <si>
    <t>Grand-Total</t>
  </si>
  <si>
    <t>Leasing Commission Calculation</t>
  </si>
  <si>
    <t>Existing Lease Obligations</t>
  </si>
  <si>
    <t xml:space="preserve">LC % </t>
  </si>
  <si>
    <t>LC/RSF</t>
  </si>
  <si>
    <t>Total LC/RSF</t>
  </si>
  <si>
    <t>RSF</t>
  </si>
  <si>
    <t>LC's per Year</t>
  </si>
  <si>
    <t>Total LC's</t>
  </si>
  <si>
    <t>Year 3-10 Exit Cap Rate Adjustment per Year</t>
  </si>
  <si>
    <t>Unlevered</t>
  </si>
  <si>
    <t>The Washington Trust Company Loan $6,550,000</t>
  </si>
  <si>
    <t>Appraisal Review</t>
  </si>
  <si>
    <t>Environmental Review</t>
  </si>
  <si>
    <t>ALTA (Owner/Loan Policy Coverage)</t>
  </si>
  <si>
    <t>ALTA Endorsement (Owner Comprehensive)</t>
  </si>
  <si>
    <t>ALTA Endorsement (Interest Rate Swap)</t>
  </si>
  <si>
    <t>UCC &amp; Court Searches</t>
  </si>
  <si>
    <t>Rundown &amp; Record</t>
  </si>
  <si>
    <t>Title/Municipal Search Fees</t>
  </si>
  <si>
    <t>CPL Fee</t>
  </si>
  <si>
    <t>General Liability Insurance/Cash Flow Reserve</t>
  </si>
  <si>
    <t>Lender Commitment Fee (0.50% of Loan Amount)</t>
  </si>
  <si>
    <t>Lender Escrow Deposit</t>
  </si>
  <si>
    <t>Free Rent</t>
  </si>
  <si>
    <t>Improvements</t>
  </si>
  <si>
    <t>TotalSF</t>
  </si>
  <si>
    <t>Total/SF/Year</t>
  </si>
  <si>
    <t>Broker</t>
  </si>
  <si>
    <t>7 Year 4 Month Extension</t>
  </si>
  <si>
    <t>10 Year 0 Month Extension</t>
  </si>
  <si>
    <t>TIA</t>
  </si>
  <si>
    <t>Item</t>
  </si>
  <si>
    <t>Total NPV</t>
  </si>
  <si>
    <t>Total NPV/SF</t>
  </si>
  <si>
    <t>Total/NPV/SF/Year</t>
  </si>
  <si>
    <t>Former Owner</t>
  </si>
  <si>
    <t>Aspect Health</t>
  </si>
  <si>
    <t>Outstanding Rent/TIA Obligations</t>
  </si>
  <si>
    <t>1-Month ISDA SOFR</t>
  </si>
  <si>
    <t>5.43%</t>
  </si>
  <si>
    <t>5.54%</t>
  </si>
  <si>
    <t>5.52%</t>
  </si>
  <si>
    <t>5.45%</t>
  </si>
  <si>
    <t>5.08%</t>
  </si>
  <si>
    <t>4.68%</t>
  </si>
  <si>
    <t>4.67%</t>
  </si>
  <si>
    <t>4.32%</t>
  </si>
  <si>
    <t>4.05%</t>
  </si>
  <si>
    <t>4.01%</t>
  </si>
  <si>
    <t>4.00%</t>
  </si>
  <si>
    <t>4.06%</t>
  </si>
  <si>
    <t>4.14%</t>
  </si>
  <si>
    <t>4.17%</t>
  </si>
  <si>
    <t>4.21%</t>
  </si>
  <si>
    <t>4.24%</t>
  </si>
  <si>
    <t>4.29%</t>
  </si>
  <si>
    <t>Distributable Cash</t>
  </si>
  <si>
    <t>Free Rent Obligation</t>
  </si>
  <si>
    <t>Capital Call</t>
  </si>
  <si>
    <t>Adjusted Quarterly Distribution</t>
  </si>
  <si>
    <t>Capital Improvements</t>
  </si>
  <si>
    <t>Adjsuted Cash Distribution</t>
  </si>
  <si>
    <t>Distribution Schedule</t>
  </si>
  <si>
    <t>Adjusted Distributions by Quarter</t>
  </si>
  <si>
    <t>Per McGuire Woods Invoice</t>
  </si>
  <si>
    <t>Acquisition Budget</t>
  </si>
  <si>
    <t>Sources &amp; Uses Summary - Additional Equity</t>
  </si>
  <si>
    <t>Permanent Interest Rate Spread</t>
  </si>
  <si>
    <t>Acquisition Assumptions</t>
  </si>
  <si>
    <t xml:space="preserve">Total Acquisition Cost </t>
  </si>
  <si>
    <t>Loan Index Rate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</si>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</sst>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0.0%\ &quot;Aspect Health, Inc.&quot;"/>
    <numFmt numFmtId="165" formatCode="0.0%\ &quot;Doctors&quot;"/>
    <numFmt numFmtId="166" formatCode="_(* #,##0_);_(* \(#,##0\);_(* &quot;-&quot;??_);_(@_)"/>
    <numFmt numFmtId="167" formatCode="&quot;Quarter&quot;\ 0"/>
    <numFmt numFmtId="168" formatCode="&quot;Year &quot;0"/>
    <numFmt numFmtId="169" formatCode="&quot;Month&quot;\ 0"/>
    <numFmt numFmtId="170" formatCode="0.0%"/>
    <numFmt numFmtId="171" formatCode="0.00&quot;x&quot;"/>
    <numFmt numFmtId="172" formatCode="_(* #,##0_);_(* \(#,##0\);_(* &quot;-&quot;?_);_(@_)"/>
    <numFmt numFmtId="173" formatCode="[$-409]d\-mmm\-yy;@"/>
    <numFmt numFmtId="174" formatCode="&quot;Year&quot;\ 0"/>
    <numFmt numFmtId="175" formatCode="_(&quot;$&quot;* #,##0_);_(&quot;$&quot;* \(#,##0\);_(&quot;$&quot;* &quot;-&quot;??_);_(@_)"/>
    <numFmt numFmtId="176" formatCode="[$-10409]#,##0.00;\-#,##0.00"/>
    <numFmt numFmtId="177" formatCode="[$-10409]#,##0;\-#,##0"/>
    <numFmt numFmtId="178" formatCode="&quot;Month &quot;0"/>
    <numFmt numFmtId="179" formatCode="&quot;IRR Error Check -&quot;\ 0.0%"/>
    <numFmt numFmtId="180" formatCode="0.00&quot;X&quot;"/>
    <numFmt numFmtId="181" formatCode="&quot; up to &quot;0.0%\ \I\R\R&quot; to LP&quot;"/>
    <numFmt numFmtId="182" formatCode="&quot;&gt;&quot;\ 0.0%\ \I\R\R&quot; to LP&quot;"/>
    <numFmt numFmtId="183" formatCode="&quot;&gt;&quot;\ 0.00&quot;X EM to LP&quot;"/>
    <numFmt numFmtId="184" formatCode="&quot; Up to &quot;0.0%\ \I\R\R&quot; to LP&quot;"/>
    <numFmt numFmtId="185" formatCode="0.000&quot;MM&quot;"/>
    <numFmt numFmtId="186" formatCode="0.0%\ &quot;Equity Kicker&quot;"/>
    <numFmt numFmtId="187" formatCode="0.00\x"/>
    <numFmt numFmtId="188" formatCode="0.0&quot; Yrs&quot;"/>
    <numFmt numFmtId="189" formatCode="#,##0\ &quot;Flat&quot;"/>
    <numFmt numFmtId="190" formatCode="0.00%\ &quot;of Sale&quot;"/>
    <numFmt numFmtId="191" formatCode="0.00%\ &quot;EGR&quot;"/>
    <numFmt numFmtId="192" formatCode="0.00%\ &quot;of Equity&quot;"/>
    <numFmt numFmtId="193" formatCode="[$-409]mmm\-yy;@"/>
    <numFmt numFmtId="194" formatCode="0.00\ &quot;Years&quot;"/>
    <numFmt numFmtId="195" formatCode="[$-409]mmm\-yy;@&quot;*&quot;"/>
    <numFmt numFmtId="196" formatCode="0.0000%"/>
    <numFmt numFmtId="197" formatCode="0.00000%"/>
    <numFmt numFmtId="198" formatCode="_(* #,##0.0_);_(* \(#,##0.0\);_(* &quot;-&quot;??_);_(@_)"/>
    <numFmt numFmtId="199" formatCode="[$-409]d\-mmm\-yyyy;@"/>
    <numFmt numFmtId="200" formatCode="#,##0\ &quot;SQFT, 2 Floors&quot;"/>
    <numFmt numFmtId="201" formatCode="0\ &quot;Months&quot;"/>
    <numFmt numFmtId="202" formatCode="0.0\ &quot;Years&quot;"/>
    <numFmt numFmtId="203" formatCode="&quot;$&quot;#,##0"/>
    <numFmt numFmtId="204" formatCode="0.000"/>
    <numFmt numFmtId="205" formatCode="_(* #,##0.0_);_(* \(#,##0.0\);_(* &quot;-&quot;?_);_(@_)"/>
  </numFmts>
  <fonts count="86"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1"/>
      <name val="Calibri"/>
      <family val="2"/>
      <scheme val="minor"/>
    </font>
    <font>
      <sz val="11"/>
      <name val="Calibri"/>
      <family val="2"/>
      <scheme val="minor"/>
    </font>
    <font>
      <sz val="11"/>
      <color theme="0" tint="-4.9989318521683403E-2"/>
      <name val="Calibri"/>
      <family val="2"/>
      <scheme val="minor"/>
    </font>
    <font>
      <sz val="11"/>
      <color rgb="FF0000FF"/>
      <name val="Calibri"/>
      <family val="2"/>
      <scheme val="minor"/>
    </font>
    <font>
      <sz val="11"/>
      <color theme="4" tint="-0.249977111117893"/>
      <name val="Calibri"/>
      <family val="2"/>
      <scheme val="minor"/>
    </font>
    <font>
      <sz val="11"/>
      <color theme="1"/>
      <name val="Century Gothic"/>
      <family val="2"/>
    </font>
    <font>
      <i/>
      <sz val="11"/>
      <color theme="1"/>
      <name val="Century Gothic"/>
      <family val="2"/>
    </font>
    <font>
      <b/>
      <sz val="12"/>
      <color theme="1"/>
      <name val="Century Gothic"/>
      <family val="2"/>
    </font>
    <font>
      <sz val="11"/>
      <color theme="0"/>
      <name val="Century Gothic"/>
      <family val="2"/>
    </font>
    <font>
      <b/>
      <sz val="11"/>
      <name val="Century Gothic"/>
      <family val="2"/>
    </font>
    <font>
      <sz val="11"/>
      <name val="Century Gothic"/>
      <family val="2"/>
    </font>
    <font>
      <sz val="11"/>
      <color rgb="FFFF0000"/>
      <name val="Century Gothic"/>
      <family val="2"/>
    </font>
    <font>
      <sz val="11"/>
      <color rgb="FF000000"/>
      <name val="Century Gothic"/>
      <family val="2"/>
    </font>
    <font>
      <sz val="11"/>
      <color indexed="12"/>
      <name val="Century Gothic"/>
      <family val="2"/>
    </font>
    <font>
      <b/>
      <i/>
      <sz val="11"/>
      <color theme="1"/>
      <name val="Century Gothic"/>
      <family val="2"/>
    </font>
    <font>
      <u/>
      <sz val="11"/>
      <color theme="1"/>
      <name val="Century Gothic"/>
      <family val="2"/>
    </font>
    <font>
      <b/>
      <u/>
      <sz val="11"/>
      <color theme="1"/>
      <name val="Century Gothic"/>
      <family val="2"/>
    </font>
    <font>
      <b/>
      <sz val="11"/>
      <color theme="1"/>
      <name val="Century Gothic"/>
      <family val="2"/>
    </font>
    <font>
      <b/>
      <sz val="14"/>
      <color theme="0"/>
      <name val="Calibri"/>
      <family val="2"/>
      <scheme val="minor"/>
    </font>
    <font>
      <sz val="11"/>
      <color indexed="12"/>
      <name val="Calibri"/>
      <family val="2"/>
      <scheme val="minor"/>
    </font>
    <font>
      <b/>
      <sz val="12"/>
      <color theme="1"/>
      <name val="Calibri"/>
      <family val="2"/>
      <scheme val="minor"/>
    </font>
    <font>
      <i/>
      <sz val="10"/>
      <color theme="1"/>
      <name val="Calibri"/>
      <family val="2"/>
      <scheme val="minor"/>
    </font>
    <font>
      <u val="singleAccounting"/>
      <sz val="11"/>
      <name val="Calibri"/>
      <family val="2"/>
      <scheme val="minor"/>
    </font>
    <font>
      <b/>
      <i/>
      <sz val="11"/>
      <color theme="1"/>
      <name val="Calibri"/>
      <family val="2"/>
      <scheme val="minor"/>
    </font>
    <font>
      <i/>
      <u/>
      <sz val="10"/>
      <color theme="1"/>
      <name val="Calibri"/>
      <family val="2"/>
      <scheme val="minor"/>
    </font>
    <font>
      <i/>
      <sz val="11"/>
      <color theme="1"/>
      <name val="Calibri"/>
      <family val="2"/>
      <scheme val="minor"/>
    </font>
    <font>
      <b/>
      <u/>
      <sz val="11"/>
      <color theme="1"/>
      <name val="Calibri"/>
      <family val="2"/>
      <scheme val="minor"/>
    </font>
    <font>
      <sz val="9"/>
      <color theme="1"/>
      <name val="Calibri"/>
      <family val="2"/>
      <scheme val="minor"/>
    </font>
    <font>
      <u/>
      <sz val="11"/>
      <name val="Calibri"/>
      <family val="2"/>
      <scheme val="minor"/>
    </font>
    <font>
      <b/>
      <sz val="9"/>
      <color rgb="FFFF0000"/>
      <name val="Calibri"/>
      <family val="2"/>
      <scheme val="minor"/>
    </font>
    <font>
      <b/>
      <sz val="12"/>
      <name val="Calibri"/>
      <family val="2"/>
      <scheme val="minor"/>
    </font>
    <font>
      <sz val="10"/>
      <color theme="1"/>
      <name val="Calibri"/>
      <family val="2"/>
      <scheme val="minor"/>
    </font>
    <font>
      <b/>
      <sz val="10"/>
      <name val="Calibri"/>
      <family val="2"/>
      <scheme val="minor"/>
    </font>
    <font>
      <sz val="10"/>
      <name val="Calibri"/>
      <family val="2"/>
      <scheme val="minor"/>
    </font>
    <font>
      <sz val="10"/>
      <color theme="4" tint="-0.249977111117893"/>
      <name val="Calibri"/>
      <family val="2"/>
      <scheme val="minor"/>
    </font>
    <font>
      <i/>
      <sz val="10"/>
      <name val="Calibri"/>
      <family val="2"/>
      <scheme val="minor"/>
    </font>
    <font>
      <b/>
      <sz val="10"/>
      <color theme="1"/>
      <name val="Calibri"/>
      <family val="2"/>
      <scheme val="minor"/>
    </font>
    <font>
      <sz val="8"/>
      <name val="Calibri"/>
      <family val="2"/>
      <scheme val="minor"/>
    </font>
    <font>
      <sz val="8"/>
      <color theme="1"/>
      <name val="Calibri Light"/>
      <family val="2"/>
    </font>
    <font>
      <b/>
      <sz val="11"/>
      <color theme="1"/>
      <name val="Calibri Light"/>
      <family val="2"/>
      <scheme val="major"/>
    </font>
    <font>
      <b/>
      <sz val="11"/>
      <name val="Calibri Light"/>
      <family val="2"/>
      <scheme val="major"/>
    </font>
    <font>
      <sz val="11"/>
      <name val="Calibri Light"/>
      <family val="2"/>
      <scheme val="major"/>
    </font>
    <font>
      <sz val="11"/>
      <color theme="1"/>
      <name val="Calibri Light"/>
      <family val="2"/>
      <scheme val="major"/>
    </font>
    <font>
      <sz val="10"/>
      <color theme="1"/>
      <name val="Calibri Light"/>
      <family val="2"/>
      <scheme val="major"/>
    </font>
    <font>
      <i/>
      <sz val="11"/>
      <name val="Calibri Light"/>
      <family val="2"/>
      <scheme val="major"/>
    </font>
    <font>
      <b/>
      <sz val="10"/>
      <color theme="1"/>
      <name val="Calibri Light"/>
      <family val="2"/>
      <scheme val="major"/>
    </font>
    <font>
      <i/>
      <sz val="10"/>
      <color theme="1"/>
      <name val="Calibri Light"/>
      <family val="2"/>
      <scheme val="major"/>
    </font>
    <font>
      <sz val="10"/>
      <name val="Arial"/>
      <family val="2"/>
    </font>
    <font>
      <sz val="10"/>
      <name val="Arial"/>
      <family val="2"/>
    </font>
    <font>
      <sz val="10"/>
      <color rgb="FFFF0000"/>
      <name val="Calibri"/>
      <family val="2"/>
      <scheme val="minor"/>
    </font>
    <font>
      <sz val="10"/>
      <color rgb="FF0000FF"/>
      <name val="Calibri"/>
      <family val="2"/>
      <scheme val="minor"/>
    </font>
    <font>
      <i/>
      <sz val="11"/>
      <name val="Calibri"/>
      <family val="2"/>
      <scheme val="minor"/>
    </font>
    <font>
      <b/>
      <sz val="10"/>
      <color rgb="FF0000FF"/>
      <name val="Calibri"/>
      <family val="2"/>
      <scheme val="minor"/>
    </font>
    <font>
      <b/>
      <sz val="11"/>
      <color theme="0"/>
      <name val="Calibri"/>
      <family val="2"/>
      <scheme val="minor"/>
    </font>
    <font>
      <sz val="10"/>
      <name val="Calibri Light"/>
      <family val="2"/>
    </font>
    <font>
      <sz val="11"/>
      <name val="Calibri Light"/>
      <family val="2"/>
    </font>
    <font>
      <b/>
      <sz val="10"/>
      <color theme="0"/>
      <name val="Calibri Light"/>
      <family val="2"/>
    </font>
    <font>
      <b/>
      <sz val="16"/>
      <name val="Calibri Light"/>
      <family val="2"/>
    </font>
    <font>
      <b/>
      <sz val="11"/>
      <name val="Calibri Light"/>
      <family val="2"/>
    </font>
    <font>
      <u/>
      <sz val="10"/>
      <color indexed="12"/>
      <name val="Arial"/>
      <family val="2"/>
    </font>
    <font>
      <u/>
      <sz val="10"/>
      <name val="Calibri Light"/>
      <family val="2"/>
    </font>
    <font>
      <u/>
      <sz val="10"/>
      <name val="Calibri Light"/>
      <family val="2"/>
      <scheme val="major"/>
    </font>
    <font>
      <u/>
      <sz val="11"/>
      <name val="Calibri Light"/>
      <family val="2"/>
    </font>
    <font>
      <sz val="10"/>
      <color rgb="FF444444"/>
      <name val="Calibri"/>
      <family val="2"/>
      <scheme val="minor"/>
    </font>
    <font>
      <sz val="9"/>
      <color theme="1"/>
      <name val="Symbol"/>
      <family val="1"/>
      <charset val="2"/>
    </font>
    <font>
      <sz val="9"/>
      <color theme="1"/>
      <name val="Courier New"/>
      <family val="3"/>
    </font>
    <font>
      <sz val="10"/>
      <color theme="0"/>
      <name val="Calibri"/>
      <family val="2"/>
      <scheme val="minor"/>
    </font>
    <font>
      <sz val="11"/>
      <color rgb="FF0000FF"/>
      <name val="Calibri Light"/>
      <family val="2"/>
      <scheme val="major"/>
    </font>
    <font>
      <b/>
      <u/>
      <sz val="11"/>
      <name val="Calibri Light"/>
      <family val="2"/>
      <scheme val="major"/>
    </font>
    <font>
      <u/>
      <sz val="11"/>
      <name val="Calibri Light"/>
      <family val="2"/>
      <scheme val="major"/>
    </font>
    <font>
      <sz val="10"/>
      <name val="Calibri Light"/>
      <family val="2"/>
      <scheme val="major"/>
    </font>
    <font>
      <i/>
      <sz val="10"/>
      <name val="Calibri Light"/>
      <family val="2"/>
      <scheme val="major"/>
    </font>
    <font>
      <b/>
      <sz val="11"/>
      <color theme="7" tint="-0.249977111117893"/>
      <name val="Calibri"/>
      <family val="2"/>
      <scheme val="minor"/>
    </font>
    <font>
      <i/>
      <sz val="11"/>
      <color theme="1"/>
      <name val="Calibri Light"/>
      <family val="2"/>
      <scheme val="major"/>
    </font>
    <font>
      <u/>
      <sz val="11"/>
      <color rgb="FF000000"/>
      <name val="Calibri"/>
      <family val="2"/>
      <scheme val="minor"/>
    </font>
    <font>
      <sz val="11"/>
      <color rgb="FF000000"/>
      <name val="Calibri"/>
      <family val="2"/>
      <scheme val="minor"/>
    </font>
    <font>
      <sz val="10"/>
      <color theme="1"/>
      <name val="Calibri"/>
      <family val="2"/>
    </font>
    <font>
      <sz val="10"/>
      <color rgb="FF0000FF"/>
      <name val="Calibri"/>
      <family val="2"/>
    </font>
    <font>
      <i/>
      <sz val="11"/>
      <color rgb="FF0000FF"/>
      <name val="Calibri Light"/>
      <family val="2"/>
      <scheme val="major"/>
    </font>
    <font>
      <sz val="11"/>
      <color theme="5"/>
      <name val="Calibri"/>
      <family val="2"/>
      <scheme val="minor"/>
    </font>
  </fonts>
  <fills count="1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C7C6C7"/>
        <bgColor indexed="64"/>
      </patternFill>
    </fill>
    <fill>
      <patternFill patternType="solid">
        <fgColor rgb="FF57B7C3"/>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57B7C3"/>
        <bgColor rgb="FF000000"/>
      </patternFill>
    </fill>
    <fill>
      <patternFill patternType="solid">
        <fgColor rgb="FFC7C6C7"/>
        <bgColor rgb="FF000000"/>
      </patternFill>
    </fill>
    <fill>
      <patternFill patternType="solid">
        <fgColor theme="9"/>
        <bgColor indexed="64"/>
      </patternFill>
    </fill>
    <fill>
      <patternFill patternType="solid">
        <fgColor theme="5"/>
        <bgColor indexed="64"/>
      </patternFill>
    </fill>
    <fill>
      <patternFill patternType="solid">
        <fgColor theme="4"/>
        <bgColor indexed="64"/>
      </patternFill>
    </fill>
    <fill>
      <patternFill patternType="solid">
        <fgColor rgb="FF142D39"/>
        <bgColor indexed="64"/>
      </patternFill>
    </fill>
    <fill>
      <patternFill patternType="solid">
        <fgColor theme="5" tint="0.39997558519241921"/>
        <bgColor indexed="64"/>
      </patternFill>
    </fill>
    <fill>
      <patternFill patternType="solid">
        <fgColor theme="7" tint="0.39997558519241921"/>
        <bgColor indexed="64"/>
      </patternFill>
    </fill>
  </fills>
  <borders count="47">
    <border>
      <left/>
      <right/>
      <top/>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medium">
        <color indexed="64"/>
      </left>
      <right/>
      <top/>
      <bottom/>
      <diagonal/>
    </border>
    <border>
      <left style="thin">
        <color indexed="64"/>
      </left>
      <right style="thin">
        <color indexed="64"/>
      </right>
      <top style="thin">
        <color indexed="64"/>
      </top>
      <bottom/>
      <diagonal/>
    </border>
    <border>
      <left/>
      <right style="medium">
        <color indexed="64"/>
      </right>
      <top/>
      <bottom style="thin">
        <color auto="1"/>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auto="1"/>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double">
        <color indexed="64"/>
      </bottom>
      <diagonal/>
    </border>
    <border>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auto="1"/>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s>
  <cellStyleXfs count="11">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4" fillId="0" borderId="0"/>
    <xf numFmtId="9" fontId="44" fillId="0" borderId="0" applyFont="0" applyFill="0" applyBorder="0" applyAlignment="0" applyProtection="0"/>
    <xf numFmtId="0" fontId="54" fillId="0" borderId="0"/>
    <xf numFmtId="44" fontId="53" fillId="0" borderId="0" applyFont="0" applyFill="0" applyBorder="0" applyAlignment="0" applyProtection="0"/>
    <xf numFmtId="0" fontId="44" fillId="0" borderId="0"/>
    <xf numFmtId="0" fontId="53" fillId="0" borderId="0"/>
    <xf numFmtId="0" fontId="65" fillId="0" borderId="0" applyNumberFormat="0" applyFill="0" applyBorder="0" applyAlignment="0" applyProtection="0">
      <alignment vertical="top"/>
      <protection locked="0"/>
    </xf>
  </cellStyleXfs>
  <cellXfs count="1358">
    <xf numFmtId="0" fontId="0" fillId="0" borderId="0" xfId="0"/>
    <xf numFmtId="0" fontId="0" fillId="2" borderId="0" xfId="0" applyFill="1"/>
    <xf numFmtId="0" fontId="0" fillId="3" borderId="0" xfId="0" applyFill="1"/>
    <xf numFmtId="44" fontId="0" fillId="2" borderId="0" xfId="2" applyFont="1" applyFill="1" applyAlignment="1" applyProtection="1">
      <alignment horizontal="center"/>
    </xf>
    <xf numFmtId="0" fontId="0" fillId="2" borderId="0" xfId="0" applyFill="1" applyAlignment="1">
      <alignment horizontal="center"/>
    </xf>
    <xf numFmtId="0" fontId="0" fillId="2" borderId="0" xfId="0" applyFill="1" applyAlignment="1">
      <alignment horizontal="left"/>
    </xf>
    <xf numFmtId="10" fontId="0" fillId="2" borderId="0" xfId="0" applyNumberFormat="1" applyFill="1" applyAlignment="1">
      <alignment horizontal="center"/>
    </xf>
    <xf numFmtId="165" fontId="0" fillId="3" borderId="9" xfId="3" applyNumberFormat="1" applyFont="1" applyFill="1" applyBorder="1" applyAlignment="1">
      <alignment horizontal="left"/>
    </xf>
    <xf numFmtId="164" fontId="0" fillId="3" borderId="9" xfId="3" applyNumberFormat="1" applyFont="1" applyFill="1" applyBorder="1" applyAlignment="1">
      <alignment horizontal="left"/>
    </xf>
    <xf numFmtId="0" fontId="0" fillId="3" borderId="9" xfId="0" applyFill="1" applyBorder="1"/>
    <xf numFmtId="166" fontId="0" fillId="2" borderId="0" xfId="0" applyNumberFormat="1" applyFill="1"/>
    <xf numFmtId="0" fontId="6" fillId="3" borderId="9" xfId="0" applyFont="1" applyFill="1" applyBorder="1"/>
    <xf numFmtId="38" fontId="0" fillId="2" borderId="0" xfId="0" applyNumberFormat="1" applyFill="1"/>
    <xf numFmtId="0" fontId="7" fillId="3" borderId="9" xfId="0" applyFont="1" applyFill="1" applyBorder="1" applyAlignment="1">
      <alignment horizontal="left"/>
    </xf>
    <xf numFmtId="14" fontId="7" fillId="3" borderId="12" xfId="0" applyNumberFormat="1" applyFont="1" applyFill="1" applyBorder="1" applyAlignment="1">
      <alignment horizontal="center"/>
    </xf>
    <xf numFmtId="14" fontId="7" fillId="3" borderId="12" xfId="0" applyNumberFormat="1" applyFont="1" applyFill="1" applyBorder="1" applyAlignment="1">
      <alignment horizontal="center" wrapText="1"/>
    </xf>
    <xf numFmtId="168" fontId="7" fillId="3" borderId="24" xfId="0" applyNumberFormat="1" applyFont="1" applyFill="1" applyBorder="1" applyAlignment="1">
      <alignment horizontal="left"/>
    </xf>
    <xf numFmtId="169" fontId="7" fillId="3" borderId="26" xfId="0" applyNumberFormat="1" applyFont="1" applyFill="1" applyBorder="1" applyAlignment="1">
      <alignment horizontal="center" wrapText="1"/>
    </xf>
    <xf numFmtId="14" fontId="7" fillId="3" borderId="26" xfId="0" applyNumberFormat="1" applyFont="1" applyFill="1" applyBorder="1" applyAlignment="1">
      <alignment horizontal="center" wrapText="1"/>
    </xf>
    <xf numFmtId="168" fontId="7" fillId="3" borderId="27" xfId="0" applyNumberFormat="1" applyFont="1" applyFill="1" applyBorder="1"/>
    <xf numFmtId="169" fontId="7" fillId="4" borderId="28" xfId="0" applyNumberFormat="1" applyFont="1" applyFill="1" applyBorder="1" applyAlignment="1">
      <alignment horizontal="center" wrapText="1"/>
    </xf>
    <xf numFmtId="169" fontId="7" fillId="4" borderId="29" xfId="0" applyNumberFormat="1" applyFont="1" applyFill="1" applyBorder="1" applyAlignment="1">
      <alignment horizontal="center" wrapText="1"/>
    </xf>
    <xf numFmtId="14" fontId="7" fillId="4" borderId="29" xfId="0" applyNumberFormat="1" applyFont="1" applyFill="1" applyBorder="1" applyAlignment="1">
      <alignment horizontal="center" wrapText="1"/>
    </xf>
    <xf numFmtId="168" fontId="7" fillId="4" borderId="30" xfId="0" applyNumberFormat="1" applyFont="1" applyFill="1" applyBorder="1"/>
    <xf numFmtId="4" fontId="7" fillId="2" borderId="0" xfId="2" applyNumberFormat="1" applyFont="1" applyFill="1" applyBorder="1" applyAlignment="1" applyProtection="1">
      <alignment horizontal="center"/>
    </xf>
    <xf numFmtId="3" fontId="0" fillId="2" borderId="0" xfId="2" applyNumberFormat="1" applyFont="1" applyFill="1" applyBorder="1" applyAlignment="1" applyProtection="1">
      <alignment horizontal="center"/>
    </xf>
    <xf numFmtId="4" fontId="7" fillId="3" borderId="1" xfId="2" applyNumberFormat="1" applyFont="1" applyFill="1" applyBorder="1" applyAlignment="1" applyProtection="1">
      <alignment horizontal="center"/>
    </xf>
    <xf numFmtId="3" fontId="0" fillId="3" borderId="2" xfId="2" applyNumberFormat="1" applyFont="1" applyFill="1" applyBorder="1" applyAlignment="1" applyProtection="1">
      <alignment horizontal="center"/>
    </xf>
    <xf numFmtId="44" fontId="0" fillId="3" borderId="0" xfId="2" applyFont="1" applyFill="1" applyBorder="1" applyAlignment="1" applyProtection="1">
      <alignment horizontal="center"/>
    </xf>
    <xf numFmtId="10" fontId="3" fillId="3" borderId="8" xfId="0" applyNumberFormat="1" applyFont="1" applyFill="1" applyBorder="1" applyAlignment="1">
      <alignment horizontal="center"/>
    </xf>
    <xf numFmtId="0" fontId="0" fillId="3" borderId="5" xfId="0" applyFill="1" applyBorder="1"/>
    <xf numFmtId="3" fontId="0" fillId="3" borderId="0" xfId="2" applyNumberFormat="1" applyFont="1" applyFill="1" applyBorder="1" applyAlignment="1" applyProtection="1">
      <alignment horizontal="center"/>
    </xf>
    <xf numFmtId="4" fontId="7" fillId="3" borderId="5" xfId="2" applyNumberFormat="1" applyFont="1" applyFill="1" applyBorder="1" applyAlignment="1" applyProtection="1">
      <alignment horizontal="center"/>
    </xf>
    <xf numFmtId="38" fontId="0" fillId="3" borderId="0" xfId="2" applyNumberFormat="1" applyFont="1" applyFill="1" applyBorder="1" applyAlignment="1" applyProtection="1">
      <alignment horizontal="center"/>
    </xf>
    <xf numFmtId="0" fontId="0" fillId="3" borderId="9" xfId="0" applyFill="1" applyBorder="1" applyAlignment="1">
      <alignment horizontal="left" indent="1"/>
    </xf>
    <xf numFmtId="44" fontId="7" fillId="3" borderId="11" xfId="2" applyFont="1" applyFill="1" applyBorder="1" applyAlignment="1" applyProtection="1">
      <alignment horizontal="center" vertical="center" wrapText="1"/>
    </xf>
    <xf numFmtId="44" fontId="7" fillId="3" borderId="12" xfId="2" applyFont="1" applyFill="1" applyBorder="1" applyAlignment="1" applyProtection="1">
      <alignment horizontal="center" vertical="center" wrapText="1"/>
    </xf>
    <xf numFmtId="166" fontId="0" fillId="3" borderId="25" xfId="0" applyNumberFormat="1" applyFill="1" applyBorder="1"/>
    <xf numFmtId="44" fontId="7" fillId="4" borderId="1" xfId="2" applyFont="1" applyFill="1" applyBorder="1" applyAlignment="1" applyProtection="1">
      <alignment horizontal="center" vertical="center" wrapText="1"/>
    </xf>
    <xf numFmtId="44" fontId="7" fillId="4" borderId="2" xfId="2" applyFont="1" applyFill="1" applyBorder="1" applyAlignment="1" applyProtection="1">
      <alignment horizontal="center" vertical="center" wrapText="1"/>
    </xf>
    <xf numFmtId="169" fontId="7" fillId="4" borderId="2" xfId="0" applyNumberFormat="1" applyFont="1" applyFill="1" applyBorder="1" applyAlignment="1">
      <alignment horizontal="center" wrapText="1"/>
    </xf>
    <xf numFmtId="14" fontId="7" fillId="4" borderId="2" xfId="0" applyNumberFormat="1" applyFont="1" applyFill="1" applyBorder="1" applyAlignment="1">
      <alignment horizontal="center" wrapText="1"/>
    </xf>
    <xf numFmtId="168" fontId="7" fillId="4" borderId="4" xfId="0" applyNumberFormat="1" applyFont="1" applyFill="1" applyBorder="1"/>
    <xf numFmtId="44" fontId="0" fillId="2" borderId="0" xfId="2" applyFont="1" applyFill="1" applyBorder="1" applyAlignment="1" applyProtection="1">
      <alignment horizontal="center"/>
    </xf>
    <xf numFmtId="4" fontId="0" fillId="3" borderId="1" xfId="2" applyNumberFormat="1" applyFont="1" applyFill="1" applyBorder="1" applyAlignment="1" applyProtection="1">
      <alignment horizontal="center"/>
    </xf>
    <xf numFmtId="4" fontId="0" fillId="3" borderId="5" xfId="2" applyNumberFormat="1" applyFont="1" applyFill="1" applyBorder="1" applyAlignment="1" applyProtection="1">
      <alignment horizontal="center"/>
    </xf>
    <xf numFmtId="4" fontId="7" fillId="3" borderId="31" xfId="2" applyNumberFormat="1" applyFont="1" applyFill="1" applyBorder="1" applyAlignment="1" applyProtection="1">
      <alignment horizontal="center"/>
    </xf>
    <xf numFmtId="3" fontId="0" fillId="3" borderId="32" xfId="2" applyNumberFormat="1" applyFont="1" applyFill="1" applyBorder="1" applyAlignment="1" applyProtection="1">
      <alignment horizontal="center"/>
    </xf>
    <xf numFmtId="38" fontId="0" fillId="3" borderId="32" xfId="2" applyNumberFormat="1" applyFont="1" applyFill="1" applyBorder="1" applyAlignment="1" applyProtection="1">
      <alignment horizontal="center"/>
    </xf>
    <xf numFmtId="38" fontId="0" fillId="3" borderId="33" xfId="2" applyNumberFormat="1" applyFont="1" applyFill="1" applyBorder="1" applyAlignment="1" applyProtection="1">
      <alignment horizontal="center"/>
    </xf>
    <xf numFmtId="170" fontId="8" fillId="3" borderId="0" xfId="3" applyNumberFormat="1" applyFont="1" applyFill="1" applyBorder="1" applyAlignment="1">
      <alignment horizontal="left"/>
    </xf>
    <xf numFmtId="3" fontId="0" fillId="3" borderId="8" xfId="2" applyNumberFormat="1" applyFont="1" applyFill="1" applyBorder="1" applyAlignment="1" applyProtection="1">
      <alignment horizontal="center"/>
    </xf>
    <xf numFmtId="3" fontId="0" fillId="3" borderId="17" xfId="2" applyNumberFormat="1" applyFont="1" applyFill="1" applyBorder="1" applyAlignment="1" applyProtection="1">
      <alignment horizontal="center"/>
    </xf>
    <xf numFmtId="4" fontId="7" fillId="3" borderId="11" xfId="2" applyNumberFormat="1" applyFont="1" applyFill="1" applyBorder="1" applyAlignment="1" applyProtection="1">
      <alignment horizontal="center"/>
    </xf>
    <xf numFmtId="3" fontId="0" fillId="3" borderId="12" xfId="2" applyNumberFormat="1" applyFont="1" applyFill="1" applyBorder="1" applyAlignment="1" applyProtection="1">
      <alignment horizontal="center"/>
    </xf>
    <xf numFmtId="3" fontId="0" fillId="3" borderId="15" xfId="2" applyNumberFormat="1" applyFont="1" applyFill="1" applyBorder="1" applyAlignment="1" applyProtection="1">
      <alignment horizontal="center"/>
    </xf>
    <xf numFmtId="3" fontId="0" fillId="3" borderId="10" xfId="2" applyNumberFormat="1" applyFont="1" applyFill="1" applyBorder="1" applyAlignment="1" applyProtection="1">
      <alignment horizontal="center"/>
    </xf>
    <xf numFmtId="4" fontId="7" fillId="3" borderId="20" xfId="2" applyNumberFormat="1" applyFont="1" applyFill="1" applyBorder="1" applyAlignment="1" applyProtection="1">
      <alignment horizontal="center"/>
    </xf>
    <xf numFmtId="3" fontId="0" fillId="3" borderId="21" xfId="2" applyNumberFormat="1" applyFont="1" applyFill="1" applyBorder="1" applyAlignment="1" applyProtection="1">
      <alignment horizontal="center"/>
    </xf>
    <xf numFmtId="38" fontId="0" fillId="3" borderId="21" xfId="2" applyNumberFormat="1" applyFont="1" applyFill="1" applyBorder="1" applyAlignment="1" applyProtection="1">
      <alignment horizontal="center"/>
    </xf>
    <xf numFmtId="38" fontId="0" fillId="3" borderId="23" xfId="2" applyNumberFormat="1" applyFont="1" applyFill="1" applyBorder="1" applyAlignment="1" applyProtection="1">
      <alignment horizontal="center"/>
    </xf>
    <xf numFmtId="4" fontId="0" fillId="3" borderId="11" xfId="2" applyNumberFormat="1" applyFont="1" applyFill="1" applyBorder="1" applyAlignment="1" applyProtection="1">
      <alignment horizontal="center"/>
    </xf>
    <xf numFmtId="4" fontId="7" fillId="3" borderId="16" xfId="2" applyNumberFormat="1" applyFont="1" applyFill="1" applyBorder="1" applyAlignment="1" applyProtection="1">
      <alignment horizontal="center" vertical="center" wrapText="1"/>
    </xf>
    <xf numFmtId="3" fontId="7" fillId="3" borderId="0" xfId="2" applyNumberFormat="1" applyFont="1" applyFill="1" applyBorder="1" applyAlignment="1" applyProtection="1">
      <alignment horizontal="center"/>
    </xf>
    <xf numFmtId="3" fontId="7" fillId="3" borderId="8" xfId="2" applyNumberFormat="1" applyFont="1" applyFill="1" applyBorder="1" applyAlignment="1" applyProtection="1">
      <alignment horizontal="center"/>
    </xf>
    <xf numFmtId="0" fontId="0" fillId="3" borderId="2" xfId="0" applyFill="1" applyBorder="1"/>
    <xf numFmtId="0" fontId="7" fillId="3" borderId="4" xfId="0" applyFont="1" applyFill="1" applyBorder="1" applyAlignment="1">
      <alignment horizontal="left" indent="1"/>
    </xf>
    <xf numFmtId="10" fontId="0" fillId="3" borderId="5" xfId="0" applyNumberFormat="1" applyFill="1" applyBorder="1"/>
    <xf numFmtId="0" fontId="7" fillId="3" borderId="9" xfId="0" applyFont="1" applyFill="1" applyBorder="1" applyAlignment="1">
      <alignment horizontal="left" indent="1"/>
    </xf>
    <xf numFmtId="3" fontId="9" fillId="3" borderId="9" xfId="2" applyNumberFormat="1" applyFont="1" applyFill="1" applyBorder="1" applyAlignment="1" applyProtection="1">
      <alignment horizontal="left" indent="1"/>
      <protection locked="0"/>
    </xf>
    <xf numFmtId="173" fontId="0" fillId="2" borderId="0" xfId="0" applyNumberFormat="1" applyFill="1" applyAlignment="1">
      <alignment horizontal="right"/>
    </xf>
    <xf numFmtId="0" fontId="0" fillId="3" borderId="4" xfId="0" applyFill="1" applyBorder="1"/>
    <xf numFmtId="10" fontId="0" fillId="3" borderId="0" xfId="3" applyNumberFormat="1" applyFont="1" applyFill="1" applyBorder="1"/>
    <xf numFmtId="0" fontId="3" fillId="3" borderId="25" xfId="0" applyFont="1" applyFill="1" applyBorder="1" applyAlignment="1">
      <alignment horizontal="left"/>
    </xf>
    <xf numFmtId="0" fontId="3" fillId="3" borderId="26" xfId="0" applyFont="1" applyFill="1" applyBorder="1" applyAlignment="1">
      <alignment horizontal="left"/>
    </xf>
    <xf numFmtId="0" fontId="3" fillId="3" borderId="27" xfId="0" applyFont="1" applyFill="1" applyBorder="1" applyAlignment="1">
      <alignment horizontal="left"/>
    </xf>
    <xf numFmtId="0" fontId="3" fillId="4" borderId="28" xfId="0" applyFont="1" applyFill="1" applyBorder="1" applyAlignment="1">
      <alignment horizontal="left"/>
    </xf>
    <xf numFmtId="0" fontId="3" fillId="4" borderId="29" xfId="0" applyFont="1" applyFill="1" applyBorder="1" applyAlignment="1">
      <alignment horizontal="left"/>
    </xf>
    <xf numFmtId="0" fontId="3" fillId="4" borderId="30" xfId="0" applyFont="1" applyFill="1" applyBorder="1" applyAlignment="1">
      <alignment horizontal="left"/>
    </xf>
    <xf numFmtId="0" fontId="3" fillId="5" borderId="28" xfId="0" applyFont="1" applyFill="1" applyBorder="1" applyAlignment="1">
      <alignment horizontal="left"/>
    </xf>
    <xf numFmtId="0" fontId="3" fillId="5" borderId="29" xfId="0" applyFont="1" applyFill="1" applyBorder="1" applyAlignment="1">
      <alignment horizontal="left"/>
    </xf>
    <xf numFmtId="0" fontId="3" fillId="5" borderId="30" xfId="0" applyFont="1" applyFill="1" applyBorder="1" applyAlignment="1">
      <alignment horizontal="left"/>
    </xf>
    <xf numFmtId="171" fontId="7" fillId="3" borderId="1" xfId="1" applyNumberFormat="1" applyFont="1" applyFill="1" applyBorder="1" applyAlignment="1">
      <alignment horizontal="right"/>
    </xf>
    <xf numFmtId="171" fontId="7" fillId="3" borderId="2" xfId="1" applyNumberFormat="1" applyFont="1" applyFill="1" applyBorder="1" applyAlignment="1">
      <alignment horizontal="right"/>
    </xf>
    <xf numFmtId="175" fontId="0" fillId="3" borderId="2" xfId="2" applyNumberFormat="1" applyFont="1" applyFill="1" applyBorder="1"/>
    <xf numFmtId="3" fontId="9" fillId="3" borderId="0" xfId="2" applyNumberFormat="1" applyFont="1" applyFill="1" applyBorder="1" applyAlignment="1" applyProtection="1">
      <alignment horizontal="center"/>
      <protection locked="0"/>
    </xf>
    <xf numFmtId="10" fontId="7" fillId="3" borderId="5" xfId="3" applyNumberFormat="1" applyFont="1" applyFill="1" applyBorder="1" applyAlignment="1">
      <alignment horizontal="right"/>
    </xf>
    <xf numFmtId="10" fontId="7" fillId="3" borderId="0" xfId="3" applyNumberFormat="1" applyFont="1" applyFill="1" applyBorder="1" applyAlignment="1">
      <alignment horizontal="right"/>
    </xf>
    <xf numFmtId="175" fontId="0" fillId="3" borderId="0" xfId="2" applyNumberFormat="1" applyFont="1" applyFill="1" applyBorder="1"/>
    <xf numFmtId="166" fontId="0" fillId="3" borderId="0" xfId="0" applyNumberFormat="1" applyFill="1"/>
    <xf numFmtId="166" fontId="7" fillId="3" borderId="5" xfId="1" applyNumberFormat="1" applyFont="1" applyFill="1" applyBorder="1" applyAlignment="1">
      <alignment horizontal="right"/>
    </xf>
    <xf numFmtId="166" fontId="7" fillId="3" borderId="0" xfId="1" applyNumberFormat="1" applyFont="1" applyFill="1" applyBorder="1" applyAlignment="1">
      <alignment horizontal="right"/>
    </xf>
    <xf numFmtId="10" fontId="7" fillId="3" borderId="0" xfId="1" applyNumberFormat="1" applyFont="1" applyFill="1" applyBorder="1" applyAlignment="1">
      <alignment horizontal="right"/>
    </xf>
    <xf numFmtId="166" fontId="3" fillId="4" borderId="28" xfId="0" applyNumberFormat="1" applyFont="1" applyFill="1" applyBorder="1" applyAlignment="1">
      <alignment horizontal="center"/>
    </xf>
    <xf numFmtId="166" fontId="3" fillId="4" borderId="29" xfId="0" applyNumberFormat="1" applyFont="1" applyFill="1" applyBorder="1" applyAlignment="1">
      <alignment horizontal="center"/>
    </xf>
    <xf numFmtId="0" fontId="3" fillId="4" borderId="30" xfId="0" applyFont="1" applyFill="1" applyBorder="1" applyAlignment="1">
      <alignment horizontal="center"/>
    </xf>
    <xf numFmtId="166" fontId="0" fillId="3" borderId="0" xfId="1" applyNumberFormat="1" applyFont="1" applyFill="1" applyBorder="1"/>
    <xf numFmtId="9" fontId="0" fillId="2" borderId="0" xfId="3" applyFont="1" applyFill="1"/>
    <xf numFmtId="170" fontId="0" fillId="2" borderId="0" xfId="3" applyNumberFormat="1" applyFont="1" applyFill="1"/>
    <xf numFmtId="166" fontId="3" fillId="3" borderId="5" xfId="0" applyNumberFormat="1" applyFont="1" applyFill="1" applyBorder="1"/>
    <xf numFmtId="166" fontId="6" fillId="3" borderId="0" xfId="1" applyNumberFormat="1" applyFont="1" applyFill="1" applyBorder="1"/>
    <xf numFmtId="0" fontId="3" fillId="3" borderId="9" xfId="0" applyFont="1" applyFill="1" applyBorder="1" applyAlignment="1">
      <alignment horizontal="left" indent="1"/>
    </xf>
    <xf numFmtId="166" fontId="0" fillId="3" borderId="26" xfId="1" applyNumberFormat="1" applyFont="1" applyFill="1" applyBorder="1"/>
    <xf numFmtId="0" fontId="0" fillId="3" borderId="27" xfId="0" applyFill="1" applyBorder="1"/>
    <xf numFmtId="166" fontId="0" fillId="3" borderId="5" xfId="1" applyNumberFormat="1" applyFont="1" applyFill="1" applyBorder="1"/>
    <xf numFmtId="0" fontId="0" fillId="3" borderId="9" xfId="0" applyFill="1" applyBorder="1" applyAlignment="1">
      <alignment horizontal="left" indent="2"/>
    </xf>
    <xf numFmtId="0" fontId="3" fillId="4" borderId="28" xfId="0" applyFont="1" applyFill="1" applyBorder="1" applyAlignment="1">
      <alignment horizontal="center"/>
    </xf>
    <xf numFmtId="0" fontId="3" fillId="4" borderId="29" xfId="0" applyFont="1" applyFill="1" applyBorder="1" applyAlignment="1">
      <alignment horizontal="center"/>
    </xf>
    <xf numFmtId="10" fontId="0" fillId="3" borderId="5" xfId="3" applyNumberFormat="1" applyFont="1" applyFill="1" applyBorder="1"/>
    <xf numFmtId="166" fontId="0" fillId="3" borderId="25" xfId="1" applyNumberFormat="1" applyFont="1" applyFill="1" applyBorder="1"/>
    <xf numFmtId="0" fontId="7" fillId="3" borderId="9" xfId="0" applyFont="1" applyFill="1" applyBorder="1" applyAlignment="1">
      <alignment horizontal="left" indent="2"/>
    </xf>
    <xf numFmtId="0" fontId="0" fillId="4" borderId="28" xfId="0" applyFill="1" applyBorder="1"/>
    <xf numFmtId="0" fontId="3" fillId="4" borderId="30" xfId="0" applyFont="1" applyFill="1" applyBorder="1"/>
    <xf numFmtId="171" fontId="7" fillId="3" borderId="5" xfId="1" applyNumberFormat="1" applyFont="1" applyFill="1" applyBorder="1" applyAlignment="1">
      <alignment horizontal="right"/>
    </xf>
    <xf numFmtId="171" fontId="7" fillId="3" borderId="0" xfId="1" applyNumberFormat="1" applyFont="1" applyFill="1" applyBorder="1" applyAlignment="1">
      <alignment horizontal="right"/>
    </xf>
    <xf numFmtId="166" fontId="7" fillId="3" borderId="5" xfId="1" applyNumberFormat="1" applyFont="1" applyFill="1" applyBorder="1"/>
    <xf numFmtId="41" fontId="7" fillId="3" borderId="1" xfId="0" applyNumberFormat="1" applyFont="1" applyFill="1" applyBorder="1" applyAlignment="1">
      <alignment horizontal="right"/>
    </xf>
    <xf numFmtId="41" fontId="7" fillId="3" borderId="2" xfId="0" applyNumberFormat="1" applyFont="1" applyFill="1" applyBorder="1" applyAlignment="1">
      <alignment horizontal="right"/>
    </xf>
    <xf numFmtId="41" fontId="7" fillId="3" borderId="5" xfId="0" applyNumberFormat="1" applyFont="1" applyFill="1" applyBorder="1" applyAlignment="1">
      <alignment horizontal="right"/>
    </xf>
    <xf numFmtId="41" fontId="7" fillId="3" borderId="0" xfId="0" applyNumberFormat="1" applyFont="1" applyFill="1" applyAlignment="1">
      <alignment horizontal="right"/>
    </xf>
    <xf numFmtId="170" fontId="10" fillId="3" borderId="5" xfId="3" applyNumberFormat="1" applyFont="1" applyFill="1" applyBorder="1"/>
    <xf numFmtId="176" fontId="7" fillId="3" borderId="5" xfId="0" applyNumberFormat="1" applyFont="1" applyFill="1" applyBorder="1" applyAlignment="1">
      <alignment horizontal="right" vertical="top" readingOrder="1"/>
    </xf>
    <xf numFmtId="166" fontId="7" fillId="3" borderId="5" xfId="1" applyNumberFormat="1" applyFont="1" applyFill="1" applyBorder="1" applyAlignment="1">
      <alignment horizontal="right" vertical="top" readingOrder="1"/>
    </xf>
    <xf numFmtId="166" fontId="7" fillId="3" borderId="0" xfId="1" applyNumberFormat="1" applyFont="1" applyFill="1" applyBorder="1" applyAlignment="1">
      <alignment horizontal="right" vertical="top" readingOrder="1"/>
    </xf>
    <xf numFmtId="166" fontId="7" fillId="3" borderId="0" xfId="0" applyNumberFormat="1" applyFont="1" applyFill="1" applyAlignment="1">
      <alignment horizontal="right"/>
    </xf>
    <xf numFmtId="10" fontId="7" fillId="3" borderId="5" xfId="3" applyNumberFormat="1" applyFont="1" applyFill="1" applyBorder="1" applyAlignment="1">
      <alignment horizontal="right" vertical="top" readingOrder="1"/>
    </xf>
    <xf numFmtId="10" fontId="7" fillId="3" borderId="0" xfId="3" applyNumberFormat="1" applyFont="1" applyFill="1" applyBorder="1" applyAlignment="1">
      <alignment horizontal="right" vertical="top" readingOrder="1"/>
    </xf>
    <xf numFmtId="3" fontId="7" fillId="3" borderId="10" xfId="2" applyNumberFormat="1" applyFont="1" applyFill="1" applyBorder="1" applyAlignment="1" applyProtection="1">
      <alignment horizontal="center"/>
    </xf>
    <xf numFmtId="43" fontId="0" fillId="2" borderId="0" xfId="0" applyNumberFormat="1" applyFill="1"/>
    <xf numFmtId="41" fontId="7" fillId="3" borderId="25" xfId="0" applyNumberFormat="1" applyFont="1" applyFill="1" applyBorder="1" applyAlignment="1">
      <alignment horizontal="right"/>
    </xf>
    <xf numFmtId="41" fontId="7" fillId="3" borderId="26" xfId="0" applyNumberFormat="1" applyFont="1" applyFill="1" applyBorder="1" applyAlignment="1">
      <alignment horizontal="right"/>
    </xf>
    <xf numFmtId="0" fontId="7" fillId="3" borderId="27" xfId="0" applyFont="1" applyFill="1" applyBorder="1" applyAlignment="1">
      <alignment horizontal="right"/>
    </xf>
    <xf numFmtId="10" fontId="7" fillId="4" borderId="28" xfId="0" applyNumberFormat="1" applyFont="1" applyFill="1" applyBorder="1" applyAlignment="1">
      <alignment horizontal="right"/>
    </xf>
    <xf numFmtId="10" fontId="7" fillId="4" borderId="29" xfId="0" applyNumberFormat="1" applyFont="1" applyFill="1" applyBorder="1" applyAlignment="1">
      <alignment horizontal="right"/>
    </xf>
    <xf numFmtId="10" fontId="7" fillId="4" borderId="29" xfId="0" quotePrefix="1" applyNumberFormat="1" applyFont="1" applyFill="1" applyBorder="1" applyAlignment="1">
      <alignment horizontal="right"/>
    </xf>
    <xf numFmtId="0" fontId="6" fillId="4" borderId="30" xfId="0" applyFont="1" applyFill="1" applyBorder="1" applyAlignment="1">
      <alignment horizontal="left" indent="1"/>
    </xf>
    <xf numFmtId="41" fontId="6" fillId="5" borderId="28" xfId="0" applyNumberFormat="1" applyFont="1" applyFill="1" applyBorder="1" applyAlignment="1">
      <alignment horizontal="right"/>
    </xf>
    <xf numFmtId="41" fontId="6" fillId="5" borderId="29" xfId="0" applyNumberFormat="1" applyFont="1" applyFill="1" applyBorder="1" applyAlignment="1">
      <alignment horizontal="right"/>
    </xf>
    <xf numFmtId="0" fontId="6" fillId="5" borderId="30" xfId="0" applyFont="1" applyFill="1" applyBorder="1" applyAlignment="1">
      <alignment horizontal="left" indent="1"/>
    </xf>
    <xf numFmtId="0" fontId="3" fillId="4" borderId="4" xfId="0" applyFont="1" applyFill="1" applyBorder="1"/>
    <xf numFmtId="166" fontId="0" fillId="3" borderId="26" xfId="0" applyNumberFormat="1" applyFill="1" applyBorder="1"/>
    <xf numFmtId="10" fontId="10" fillId="3" borderId="5" xfId="3" applyNumberFormat="1" applyFont="1" applyFill="1" applyBorder="1"/>
    <xf numFmtId="166" fontId="0" fillId="3" borderId="5" xfId="0" applyNumberFormat="1" applyFill="1" applyBorder="1"/>
    <xf numFmtId="44" fontId="7" fillId="3" borderId="5" xfId="2" applyFont="1" applyFill="1" applyBorder="1" applyAlignment="1" applyProtection="1">
      <alignment horizontal="center" vertical="center" wrapText="1"/>
    </xf>
    <xf numFmtId="44" fontId="7" fillId="3" borderId="0" xfId="2" applyFont="1" applyFill="1" applyBorder="1" applyAlignment="1" applyProtection="1">
      <alignment horizontal="center" vertical="center" wrapText="1"/>
    </xf>
    <xf numFmtId="168" fontId="7" fillId="3" borderId="9" xfId="0" applyNumberFormat="1" applyFont="1" applyFill="1" applyBorder="1" applyAlignment="1">
      <alignment horizontal="left"/>
    </xf>
    <xf numFmtId="43" fontId="10" fillId="3" borderId="5" xfId="1" applyFont="1" applyFill="1" applyBorder="1"/>
    <xf numFmtId="0" fontId="7" fillId="3" borderId="9" xfId="0" applyFont="1" applyFill="1" applyBorder="1" applyAlignment="1">
      <alignment horizontal="right"/>
    </xf>
    <xf numFmtId="44" fontId="7" fillId="3" borderId="25" xfId="2" applyFont="1" applyFill="1" applyBorder="1" applyAlignment="1" applyProtection="1">
      <alignment horizontal="center" vertical="center" wrapText="1"/>
    </xf>
    <xf numFmtId="44" fontId="7" fillId="3" borderId="26" xfId="2" applyFont="1" applyFill="1" applyBorder="1" applyAlignment="1" applyProtection="1">
      <alignment horizontal="center" vertical="center" wrapText="1"/>
    </xf>
    <xf numFmtId="168" fontId="7" fillId="3" borderId="27" xfId="0" applyNumberFormat="1" applyFont="1" applyFill="1" applyBorder="1" applyAlignment="1">
      <alignment horizontal="left"/>
    </xf>
    <xf numFmtId="0" fontId="3" fillId="4" borderId="28" xfId="0" applyFont="1" applyFill="1" applyBorder="1"/>
    <xf numFmtId="0" fontId="3" fillId="5" borderId="28" xfId="0" applyFont="1" applyFill="1" applyBorder="1"/>
    <xf numFmtId="0" fontId="3" fillId="5" borderId="30" xfId="0" applyFont="1" applyFill="1" applyBorder="1"/>
    <xf numFmtId="178" fontId="7" fillId="2" borderId="0" xfId="0" applyNumberFormat="1" applyFont="1" applyFill="1" applyAlignment="1">
      <alignment horizontal="center"/>
    </xf>
    <xf numFmtId="0" fontId="0" fillId="6" borderId="0" xfId="0" applyFill="1"/>
    <xf numFmtId="0" fontId="0" fillId="6" borderId="0" xfId="0" applyFill="1" applyAlignment="1">
      <alignment horizontal="center"/>
    </xf>
    <xf numFmtId="0" fontId="11" fillId="0" borderId="0" xfId="0" applyFont="1" applyAlignment="1">
      <alignment horizontal="center"/>
    </xf>
    <xf numFmtId="0" fontId="11" fillId="0" borderId="0" xfId="0" applyFont="1"/>
    <xf numFmtId="41" fontId="11" fillId="2" borderId="0" xfId="0" applyNumberFormat="1" applyFont="1" applyFill="1" applyAlignment="1">
      <alignment horizontal="right"/>
    </xf>
    <xf numFmtId="0" fontId="11" fillId="2" borderId="0" xfId="0" applyFont="1" applyFill="1"/>
    <xf numFmtId="174" fontId="11" fillId="2" borderId="0" xfId="0" applyNumberFormat="1" applyFont="1" applyFill="1" applyAlignment="1">
      <alignment horizontal="right"/>
    </xf>
    <xf numFmtId="0" fontId="11" fillId="2" borderId="0" xfId="0" applyFont="1" applyFill="1" applyAlignment="1">
      <alignment horizontal="right"/>
    </xf>
    <xf numFmtId="170" fontId="12" fillId="2" borderId="0" xfId="0" applyNumberFormat="1" applyFont="1" applyFill="1" applyAlignment="1">
      <alignment horizontal="left"/>
    </xf>
    <xf numFmtId="0" fontId="12" fillId="2" borderId="0" xfId="0" applyFont="1" applyFill="1" applyAlignment="1">
      <alignment horizontal="right"/>
    </xf>
    <xf numFmtId="174" fontId="11" fillId="7" borderId="0" xfId="0" applyNumberFormat="1" applyFont="1" applyFill="1" applyAlignment="1">
      <alignment horizontal="right"/>
    </xf>
    <xf numFmtId="0" fontId="11" fillId="7" borderId="0" xfId="0" applyFont="1" applyFill="1" applyAlignment="1">
      <alignment horizontal="right"/>
    </xf>
    <xf numFmtId="0" fontId="11" fillId="7" borderId="0" xfId="0" applyFont="1" applyFill="1"/>
    <xf numFmtId="0" fontId="13" fillId="7" borderId="0" xfId="0" applyFont="1" applyFill="1"/>
    <xf numFmtId="41" fontId="14" fillId="2" borderId="0" xfId="0" applyNumberFormat="1" applyFont="1" applyFill="1" applyAlignment="1">
      <alignment horizontal="right"/>
    </xf>
    <xf numFmtId="0" fontId="14" fillId="2" borderId="0" xfId="0" applyFont="1" applyFill="1"/>
    <xf numFmtId="10" fontId="15" fillId="0" borderId="0" xfId="0" applyNumberFormat="1" applyFont="1" applyAlignment="1">
      <alignment horizontal="right"/>
    </xf>
    <xf numFmtId="179" fontId="11" fillId="2" borderId="0" xfId="0" applyNumberFormat="1" applyFont="1" applyFill="1" applyAlignment="1">
      <alignment horizontal="left"/>
    </xf>
    <xf numFmtId="41" fontId="16" fillId="2" borderId="0" xfId="0" applyNumberFormat="1" applyFont="1" applyFill="1" applyAlignment="1">
      <alignment horizontal="right"/>
    </xf>
    <xf numFmtId="4" fontId="11" fillId="2" borderId="0" xfId="0" applyNumberFormat="1" applyFont="1" applyFill="1" applyAlignment="1">
      <alignment horizontal="left"/>
    </xf>
    <xf numFmtId="41" fontId="15" fillId="2" borderId="0" xfId="0" applyNumberFormat="1" applyFont="1" applyFill="1" applyAlignment="1">
      <alignment horizontal="right"/>
    </xf>
    <xf numFmtId="170" fontId="12" fillId="7" borderId="0" xfId="0" applyNumberFormat="1" applyFont="1" applyFill="1" applyAlignment="1">
      <alignment horizontal="left"/>
    </xf>
    <xf numFmtId="0" fontId="12" fillId="7" borderId="0" xfId="0" applyFont="1" applyFill="1" applyAlignment="1">
      <alignment horizontal="right"/>
    </xf>
    <xf numFmtId="3" fontId="17" fillId="2" borderId="0" xfId="0" applyNumberFormat="1" applyFont="1" applyFill="1" applyAlignment="1">
      <alignment horizontal="right"/>
    </xf>
    <xf numFmtId="180" fontId="11" fillId="2" borderId="0" xfId="0" applyNumberFormat="1" applyFont="1" applyFill="1" applyAlignment="1">
      <alignment horizontal="right"/>
    </xf>
    <xf numFmtId="10" fontId="11" fillId="2" borderId="0" xfId="0" applyNumberFormat="1" applyFont="1" applyFill="1" applyAlignment="1">
      <alignment horizontal="right"/>
    </xf>
    <xf numFmtId="41" fontId="16" fillId="0" borderId="0" xfId="0" applyNumberFormat="1" applyFont="1" applyAlignment="1" applyProtection="1">
      <alignment horizontal="right"/>
      <protection locked="0"/>
    </xf>
    <xf numFmtId="3" fontId="11" fillId="2" borderId="0" xfId="0" applyNumberFormat="1" applyFont="1" applyFill="1"/>
    <xf numFmtId="0" fontId="16" fillId="2" borderId="0" xfId="0" applyFont="1" applyFill="1"/>
    <xf numFmtId="41" fontId="18" fillId="0" borderId="0" xfId="0" applyNumberFormat="1" applyFont="1" applyAlignment="1" applyProtection="1">
      <alignment horizontal="right"/>
      <protection locked="0"/>
    </xf>
    <xf numFmtId="0" fontId="18" fillId="0" borderId="0" xfId="0" applyFont="1" applyAlignment="1">
      <alignment horizontal="left" indent="1"/>
    </xf>
    <xf numFmtId="173" fontId="18" fillId="2" borderId="0" xfId="0" applyNumberFormat="1" applyFont="1" applyFill="1" applyAlignment="1">
      <alignment horizontal="right"/>
    </xf>
    <xf numFmtId="173" fontId="18" fillId="0" borderId="0" xfId="0" applyNumberFormat="1" applyFont="1" applyAlignment="1" applyProtection="1">
      <alignment horizontal="right"/>
      <protection locked="0"/>
    </xf>
    <xf numFmtId="0" fontId="11" fillId="7" borderId="0" xfId="0" applyFont="1" applyFill="1" applyAlignment="1">
      <alignment horizontal="center"/>
    </xf>
    <xf numFmtId="6" fontId="17" fillId="2" borderId="0" xfId="0" applyNumberFormat="1" applyFont="1" applyFill="1"/>
    <xf numFmtId="0" fontId="17" fillId="2" borderId="0" xfId="0" applyFont="1" applyFill="1"/>
    <xf numFmtId="0" fontId="17" fillId="2" borderId="0" xfId="0" applyFont="1" applyFill="1" applyAlignment="1">
      <alignment horizontal="left" indent="1"/>
    </xf>
    <xf numFmtId="9" fontId="16" fillId="2" borderId="0" xfId="0" applyNumberFormat="1" applyFont="1" applyFill="1" applyAlignment="1">
      <alignment horizontal="right"/>
    </xf>
    <xf numFmtId="9" fontId="19" fillId="2" borderId="0" xfId="0" applyNumberFormat="1" applyFont="1" applyFill="1" applyAlignment="1">
      <alignment horizontal="right"/>
    </xf>
    <xf numFmtId="181" fontId="16" fillId="2" borderId="0" xfId="0" applyNumberFormat="1" applyFont="1" applyFill="1" applyAlignment="1">
      <alignment horizontal="left"/>
    </xf>
    <xf numFmtId="171" fontId="16" fillId="2" borderId="0" xfId="0" applyNumberFormat="1" applyFont="1" applyFill="1" applyAlignment="1">
      <alignment horizontal="right"/>
    </xf>
    <xf numFmtId="0" fontId="11" fillId="2" borderId="0" xfId="0" applyFont="1" applyFill="1" applyAlignment="1">
      <alignment horizontal="left" indent="1"/>
    </xf>
    <xf numFmtId="10" fontId="16" fillId="2" borderId="0" xfId="0" applyNumberFormat="1" applyFont="1" applyFill="1" applyAlignment="1">
      <alignment horizontal="right"/>
    </xf>
    <xf numFmtId="41" fontId="19" fillId="2" borderId="0" xfId="0" applyNumberFormat="1" applyFont="1" applyFill="1" applyAlignment="1">
      <alignment horizontal="right"/>
    </xf>
    <xf numFmtId="182" fontId="19" fillId="2" borderId="0" xfId="0" applyNumberFormat="1" applyFont="1" applyFill="1"/>
    <xf numFmtId="0" fontId="20" fillId="2" borderId="0" xfId="0" applyFont="1" applyFill="1" applyAlignment="1">
      <alignment horizontal="left"/>
    </xf>
    <xf numFmtId="171" fontId="16" fillId="2" borderId="0" xfId="0" applyNumberFormat="1" applyFont="1" applyFill="1"/>
    <xf numFmtId="10" fontId="16" fillId="2" borderId="0" xfId="0" applyNumberFormat="1" applyFont="1" applyFill="1"/>
    <xf numFmtId="41" fontId="16" fillId="2" borderId="0" xfId="0" applyNumberFormat="1" applyFont="1" applyFill="1"/>
    <xf numFmtId="181" fontId="16" fillId="7" borderId="0" xfId="0" applyNumberFormat="1" applyFont="1" applyFill="1" applyAlignment="1">
      <alignment horizontal="left"/>
    </xf>
    <xf numFmtId="182" fontId="19" fillId="7" borderId="0" xfId="0" applyNumberFormat="1" applyFont="1" applyFill="1"/>
    <xf numFmtId="0" fontId="11" fillId="2" borderId="0" xfId="0" applyFont="1" applyFill="1" applyAlignment="1">
      <alignment horizontal="center"/>
    </xf>
    <xf numFmtId="10" fontId="11" fillId="2" borderId="0" xfId="0" applyNumberFormat="1" applyFont="1" applyFill="1" applyAlignment="1">
      <alignment horizontal="center"/>
    </xf>
    <xf numFmtId="9" fontId="16" fillId="2" borderId="0" xfId="0" applyNumberFormat="1" applyFont="1" applyFill="1" applyAlignment="1">
      <alignment horizontal="center"/>
    </xf>
    <xf numFmtId="9" fontId="19" fillId="2" borderId="0" xfId="0" applyNumberFormat="1" applyFont="1" applyFill="1" applyAlignment="1">
      <alignment horizontal="center"/>
    </xf>
    <xf numFmtId="170" fontId="11" fillId="2" borderId="0" xfId="0" applyNumberFormat="1" applyFont="1" applyFill="1" applyAlignment="1">
      <alignment horizontal="center"/>
    </xf>
    <xf numFmtId="170" fontId="16" fillId="0" borderId="0" xfId="0" applyNumberFormat="1" applyFont="1" applyAlignment="1">
      <alignment horizontal="center"/>
    </xf>
    <xf numFmtId="170" fontId="18" fillId="0" borderId="0" xfId="0" applyNumberFormat="1" applyFont="1" applyAlignment="1">
      <alignment horizontal="center"/>
    </xf>
    <xf numFmtId="182" fontId="18" fillId="0" borderId="0" xfId="0" applyNumberFormat="1" applyFont="1" applyAlignment="1" applyProtection="1">
      <alignment horizontal="right"/>
      <protection locked="0"/>
    </xf>
    <xf numFmtId="183" fontId="19" fillId="0" borderId="0" xfId="0" applyNumberFormat="1" applyFont="1" applyAlignment="1">
      <alignment horizontal="right"/>
    </xf>
    <xf numFmtId="170" fontId="21" fillId="2" borderId="0" xfId="0" applyNumberFormat="1" applyFont="1" applyFill="1" applyAlignment="1">
      <alignment horizontal="center"/>
    </xf>
    <xf numFmtId="170" fontId="21" fillId="2" borderId="0" xfId="0" applyNumberFormat="1" applyFont="1" applyFill="1" applyAlignment="1">
      <alignment horizontal="left"/>
    </xf>
    <xf numFmtId="184" fontId="16" fillId="2" borderId="0" xfId="0" applyNumberFormat="1" applyFont="1" applyFill="1" applyAlignment="1">
      <alignment horizontal="left"/>
    </xf>
    <xf numFmtId="0" fontId="22" fillId="2" borderId="0" xfId="0" applyFont="1" applyFill="1" applyAlignment="1">
      <alignment horizontal="right"/>
    </xf>
    <xf numFmtId="0" fontId="22" fillId="2" borderId="0" xfId="0" applyFont="1" applyFill="1" applyAlignment="1">
      <alignment horizontal="center"/>
    </xf>
    <xf numFmtId="0" fontId="23" fillId="7" borderId="0" xfId="0" applyFont="1" applyFill="1" applyAlignment="1">
      <alignment horizontal="left"/>
    </xf>
    <xf numFmtId="0" fontId="23" fillId="7" borderId="0" xfId="0" applyFont="1" applyFill="1" applyAlignment="1">
      <alignment horizontal="right"/>
    </xf>
    <xf numFmtId="0" fontId="4" fillId="5" borderId="0" xfId="0" applyFont="1" applyFill="1" applyAlignment="1">
      <alignment horizontal="center"/>
    </xf>
    <xf numFmtId="0" fontId="4" fillId="5" borderId="0" xfId="0" applyFont="1" applyFill="1"/>
    <xf numFmtId="0" fontId="24" fillId="5" borderId="0" xfId="0" applyFont="1" applyFill="1"/>
    <xf numFmtId="0" fontId="0" fillId="2" borderId="0" xfId="0" applyFill="1" applyAlignment="1">
      <alignment horizontal="right"/>
    </xf>
    <xf numFmtId="3" fontId="2" fillId="2" borderId="0" xfId="0" applyNumberFormat="1" applyFont="1" applyFill="1" applyAlignment="1">
      <alignment horizontal="right"/>
    </xf>
    <xf numFmtId="10" fontId="0" fillId="2" borderId="0" xfId="0" applyNumberFormat="1" applyFill="1" applyAlignment="1">
      <alignment horizontal="right"/>
    </xf>
    <xf numFmtId="180" fontId="0" fillId="2" borderId="0" xfId="0" applyNumberFormat="1" applyFill="1" applyAlignment="1">
      <alignment horizontal="right"/>
    </xf>
    <xf numFmtId="41" fontId="7" fillId="0" borderId="0" xfId="0" applyNumberFormat="1" applyFont="1" applyAlignment="1" applyProtection="1">
      <alignment horizontal="right"/>
      <protection locked="0"/>
    </xf>
    <xf numFmtId="3" fontId="0" fillId="2" borderId="0" xfId="0" applyNumberFormat="1" applyFill="1"/>
    <xf numFmtId="0" fontId="7" fillId="2" borderId="0" xfId="0" applyFont="1" applyFill="1"/>
    <xf numFmtId="41" fontId="25" fillId="0" borderId="0" xfId="0" applyNumberFormat="1" applyFont="1" applyAlignment="1" applyProtection="1">
      <alignment horizontal="right"/>
      <protection locked="0"/>
    </xf>
    <xf numFmtId="0" fontId="25" fillId="0" borderId="0" xfId="0" applyFont="1" applyAlignment="1">
      <alignment horizontal="left" indent="1"/>
    </xf>
    <xf numFmtId="173" fontId="25" fillId="0" borderId="0" xfId="0" applyNumberFormat="1" applyFont="1" applyAlignment="1" applyProtection="1">
      <alignment horizontal="right"/>
      <protection locked="0"/>
    </xf>
    <xf numFmtId="0" fontId="7" fillId="6" borderId="0" xfId="0" applyFont="1" applyFill="1"/>
    <xf numFmtId="174" fontId="0" fillId="4" borderId="0" xfId="0" applyNumberFormat="1" applyFill="1" applyAlignment="1">
      <alignment horizontal="right"/>
    </xf>
    <xf numFmtId="0" fontId="0" fillId="4" borderId="0" xfId="0" applyFill="1" applyAlignment="1">
      <alignment horizontal="right"/>
    </xf>
    <xf numFmtId="0" fontId="0" fillId="4" borderId="0" xfId="0" applyFill="1" applyAlignment="1">
      <alignment horizontal="center"/>
    </xf>
    <xf numFmtId="0" fontId="0" fillId="4" borderId="0" xfId="0" applyFill="1"/>
    <xf numFmtId="0" fontId="26" fillId="4" borderId="0" xfId="0" applyFont="1" applyFill="1"/>
    <xf numFmtId="6" fontId="2" fillId="2" borderId="0" xfId="0" applyNumberFormat="1" applyFont="1" applyFill="1"/>
    <xf numFmtId="0" fontId="2" fillId="2" borderId="0" xfId="0" applyFont="1" applyFill="1"/>
    <xf numFmtId="0" fontId="2" fillId="2" borderId="0" xfId="0" applyFont="1" applyFill="1" applyAlignment="1">
      <alignment horizontal="left" indent="1"/>
    </xf>
    <xf numFmtId="9" fontId="7" fillId="2" borderId="0" xfId="0" applyNumberFormat="1" applyFont="1" applyFill="1" applyAlignment="1">
      <alignment horizontal="right"/>
    </xf>
    <xf numFmtId="9" fontId="25" fillId="2" borderId="0" xfId="0" applyNumberFormat="1" applyFont="1" applyFill="1" applyAlignment="1">
      <alignment horizontal="right"/>
    </xf>
    <xf numFmtId="181" fontId="7" fillId="2" borderId="0" xfId="0" applyNumberFormat="1" applyFont="1" applyFill="1" applyAlignment="1">
      <alignment horizontal="left"/>
    </xf>
    <xf numFmtId="171" fontId="7" fillId="2" borderId="0" xfId="0" applyNumberFormat="1" applyFont="1" applyFill="1" applyAlignment="1">
      <alignment horizontal="right"/>
    </xf>
    <xf numFmtId="0" fontId="27" fillId="2" borderId="0" xfId="0" applyFont="1" applyFill="1"/>
    <xf numFmtId="0" fontId="0" fillId="2" borderId="0" xfId="0" applyFill="1" applyAlignment="1">
      <alignment horizontal="left" indent="1"/>
    </xf>
    <xf numFmtId="41" fontId="6" fillId="5" borderId="30" xfId="0" applyNumberFormat="1" applyFont="1" applyFill="1" applyBorder="1" applyAlignment="1">
      <alignment horizontal="right"/>
    </xf>
    <xf numFmtId="10" fontId="7" fillId="2" borderId="0" xfId="0" applyNumberFormat="1" applyFont="1" applyFill="1" applyAlignment="1">
      <alignment horizontal="right"/>
    </xf>
    <xf numFmtId="41" fontId="0" fillId="2" borderId="0" xfId="0" applyNumberFormat="1" applyFill="1" applyAlignment="1">
      <alignment horizontal="right"/>
    </xf>
    <xf numFmtId="41" fontId="7" fillId="2" borderId="0" xfId="0" applyNumberFormat="1" applyFont="1" applyFill="1" applyAlignment="1">
      <alignment horizontal="right"/>
    </xf>
    <xf numFmtId="41" fontId="25" fillId="2" borderId="0" xfId="0" applyNumberFormat="1" applyFont="1" applyFill="1" applyAlignment="1">
      <alignment horizontal="right"/>
    </xf>
    <xf numFmtId="41" fontId="28" fillId="2" borderId="0" xfId="0" applyNumberFormat="1" applyFont="1" applyFill="1" applyAlignment="1">
      <alignment horizontal="right"/>
    </xf>
    <xf numFmtId="0" fontId="27" fillId="2" borderId="0" xfId="0" applyFont="1" applyFill="1" applyAlignment="1">
      <alignment horizontal="right"/>
    </xf>
    <xf numFmtId="182" fontId="25" fillId="2" borderId="0" xfId="0" applyNumberFormat="1" applyFont="1" applyFill="1"/>
    <xf numFmtId="0" fontId="29" fillId="2" borderId="0" xfId="0" applyFont="1" applyFill="1" applyAlignment="1">
      <alignment horizontal="left"/>
    </xf>
    <xf numFmtId="171" fontId="7" fillId="2" borderId="0" xfId="0" applyNumberFormat="1" applyFont="1" applyFill="1"/>
    <xf numFmtId="10" fontId="7" fillId="2" borderId="0" xfId="0" applyNumberFormat="1" applyFont="1" applyFill="1"/>
    <xf numFmtId="41" fontId="7" fillId="2" borderId="0" xfId="0" applyNumberFormat="1" applyFont="1" applyFill="1"/>
    <xf numFmtId="41" fontId="28" fillId="2" borderId="0" xfId="0" applyNumberFormat="1" applyFont="1" applyFill="1"/>
    <xf numFmtId="0" fontId="30" fillId="2" borderId="0" xfId="0" applyFont="1" applyFill="1" applyAlignment="1">
      <alignment horizontal="right"/>
    </xf>
    <xf numFmtId="181" fontId="7" fillId="4" borderId="0" xfId="0" applyNumberFormat="1" applyFont="1" applyFill="1" applyAlignment="1">
      <alignment horizontal="left"/>
    </xf>
    <xf numFmtId="182" fontId="25" fillId="4" borderId="0" xfId="0" applyNumberFormat="1" applyFont="1" applyFill="1"/>
    <xf numFmtId="9" fontId="7" fillId="2" borderId="0" xfId="0" applyNumberFormat="1" applyFont="1" applyFill="1" applyAlignment="1">
      <alignment horizontal="center"/>
    </xf>
    <xf numFmtId="9" fontId="25" fillId="2" borderId="0" xfId="0" applyNumberFormat="1" applyFont="1" applyFill="1" applyAlignment="1">
      <alignment horizontal="center"/>
    </xf>
    <xf numFmtId="170" fontId="0" fillId="2" borderId="0" xfId="0" applyNumberFormat="1" applyFill="1" applyAlignment="1">
      <alignment horizontal="center"/>
    </xf>
    <xf numFmtId="170" fontId="7" fillId="0" borderId="0" xfId="0" applyNumberFormat="1" applyFont="1" applyAlignment="1">
      <alignment horizontal="center"/>
    </xf>
    <xf numFmtId="170" fontId="25" fillId="0" borderId="0" xfId="0" applyNumberFormat="1" applyFont="1" applyAlignment="1">
      <alignment horizontal="center"/>
    </xf>
    <xf numFmtId="182" fontId="25" fillId="0" borderId="0" xfId="0" applyNumberFormat="1" applyFont="1" applyAlignment="1" applyProtection="1">
      <alignment horizontal="right"/>
      <protection locked="0"/>
    </xf>
    <xf numFmtId="183" fontId="25" fillId="0" borderId="0" xfId="0" applyNumberFormat="1" applyFont="1" applyAlignment="1">
      <alignment horizontal="right"/>
    </xf>
    <xf numFmtId="170" fontId="5" fillId="2" borderId="0" xfId="0" applyNumberFormat="1" applyFont="1" applyFill="1" applyAlignment="1">
      <alignment horizontal="center"/>
    </xf>
    <xf numFmtId="170" fontId="5" fillId="2" borderId="0" xfId="0" applyNumberFormat="1" applyFont="1" applyFill="1" applyAlignment="1">
      <alignment horizontal="left"/>
    </xf>
    <xf numFmtId="184" fontId="7" fillId="2" borderId="0" xfId="0" applyNumberFormat="1" applyFont="1" applyFill="1" applyAlignment="1">
      <alignment horizontal="left"/>
    </xf>
    <xf numFmtId="0" fontId="32" fillId="2" borderId="0" xfId="0" applyFont="1" applyFill="1" applyAlignment="1">
      <alignment horizontal="right"/>
    </xf>
    <xf numFmtId="0" fontId="32" fillId="2" borderId="0" xfId="0" applyFont="1" applyFill="1" applyAlignment="1">
      <alignment horizontal="center"/>
    </xf>
    <xf numFmtId="0" fontId="3" fillId="4" borderId="0" xfId="0" applyFont="1" applyFill="1" applyAlignment="1">
      <alignment horizontal="left"/>
    </xf>
    <xf numFmtId="0" fontId="3" fillId="4" borderId="0" xfId="0" applyFont="1" applyFill="1" applyAlignment="1">
      <alignment horizontal="right"/>
    </xf>
    <xf numFmtId="0" fontId="31" fillId="4" borderId="0" xfId="0" applyFont="1" applyFill="1"/>
    <xf numFmtId="0" fontId="31" fillId="4" borderId="0" xfId="0" applyFont="1" applyFill="1" applyAlignment="1">
      <alignment horizontal="right"/>
    </xf>
    <xf numFmtId="6" fontId="7" fillId="2" borderId="0" xfId="0" applyNumberFormat="1" applyFont="1" applyFill="1" applyAlignment="1">
      <alignment horizontal="right"/>
    </xf>
    <xf numFmtId="0" fontId="33" fillId="2" borderId="0" xfId="0" applyFont="1" applyFill="1" applyAlignment="1">
      <alignment horizontal="right" vertical="center"/>
    </xf>
    <xf numFmtId="185" fontId="33" fillId="2" borderId="0" xfId="0" applyNumberFormat="1" applyFont="1" applyFill="1" applyAlignment="1">
      <alignment horizontal="left" vertical="center"/>
    </xf>
    <xf numFmtId="41" fontId="34" fillId="2" borderId="0" xfId="0" applyNumberFormat="1" applyFont="1" applyFill="1" applyAlignment="1">
      <alignment horizontal="right"/>
    </xf>
    <xf numFmtId="0" fontId="35" fillId="2" borderId="0" xfId="0" applyFont="1" applyFill="1" applyAlignment="1">
      <alignment horizontal="left" vertical="center"/>
    </xf>
    <xf numFmtId="0" fontId="0" fillId="0" borderId="0" xfId="0" applyAlignment="1">
      <alignment horizontal="center"/>
    </xf>
    <xf numFmtId="0" fontId="26" fillId="0" borderId="0" xfId="0" applyFont="1" applyAlignment="1">
      <alignment horizontal="left"/>
    </xf>
    <xf numFmtId="0" fontId="4" fillId="2" borderId="0" xfId="0" applyFont="1" applyFill="1" applyAlignment="1">
      <alignment horizontal="center"/>
    </xf>
    <xf numFmtId="0" fontId="0" fillId="0" borderId="0" xfId="0" applyAlignment="1">
      <alignment horizontal="right"/>
    </xf>
    <xf numFmtId="0" fontId="4" fillId="0" borderId="0" xfId="0" applyFont="1" applyAlignment="1">
      <alignment horizontal="center"/>
    </xf>
    <xf numFmtId="0" fontId="25" fillId="0" borderId="0" xfId="0" applyFont="1" applyAlignment="1">
      <alignment horizontal="center"/>
    </xf>
    <xf numFmtId="0" fontId="7" fillId="0" borderId="0" xfId="0" applyFont="1" applyAlignment="1">
      <alignment horizontal="right"/>
    </xf>
    <xf numFmtId="0" fontId="4" fillId="2" borderId="0" xfId="0" applyFont="1" applyFill="1"/>
    <xf numFmtId="0" fontId="36" fillId="2" borderId="0" xfId="0" applyFont="1" applyFill="1"/>
    <xf numFmtId="170" fontId="25" fillId="0" borderId="0" xfId="0" applyNumberFormat="1" applyFont="1" applyAlignment="1">
      <alignment horizontal="right"/>
    </xf>
    <xf numFmtId="0" fontId="37" fillId="2" borderId="0" xfId="0" applyFont="1" applyFill="1"/>
    <xf numFmtId="0" fontId="38" fillId="5" borderId="30" xfId="0" applyFont="1" applyFill="1" applyBorder="1"/>
    <xf numFmtId="175" fontId="38" fillId="5" borderId="29" xfId="2" applyNumberFormat="1" applyFont="1" applyFill="1" applyBorder="1" applyAlignment="1">
      <alignment horizontal="right"/>
    </xf>
    <xf numFmtId="44" fontId="38" fillId="5" borderId="28" xfId="2" applyFont="1" applyFill="1" applyBorder="1" applyAlignment="1">
      <alignment horizontal="center"/>
    </xf>
    <xf numFmtId="0" fontId="38" fillId="2" borderId="0" xfId="0" applyFont="1" applyFill="1" applyAlignment="1">
      <alignment horizontal="center"/>
    </xf>
    <xf numFmtId="0" fontId="38" fillId="4" borderId="4" xfId="0" applyFont="1" applyFill="1" applyBorder="1"/>
    <xf numFmtId="175" fontId="38" fillId="4" borderId="2" xfId="2" applyNumberFormat="1" applyFont="1" applyFill="1" applyBorder="1" applyAlignment="1">
      <alignment horizontal="right"/>
    </xf>
    <xf numFmtId="44" fontId="38" fillId="4" borderId="1" xfId="2" applyFont="1" applyFill="1" applyBorder="1" applyAlignment="1">
      <alignment horizontal="center"/>
    </xf>
    <xf numFmtId="0" fontId="39" fillId="2" borderId="0" xfId="0" applyFont="1" applyFill="1" applyAlignment="1">
      <alignment horizontal="center"/>
    </xf>
    <xf numFmtId="0" fontId="39" fillId="3" borderId="27" xfId="0" applyFont="1" applyFill="1" applyBorder="1"/>
    <xf numFmtId="175" fontId="39" fillId="3" borderId="26" xfId="2" applyNumberFormat="1" applyFont="1" applyFill="1" applyBorder="1" applyAlignment="1">
      <alignment horizontal="right"/>
    </xf>
    <xf numFmtId="44" fontId="39" fillId="3" borderId="25" xfId="2" applyFont="1" applyFill="1" applyBorder="1" applyAlignment="1">
      <alignment horizontal="center"/>
    </xf>
    <xf numFmtId="0" fontId="38" fillId="3" borderId="9" xfId="0" applyFont="1" applyFill="1" applyBorder="1"/>
    <xf numFmtId="44" fontId="39" fillId="3" borderId="5" xfId="2" applyFont="1" applyFill="1" applyBorder="1" applyAlignment="1">
      <alignment horizontal="center"/>
    </xf>
    <xf numFmtId="0" fontId="39" fillId="3" borderId="9" xfId="0" applyFont="1" applyFill="1" applyBorder="1"/>
    <xf numFmtId="175" fontId="39" fillId="3" borderId="0" xfId="2" applyNumberFormat="1" applyFont="1" applyFill="1" applyBorder="1" applyAlignment="1">
      <alignment horizontal="right"/>
    </xf>
    <xf numFmtId="0" fontId="38" fillId="3" borderId="24" xfId="0" applyFont="1" applyFill="1" applyBorder="1"/>
    <xf numFmtId="6" fontId="39" fillId="3" borderId="12" xfId="2" applyNumberFormat="1" applyFont="1" applyFill="1" applyBorder="1" applyAlignment="1">
      <alignment horizontal="right"/>
    </xf>
    <xf numFmtId="44" fontId="39" fillId="3" borderId="11" xfId="2" applyFont="1" applyFill="1" applyBorder="1" applyAlignment="1">
      <alignment horizontal="center"/>
    </xf>
    <xf numFmtId="0" fontId="39" fillId="3" borderId="34" xfId="0" applyFont="1" applyFill="1" applyBorder="1" applyAlignment="1">
      <alignment horizontal="left" indent="1"/>
    </xf>
    <xf numFmtId="0" fontId="39" fillId="3" borderId="9" xfId="0" applyFont="1" applyFill="1" applyBorder="1" applyAlignment="1">
      <alignment horizontal="left" indent="1"/>
    </xf>
    <xf numFmtId="8" fontId="38" fillId="3" borderId="35" xfId="2" applyNumberFormat="1" applyFont="1" applyFill="1" applyBorder="1" applyAlignment="1">
      <alignment horizontal="left"/>
    </xf>
    <xf numFmtId="0" fontId="42" fillId="4" borderId="30" xfId="0" applyFont="1" applyFill="1" applyBorder="1"/>
    <xf numFmtId="0" fontId="37" fillId="4" borderId="29" xfId="0" applyFont="1" applyFill="1" applyBorder="1"/>
    <xf numFmtId="6" fontId="38" fillId="3" borderId="0" xfId="2" applyNumberFormat="1" applyFont="1" applyFill="1" applyBorder="1" applyAlignment="1">
      <alignment horizontal="right"/>
    </xf>
    <xf numFmtId="0" fontId="38" fillId="3" borderId="24" xfId="0" applyFont="1" applyFill="1" applyBorder="1" applyProtection="1">
      <protection hidden="1"/>
    </xf>
    <xf numFmtId="0" fontId="39" fillId="3" borderId="9" xfId="0" applyFont="1" applyFill="1" applyBorder="1" applyAlignment="1" applyProtection="1">
      <alignment horizontal="left" indent="1"/>
      <protection hidden="1"/>
    </xf>
    <xf numFmtId="0" fontId="38" fillId="3" borderId="9" xfId="0" applyFont="1" applyFill="1" applyBorder="1" applyProtection="1">
      <protection hidden="1"/>
    </xf>
    <xf numFmtId="0" fontId="39" fillId="3" borderId="4" xfId="0" applyFont="1" applyFill="1" applyBorder="1" applyAlignment="1" applyProtection="1">
      <alignment horizontal="left" indent="1"/>
      <protection hidden="1"/>
    </xf>
    <xf numFmtId="170" fontId="7" fillId="0" borderId="0" xfId="0" applyNumberFormat="1" applyFont="1" applyAlignment="1" applyProtection="1">
      <alignment horizontal="right"/>
      <protection locked="0"/>
    </xf>
    <xf numFmtId="170" fontId="7" fillId="2" borderId="0" xfId="0" applyNumberFormat="1" applyFont="1" applyFill="1" applyAlignment="1">
      <alignment horizontal="right"/>
    </xf>
    <xf numFmtId="0" fontId="3" fillId="3" borderId="4" xfId="0" applyFont="1" applyFill="1" applyBorder="1"/>
    <xf numFmtId="10" fontId="8" fillId="3" borderId="0" xfId="3" applyNumberFormat="1" applyFont="1" applyFill="1" applyBorder="1" applyAlignment="1">
      <alignment horizontal="center"/>
    </xf>
    <xf numFmtId="38" fontId="0" fillId="3" borderId="0" xfId="1" applyNumberFormat="1" applyFont="1" applyFill="1" applyBorder="1" applyAlignment="1">
      <alignment horizontal="center"/>
    </xf>
    <xf numFmtId="14" fontId="7" fillId="3" borderId="0" xfId="0" applyNumberFormat="1" applyFont="1" applyFill="1" applyAlignment="1">
      <alignment horizontal="center"/>
    </xf>
    <xf numFmtId="0" fontId="3" fillId="3" borderId="9" xfId="0" applyFont="1" applyFill="1" applyBorder="1" applyAlignment="1">
      <alignment horizontal="left"/>
    </xf>
    <xf numFmtId="38" fontId="0" fillId="3" borderId="2" xfId="1" applyNumberFormat="1" applyFont="1" applyFill="1" applyBorder="1" applyAlignment="1">
      <alignment horizontal="center"/>
    </xf>
    <xf numFmtId="43" fontId="39" fillId="3" borderId="16" xfId="1" applyFont="1" applyFill="1" applyBorder="1" applyAlignment="1">
      <alignment horizontal="right"/>
    </xf>
    <xf numFmtId="43" fontId="39" fillId="3" borderId="5" xfId="1" applyFont="1" applyFill="1" applyBorder="1" applyAlignment="1">
      <alignment horizontal="right"/>
    </xf>
    <xf numFmtId="43" fontId="39" fillId="3" borderId="20" xfId="1" applyFont="1" applyFill="1" applyBorder="1" applyAlignment="1">
      <alignment horizontal="right"/>
    </xf>
    <xf numFmtId="166" fontId="39" fillId="3" borderId="0" xfId="1" applyNumberFormat="1" applyFont="1" applyFill="1" applyBorder="1" applyAlignment="1">
      <alignment horizontal="right"/>
    </xf>
    <xf numFmtId="166" fontId="39" fillId="3" borderId="21" xfId="1" applyNumberFormat="1" applyFont="1" applyFill="1" applyBorder="1" applyAlignment="1">
      <alignment horizontal="right"/>
    </xf>
    <xf numFmtId="166" fontId="38" fillId="3" borderId="12" xfId="1" applyNumberFormat="1" applyFont="1" applyFill="1" applyBorder="1" applyAlignment="1" applyProtection="1">
      <alignment horizontal="right"/>
      <protection hidden="1"/>
    </xf>
    <xf numFmtId="166" fontId="39" fillId="3" borderId="0" xfId="1" applyNumberFormat="1" applyFont="1" applyFill="1" applyBorder="1" applyAlignment="1" applyProtection="1">
      <alignment horizontal="right"/>
      <protection hidden="1"/>
    </xf>
    <xf numFmtId="166" fontId="38" fillId="3" borderId="0" xfId="1" applyNumberFormat="1" applyFont="1" applyFill="1" applyBorder="1" applyAlignment="1" applyProtection="1">
      <alignment horizontal="right"/>
      <protection hidden="1"/>
    </xf>
    <xf numFmtId="166" fontId="39" fillId="3" borderId="2" xfId="1" applyNumberFormat="1" applyFont="1" applyFill="1" applyBorder="1" applyAlignment="1" applyProtection="1">
      <alignment horizontal="right"/>
      <protection hidden="1"/>
    </xf>
    <xf numFmtId="43" fontId="37" fillId="2" borderId="0" xfId="1" applyFont="1" applyFill="1"/>
    <xf numFmtId="43" fontId="38" fillId="5" borderId="28" xfId="1" applyFont="1" applyFill="1" applyBorder="1" applyAlignment="1">
      <alignment horizontal="center"/>
    </xf>
    <xf numFmtId="43" fontId="37" fillId="4" borderId="28" xfId="1" applyFont="1" applyFill="1" applyBorder="1"/>
    <xf numFmtId="43" fontId="38" fillId="3" borderId="5" xfId="1" applyFont="1" applyFill="1" applyBorder="1" applyAlignment="1">
      <alignment horizontal="right"/>
    </xf>
    <xf numFmtId="43" fontId="38" fillId="3" borderId="11" xfId="1" applyFont="1" applyFill="1" applyBorder="1" applyAlignment="1" applyProtection="1">
      <alignment horizontal="right"/>
      <protection hidden="1"/>
    </xf>
    <xf numFmtId="43" fontId="39" fillId="3" borderId="5" xfId="1" applyFont="1" applyFill="1" applyBorder="1" applyAlignment="1" applyProtection="1">
      <alignment horizontal="right"/>
      <protection hidden="1"/>
    </xf>
    <xf numFmtId="43" fontId="38" fillId="3" borderId="5" xfId="1" applyFont="1" applyFill="1" applyBorder="1" applyAlignment="1" applyProtection="1">
      <alignment horizontal="right"/>
      <protection hidden="1"/>
    </xf>
    <xf numFmtId="43" fontId="39" fillId="3" borderId="1" xfId="1" applyFont="1" applyFill="1" applyBorder="1" applyAlignment="1" applyProtection="1">
      <alignment horizontal="right"/>
      <protection hidden="1"/>
    </xf>
    <xf numFmtId="186" fontId="0" fillId="3" borderId="9" xfId="3" applyNumberFormat="1" applyFont="1" applyFill="1" applyBorder="1" applyAlignment="1">
      <alignment horizontal="left"/>
    </xf>
    <xf numFmtId="14" fontId="7" fillId="3" borderId="17" xfId="0" applyNumberFormat="1" applyFont="1" applyFill="1" applyBorder="1" applyAlignment="1">
      <alignment horizontal="center"/>
    </xf>
    <xf numFmtId="166" fontId="0" fillId="3" borderId="5" xfId="1" applyNumberFormat="1" applyFont="1" applyFill="1" applyBorder="1" applyAlignment="1" applyProtection="1">
      <alignment horizontal="center"/>
    </xf>
    <xf numFmtId="44" fontId="0" fillId="3" borderId="2" xfId="2" applyFont="1" applyFill="1" applyBorder="1" applyAlignment="1" applyProtection="1">
      <alignment horizontal="center"/>
    </xf>
    <xf numFmtId="166" fontId="3" fillId="3" borderId="2" xfId="0" applyNumberFormat="1" applyFont="1" applyFill="1" applyBorder="1"/>
    <xf numFmtId="43" fontId="3" fillId="3" borderId="1" xfId="0" applyNumberFormat="1" applyFont="1" applyFill="1" applyBorder="1"/>
    <xf numFmtId="14" fontId="7" fillId="3" borderId="0" xfId="0" applyNumberFormat="1" applyFont="1" applyFill="1" applyAlignment="1">
      <alignment horizontal="center" wrapText="1"/>
    </xf>
    <xf numFmtId="169" fontId="9" fillId="3" borderId="0" xfId="0" applyNumberFormat="1" applyFont="1" applyFill="1" applyAlignment="1">
      <alignment horizontal="center"/>
    </xf>
    <xf numFmtId="10" fontId="0" fillId="3" borderId="0" xfId="3" applyNumberFormat="1" applyFont="1" applyFill="1" applyBorder="1" applyAlignment="1">
      <alignment horizontal="center"/>
    </xf>
    <xf numFmtId="0" fontId="7" fillId="3" borderId="9" xfId="0" applyFont="1" applyFill="1" applyBorder="1"/>
    <xf numFmtId="10" fontId="7" fillId="3" borderId="0" xfId="3" applyNumberFormat="1" applyFont="1" applyFill="1" applyBorder="1" applyAlignment="1">
      <alignment horizontal="center"/>
    </xf>
    <xf numFmtId="174" fontId="6" fillId="5" borderId="29" xfId="0" applyNumberFormat="1" applyFont="1" applyFill="1" applyBorder="1" applyAlignment="1">
      <alignment horizontal="right"/>
    </xf>
    <xf numFmtId="174" fontId="6" fillId="5" borderId="28" xfId="0" applyNumberFormat="1" applyFont="1" applyFill="1" applyBorder="1" applyAlignment="1">
      <alignment horizontal="right"/>
    </xf>
    <xf numFmtId="166" fontId="0" fillId="3" borderId="0" xfId="1" applyNumberFormat="1" applyFont="1" applyFill="1" applyBorder="1" applyAlignment="1">
      <alignment horizontal="right"/>
    </xf>
    <xf numFmtId="166" fontId="0" fillId="3" borderId="5" xfId="1" applyNumberFormat="1" applyFont="1" applyFill="1" applyBorder="1" applyAlignment="1">
      <alignment horizontal="right"/>
    </xf>
    <xf numFmtId="166" fontId="3" fillId="2" borderId="0" xfId="0" applyNumberFormat="1" applyFont="1" applyFill="1"/>
    <xf numFmtId="10" fontId="0" fillId="2" borderId="0" xfId="0" applyNumberFormat="1" applyFill="1"/>
    <xf numFmtId="43" fontId="7" fillId="3" borderId="0" xfId="1" applyFont="1" applyFill="1" applyBorder="1" applyAlignment="1">
      <alignment horizontal="right"/>
    </xf>
    <xf numFmtId="43" fontId="7" fillId="3" borderId="5" xfId="1" applyFont="1" applyFill="1" applyBorder="1" applyAlignment="1">
      <alignment horizontal="right"/>
    </xf>
    <xf numFmtId="10" fontId="0" fillId="3" borderId="0" xfId="0" applyNumberFormat="1" applyFill="1"/>
    <xf numFmtId="10" fontId="0" fillId="3" borderId="2" xfId="3" applyNumberFormat="1" applyFont="1" applyFill="1" applyBorder="1"/>
    <xf numFmtId="43" fontId="7" fillId="3" borderId="0" xfId="1" applyFont="1" applyFill="1" applyBorder="1" applyAlignment="1">
      <alignment horizontal="right" vertical="top" readingOrder="1"/>
    </xf>
    <xf numFmtId="43" fontId="7" fillId="3" borderId="5" xfId="1" applyFont="1" applyFill="1" applyBorder="1" applyAlignment="1">
      <alignment horizontal="right" vertical="top" readingOrder="1"/>
    </xf>
    <xf numFmtId="0" fontId="3" fillId="3" borderId="9" xfId="0" applyFont="1" applyFill="1" applyBorder="1"/>
    <xf numFmtId="166" fontId="0" fillId="3" borderId="2" xfId="0" applyNumberFormat="1" applyFill="1" applyBorder="1"/>
    <xf numFmtId="189" fontId="0" fillId="3" borderId="25" xfId="1" applyNumberFormat="1" applyFont="1" applyFill="1" applyBorder="1"/>
    <xf numFmtId="192" fontId="0" fillId="3" borderId="1" xfId="3" applyNumberFormat="1" applyFont="1" applyFill="1" applyBorder="1"/>
    <xf numFmtId="43" fontId="7" fillId="3" borderId="5" xfId="1" applyFont="1" applyFill="1" applyBorder="1"/>
    <xf numFmtId="0" fontId="47" fillId="3" borderId="27" xfId="4" applyFont="1" applyFill="1" applyBorder="1"/>
    <xf numFmtId="0" fontId="47" fillId="3" borderId="26" xfId="4" applyFont="1" applyFill="1" applyBorder="1" applyAlignment="1">
      <alignment horizontal="center"/>
    </xf>
    <xf numFmtId="0" fontId="47" fillId="3" borderId="25" xfId="4" applyFont="1" applyFill="1" applyBorder="1" applyAlignment="1">
      <alignment horizontal="center"/>
    </xf>
    <xf numFmtId="0" fontId="47" fillId="3" borderId="9" xfId="4" applyFont="1" applyFill="1" applyBorder="1"/>
    <xf numFmtId="0" fontId="47" fillId="3" borderId="0" xfId="4" applyFont="1" applyFill="1"/>
    <xf numFmtId="0" fontId="47" fillId="3" borderId="0" xfId="4" applyFont="1" applyFill="1" applyAlignment="1">
      <alignment horizontal="center"/>
    </xf>
    <xf numFmtId="0" fontId="48" fillId="3" borderId="9" xfId="0" applyFont="1" applyFill="1" applyBorder="1"/>
    <xf numFmtId="166" fontId="7" fillId="3" borderId="25" xfId="1" applyNumberFormat="1" applyFont="1" applyFill="1" applyBorder="1"/>
    <xf numFmtId="43" fontId="10" fillId="4" borderId="28" xfId="1" applyFont="1" applyFill="1" applyBorder="1"/>
    <xf numFmtId="0" fontId="39" fillId="2" borderId="0" xfId="0" applyFont="1" applyFill="1" applyAlignment="1">
      <alignment horizontal="left"/>
    </xf>
    <xf numFmtId="0" fontId="40" fillId="2" borderId="0" xfId="0" applyFont="1" applyFill="1" applyAlignment="1">
      <alignment horizontal="left"/>
    </xf>
    <xf numFmtId="10" fontId="7" fillId="3" borderId="5" xfId="3" applyNumberFormat="1" applyFont="1" applyFill="1" applyBorder="1"/>
    <xf numFmtId="10" fontId="7" fillId="3" borderId="5" xfId="1" applyNumberFormat="1" applyFont="1" applyFill="1" applyBorder="1"/>
    <xf numFmtId="166" fontId="7" fillId="3" borderId="25" xfId="0" applyNumberFormat="1" applyFont="1" applyFill="1" applyBorder="1"/>
    <xf numFmtId="166" fontId="0" fillId="3" borderId="1" xfId="0" applyNumberFormat="1" applyFill="1" applyBorder="1"/>
    <xf numFmtId="0" fontId="45" fillId="4" borderId="30" xfId="4" applyFont="1" applyFill="1" applyBorder="1" applyAlignment="1">
      <alignment horizontal="center"/>
    </xf>
    <xf numFmtId="0" fontId="45" fillId="4" borderId="29" xfId="4" applyFont="1" applyFill="1" applyBorder="1" applyAlignment="1">
      <alignment horizontal="center"/>
    </xf>
    <xf numFmtId="0" fontId="45" fillId="4" borderId="28" xfId="4" applyFont="1" applyFill="1" applyBorder="1" applyAlignment="1">
      <alignment horizontal="center"/>
    </xf>
    <xf numFmtId="0" fontId="47" fillId="3" borderId="4" xfId="4" applyFont="1" applyFill="1" applyBorder="1"/>
    <xf numFmtId="3" fontId="47" fillId="3" borderId="2" xfId="4" applyNumberFormat="1" applyFont="1" applyFill="1" applyBorder="1" applyAlignment="1">
      <alignment horizontal="center"/>
    </xf>
    <xf numFmtId="9" fontId="47" fillId="3" borderId="2" xfId="5" applyFont="1" applyFill="1" applyBorder="1" applyAlignment="1">
      <alignment horizontal="center"/>
    </xf>
    <xf numFmtId="14" fontId="47" fillId="3" borderId="2" xfId="4" applyNumberFormat="1" applyFont="1" applyFill="1" applyBorder="1" applyAlignment="1">
      <alignment horizontal="center"/>
    </xf>
    <xf numFmtId="4" fontId="47" fillId="3" borderId="2" xfId="4" applyNumberFormat="1" applyFont="1" applyFill="1" applyBorder="1" applyAlignment="1">
      <alignment horizontal="center"/>
    </xf>
    <xf numFmtId="10" fontId="47" fillId="3" borderId="2" xfId="3" applyNumberFormat="1" applyFont="1" applyFill="1" applyBorder="1" applyAlignment="1">
      <alignment horizontal="center"/>
    </xf>
    <xf numFmtId="0" fontId="48" fillId="2" borderId="0" xfId="0" applyFont="1" applyFill="1"/>
    <xf numFmtId="0" fontId="45" fillId="5" borderId="30" xfId="4" applyFont="1" applyFill="1" applyBorder="1" applyAlignment="1">
      <alignment wrapText="1"/>
    </xf>
    <xf numFmtId="0" fontId="49" fillId="2" borderId="0" xfId="4" applyFont="1" applyFill="1" applyAlignment="1">
      <alignment horizontal="left"/>
    </xf>
    <xf numFmtId="0" fontId="45" fillId="4" borderId="30" xfId="4" applyFont="1" applyFill="1" applyBorder="1" applyAlignment="1">
      <alignment wrapText="1"/>
    </xf>
    <xf numFmtId="0" fontId="49" fillId="2" borderId="0" xfId="4" applyFont="1" applyFill="1" applyAlignment="1">
      <alignment horizontal="center"/>
    </xf>
    <xf numFmtId="0" fontId="50" fillId="3" borderId="0" xfId="4" applyFont="1" applyFill="1" applyAlignment="1">
      <alignment horizontal="center"/>
    </xf>
    <xf numFmtId="0" fontId="50" fillId="3" borderId="5" xfId="4" applyFont="1" applyFill="1" applyBorder="1" applyAlignment="1">
      <alignment horizontal="center"/>
    </xf>
    <xf numFmtId="0" fontId="47" fillId="3" borderId="25" xfId="4" applyFont="1" applyFill="1" applyBorder="1"/>
    <xf numFmtId="0" fontId="47" fillId="3" borderId="9" xfId="4" applyFont="1" applyFill="1" applyBorder="1" applyAlignment="1">
      <alignment horizontal="left" indent="1"/>
    </xf>
    <xf numFmtId="38" fontId="47" fillId="3" borderId="0" xfId="4" applyNumberFormat="1" applyFont="1" applyFill="1" applyAlignment="1">
      <alignment horizontal="center"/>
    </xf>
    <xf numFmtId="40" fontId="47" fillId="3" borderId="0" xfId="4" applyNumberFormat="1" applyFont="1" applyFill="1" applyAlignment="1">
      <alignment horizontal="center"/>
    </xf>
    <xf numFmtId="40" fontId="47" fillId="3" borderId="5" xfId="4" applyNumberFormat="1" applyFont="1" applyFill="1" applyBorder="1" applyAlignment="1">
      <alignment horizontal="center"/>
    </xf>
    <xf numFmtId="38" fontId="47" fillId="3" borderId="17" xfId="4" applyNumberFormat="1" applyFont="1" applyFill="1" applyBorder="1" applyAlignment="1">
      <alignment horizontal="center"/>
    </xf>
    <xf numFmtId="40" fontId="47" fillId="3" borderId="17" xfId="4" applyNumberFormat="1" applyFont="1" applyFill="1" applyBorder="1" applyAlignment="1">
      <alignment horizontal="center"/>
    </xf>
    <xf numFmtId="40" fontId="47" fillId="3" borderId="16" xfId="4" applyNumberFormat="1" applyFont="1" applyFill="1" applyBorder="1" applyAlignment="1">
      <alignment horizontal="center"/>
    </xf>
    <xf numFmtId="0" fontId="47" fillId="3" borderId="5" xfId="4" applyFont="1" applyFill="1" applyBorder="1"/>
    <xf numFmtId="0" fontId="46" fillId="3" borderId="9" xfId="4" applyFont="1" applyFill="1" applyBorder="1"/>
    <xf numFmtId="38" fontId="46" fillId="3" borderId="21" xfId="4" applyNumberFormat="1" applyFont="1" applyFill="1" applyBorder="1" applyAlignment="1">
      <alignment horizontal="center"/>
    </xf>
    <xf numFmtId="40" fontId="46" fillId="3" borderId="21" xfId="4" applyNumberFormat="1" applyFont="1" applyFill="1" applyBorder="1" applyAlignment="1">
      <alignment horizontal="center"/>
    </xf>
    <xf numFmtId="40" fontId="46" fillId="3" borderId="20" xfId="4" applyNumberFormat="1" applyFont="1" applyFill="1" applyBorder="1" applyAlignment="1">
      <alignment horizontal="center"/>
    </xf>
    <xf numFmtId="0" fontId="50" fillId="3" borderId="9" xfId="4" applyFont="1" applyFill="1" applyBorder="1"/>
    <xf numFmtId="170" fontId="50" fillId="3" borderId="0" xfId="4" applyNumberFormat="1" applyFont="1" applyFill="1" applyAlignment="1">
      <alignment horizontal="center"/>
    </xf>
    <xf numFmtId="170" fontId="47" fillId="3" borderId="5" xfId="4" applyNumberFormat="1" applyFont="1" applyFill="1" applyBorder="1"/>
    <xf numFmtId="3" fontId="47" fillId="2" borderId="0" xfId="4" applyNumberFormat="1" applyFont="1" applyFill="1" applyAlignment="1">
      <alignment horizontal="center"/>
    </xf>
    <xf numFmtId="170" fontId="47" fillId="3" borderId="0" xfId="4" applyNumberFormat="1" applyFont="1" applyFill="1"/>
    <xf numFmtId="0" fontId="47" fillId="2" borderId="0" xfId="4" applyFont="1" applyFill="1" applyAlignment="1">
      <alignment horizontal="center"/>
    </xf>
    <xf numFmtId="0" fontId="47" fillId="3" borderId="9" xfId="4" applyFont="1" applyFill="1" applyBorder="1" applyAlignment="1">
      <alignment horizontal="left"/>
    </xf>
    <xf numFmtId="187" fontId="50" fillId="3" borderId="0" xfId="4" applyNumberFormat="1" applyFont="1" applyFill="1" applyAlignment="1">
      <alignment horizontal="center"/>
    </xf>
    <xf numFmtId="38" fontId="47" fillId="3" borderId="0" xfId="4" applyNumberFormat="1" applyFont="1" applyFill="1"/>
    <xf numFmtId="0" fontId="49" fillId="3" borderId="27" xfId="4" applyFont="1" applyFill="1" applyBorder="1" applyAlignment="1">
      <alignment horizontal="left"/>
    </xf>
    <xf numFmtId="0" fontId="49" fillId="3" borderId="26" xfId="4" applyFont="1" applyFill="1" applyBorder="1" applyAlignment="1">
      <alignment horizontal="left"/>
    </xf>
    <xf numFmtId="0" fontId="49" fillId="3" borderId="26" xfId="4" applyFont="1" applyFill="1" applyBorder="1" applyAlignment="1">
      <alignment horizontal="center"/>
    </xf>
    <xf numFmtId="0" fontId="49" fillId="3" borderId="25" xfId="4" applyFont="1" applyFill="1" applyBorder="1" applyAlignment="1">
      <alignment horizontal="center"/>
    </xf>
    <xf numFmtId="0" fontId="49" fillId="3" borderId="9" xfId="4" applyFont="1" applyFill="1" applyBorder="1" applyAlignment="1">
      <alignment horizontal="left"/>
    </xf>
    <xf numFmtId="0" fontId="49" fillId="3" borderId="0" xfId="4" applyFont="1" applyFill="1" applyAlignment="1">
      <alignment horizontal="left"/>
    </xf>
    <xf numFmtId="0" fontId="49" fillId="3" borderId="0" xfId="4" applyFont="1" applyFill="1" applyAlignment="1">
      <alignment horizontal="center"/>
    </xf>
    <xf numFmtId="3" fontId="49" fillId="3" borderId="0" xfId="4" applyNumberFormat="1" applyFont="1" applyFill="1" applyAlignment="1">
      <alignment horizontal="center"/>
    </xf>
    <xf numFmtId="9" fontId="49" fillId="3" borderId="0" xfId="4" applyNumberFormat="1" applyFont="1" applyFill="1" applyAlignment="1">
      <alignment horizontal="center"/>
    </xf>
    <xf numFmtId="193" fontId="49" fillId="3" borderId="0" xfId="4" applyNumberFormat="1" applyFont="1" applyFill="1" applyAlignment="1">
      <alignment horizontal="center"/>
    </xf>
    <xf numFmtId="0" fontId="49" fillId="3" borderId="30" xfId="4" applyFont="1" applyFill="1" applyBorder="1" applyAlignment="1">
      <alignment horizontal="left"/>
    </xf>
    <xf numFmtId="0" fontId="51" fillId="4" borderId="30" xfId="4" applyFont="1" applyFill="1" applyBorder="1" applyAlignment="1">
      <alignment horizontal="left"/>
    </xf>
    <xf numFmtId="0" fontId="51" fillId="4" borderId="29" xfId="4" applyFont="1" applyFill="1" applyBorder="1" applyAlignment="1">
      <alignment horizontal="left"/>
    </xf>
    <xf numFmtId="0" fontId="51" fillId="4" borderId="29" xfId="4" applyFont="1" applyFill="1" applyBorder="1" applyAlignment="1">
      <alignment horizontal="center"/>
    </xf>
    <xf numFmtId="0" fontId="51" fillId="4" borderId="28" xfId="4" applyFont="1" applyFill="1" applyBorder="1" applyAlignment="1">
      <alignment horizontal="center"/>
    </xf>
    <xf numFmtId="0" fontId="51" fillId="3" borderId="29" xfId="4" applyFont="1" applyFill="1" applyBorder="1" applyAlignment="1">
      <alignment horizontal="left"/>
    </xf>
    <xf numFmtId="3" fontId="51" fillId="3" borderId="29" xfId="4" applyNumberFormat="1" applyFont="1" applyFill="1" applyBorder="1" applyAlignment="1">
      <alignment horizontal="center"/>
    </xf>
    <xf numFmtId="9" fontId="51" fillId="3" borderId="29" xfId="4" applyNumberFormat="1" applyFont="1" applyFill="1" applyBorder="1" applyAlignment="1">
      <alignment horizontal="center"/>
    </xf>
    <xf numFmtId="0" fontId="51" fillId="3" borderId="0" xfId="4" applyFont="1" applyFill="1" applyAlignment="1">
      <alignment horizontal="left"/>
    </xf>
    <xf numFmtId="10" fontId="49" fillId="3" borderId="0" xfId="4" applyNumberFormat="1" applyFont="1" applyFill="1" applyAlignment="1">
      <alignment horizontal="center"/>
    </xf>
    <xf numFmtId="10" fontId="51" fillId="3" borderId="29" xfId="4" applyNumberFormat="1" applyFont="1" applyFill="1" applyBorder="1" applyAlignment="1">
      <alignment horizontal="center"/>
    </xf>
    <xf numFmtId="4" fontId="49" fillId="3" borderId="0" xfId="4" applyNumberFormat="1" applyFont="1" applyFill="1" applyAlignment="1">
      <alignment horizontal="center"/>
    </xf>
    <xf numFmtId="4" fontId="51" fillId="3" borderId="29" xfId="4" applyNumberFormat="1" applyFont="1" applyFill="1" applyBorder="1" applyAlignment="1">
      <alignment horizontal="center"/>
    </xf>
    <xf numFmtId="9" fontId="51" fillId="3" borderId="0" xfId="4" applyNumberFormat="1" applyFont="1" applyFill="1" applyAlignment="1">
      <alignment horizontal="center"/>
    </xf>
    <xf numFmtId="0" fontId="45" fillId="4" borderId="29" xfId="0" applyFont="1" applyFill="1" applyBorder="1" applyAlignment="1">
      <alignment horizontal="center"/>
    </xf>
    <xf numFmtId="0" fontId="49" fillId="3" borderId="4" xfId="4" applyFont="1" applyFill="1" applyBorder="1" applyAlignment="1">
      <alignment horizontal="left"/>
    </xf>
    <xf numFmtId="0" fontId="47" fillId="3" borderId="26" xfId="0" applyFont="1" applyFill="1" applyBorder="1"/>
    <xf numFmtId="166" fontId="47" fillId="3" borderId="0" xfId="1" applyNumberFormat="1" applyFont="1" applyFill="1" applyBorder="1"/>
    <xf numFmtId="43" fontId="47" fillId="3" borderId="0" xfId="0" applyNumberFormat="1" applyFont="1" applyFill="1"/>
    <xf numFmtId="0" fontId="47" fillId="3" borderId="0" xfId="0" applyFont="1" applyFill="1"/>
    <xf numFmtId="194" fontId="49" fillId="3" borderId="5" xfId="4" applyNumberFormat="1" applyFont="1" applyFill="1" applyBorder="1" applyAlignment="1">
      <alignment horizontal="center"/>
    </xf>
    <xf numFmtId="0" fontId="49" fillId="3" borderId="2" xfId="4" applyFont="1" applyFill="1" applyBorder="1" applyAlignment="1">
      <alignment horizontal="left"/>
    </xf>
    <xf numFmtId="0" fontId="49" fillId="3" borderId="2" xfId="4" applyFont="1" applyFill="1" applyBorder="1" applyAlignment="1">
      <alignment horizontal="center"/>
    </xf>
    <xf numFmtId="4" fontId="49" fillId="3" borderId="2" xfId="4" applyNumberFormat="1" applyFont="1" applyFill="1" applyBorder="1" applyAlignment="1">
      <alignment horizontal="center"/>
    </xf>
    <xf numFmtId="0" fontId="47" fillId="3" borderId="2" xfId="0" applyFont="1" applyFill="1" applyBorder="1"/>
    <xf numFmtId="194" fontId="49" fillId="3" borderId="1" xfId="4" applyNumberFormat="1" applyFont="1" applyFill="1" applyBorder="1" applyAlignment="1">
      <alignment horizontal="center"/>
    </xf>
    <xf numFmtId="1" fontId="49" fillId="3" borderId="0" xfId="1" applyNumberFormat="1" applyFont="1" applyFill="1" applyBorder="1" applyAlignment="1">
      <alignment horizontal="center"/>
    </xf>
    <xf numFmtId="1" fontId="49" fillId="3" borderId="0" xfId="1" quotePrefix="1" applyNumberFormat="1" applyFont="1" applyFill="1" applyBorder="1" applyAlignment="1">
      <alignment horizontal="center"/>
    </xf>
    <xf numFmtId="38" fontId="47" fillId="3" borderId="0" xfId="0" applyNumberFormat="1" applyFont="1" applyFill="1"/>
    <xf numFmtId="166" fontId="46" fillId="3" borderId="29" xfId="1" applyNumberFormat="1" applyFont="1" applyFill="1" applyBorder="1"/>
    <xf numFmtId="2" fontId="46" fillId="3" borderId="29" xfId="0" applyNumberFormat="1" applyFont="1" applyFill="1" applyBorder="1"/>
    <xf numFmtId="166" fontId="51" fillId="3" borderId="29" xfId="1" applyNumberFormat="1" applyFont="1" applyFill="1" applyBorder="1" applyAlignment="1">
      <alignment horizontal="left"/>
    </xf>
    <xf numFmtId="194" fontId="51" fillId="3" borderId="5" xfId="4" applyNumberFormat="1" applyFont="1" applyFill="1" applyBorder="1" applyAlignment="1">
      <alignment horizontal="center"/>
    </xf>
    <xf numFmtId="194" fontId="51" fillId="3" borderId="28" xfId="4" applyNumberFormat="1" applyFont="1" applyFill="1" applyBorder="1" applyAlignment="1">
      <alignment horizontal="center"/>
    </xf>
    <xf numFmtId="3" fontId="51" fillId="3" borderId="0" xfId="4" applyNumberFormat="1" applyFont="1" applyFill="1" applyAlignment="1">
      <alignment horizontal="center"/>
    </xf>
    <xf numFmtId="166" fontId="51" fillId="3" borderId="0" xfId="1" applyNumberFormat="1" applyFont="1" applyFill="1" applyBorder="1" applyAlignment="1">
      <alignment horizontal="left"/>
    </xf>
    <xf numFmtId="4" fontId="51" fillId="3" borderId="0" xfId="4" applyNumberFormat="1" applyFont="1" applyFill="1" applyAlignment="1">
      <alignment horizontal="center"/>
    </xf>
    <xf numFmtId="10" fontId="51" fillId="3" borderId="0" xfId="4" applyNumberFormat="1" applyFont="1" applyFill="1" applyAlignment="1">
      <alignment horizontal="center"/>
    </xf>
    <xf numFmtId="166" fontId="46" fillId="3" borderId="0" xfId="1" applyNumberFormat="1" applyFont="1" applyFill="1" applyBorder="1"/>
    <xf numFmtId="2" fontId="46" fillId="3" borderId="0" xfId="0" applyNumberFormat="1" applyFont="1" applyFill="1"/>
    <xf numFmtId="10" fontId="0" fillId="2" borderId="0" xfId="3" applyNumberFormat="1" applyFont="1" applyFill="1"/>
    <xf numFmtId="10" fontId="48" fillId="2" borderId="0" xfId="0" applyNumberFormat="1" applyFont="1" applyFill="1"/>
    <xf numFmtId="166" fontId="0" fillId="2" borderId="0" xfId="1" applyNumberFormat="1" applyFont="1" applyFill="1"/>
    <xf numFmtId="38" fontId="0" fillId="3" borderId="8" xfId="2" applyNumberFormat="1" applyFont="1" applyFill="1" applyBorder="1" applyAlignment="1" applyProtection="1">
      <alignment horizontal="center"/>
    </xf>
    <xf numFmtId="194" fontId="49" fillId="3" borderId="0" xfId="4" applyNumberFormat="1" applyFont="1" applyFill="1" applyAlignment="1">
      <alignment horizontal="center"/>
    </xf>
    <xf numFmtId="194" fontId="51" fillId="3" borderId="29" xfId="4" applyNumberFormat="1" applyFont="1" applyFill="1" applyBorder="1" applyAlignment="1">
      <alignment horizontal="center"/>
    </xf>
    <xf numFmtId="194" fontId="51" fillId="3" borderId="0" xfId="4" applyNumberFormat="1" applyFont="1" applyFill="1" applyAlignment="1">
      <alignment horizontal="center"/>
    </xf>
    <xf numFmtId="194" fontId="49" fillId="3" borderId="2" xfId="4" applyNumberFormat="1" applyFont="1" applyFill="1" applyBorder="1" applyAlignment="1">
      <alignment horizontal="center"/>
    </xf>
    <xf numFmtId="194" fontId="49" fillId="3" borderId="28" xfId="4" applyNumberFormat="1" applyFont="1" applyFill="1" applyBorder="1" applyAlignment="1">
      <alignment horizontal="center"/>
    </xf>
    <xf numFmtId="1" fontId="49" fillId="3" borderId="26" xfId="1" applyNumberFormat="1" applyFont="1" applyFill="1" applyBorder="1" applyAlignment="1">
      <alignment horizontal="center"/>
    </xf>
    <xf numFmtId="3" fontId="49" fillId="3" borderId="26" xfId="4" applyNumberFormat="1" applyFont="1" applyFill="1" applyBorder="1" applyAlignment="1">
      <alignment horizontal="center"/>
    </xf>
    <xf numFmtId="10" fontId="49" fillId="3" borderId="26" xfId="4" applyNumberFormat="1" applyFont="1" applyFill="1" applyBorder="1" applyAlignment="1">
      <alignment horizontal="center"/>
    </xf>
    <xf numFmtId="194" fontId="49" fillId="3" borderId="26" xfId="4" applyNumberFormat="1" applyFont="1" applyFill="1" applyBorder="1" applyAlignment="1">
      <alignment horizontal="center"/>
    </xf>
    <xf numFmtId="194" fontId="49" fillId="3" borderId="25" xfId="4" applyNumberFormat="1" applyFont="1" applyFill="1" applyBorder="1" applyAlignment="1">
      <alignment horizontal="center"/>
    </xf>
    <xf numFmtId="195" fontId="49" fillId="3" borderId="0" xfId="4" quotePrefix="1" applyNumberFormat="1" applyFont="1" applyFill="1" applyAlignment="1">
      <alignment horizontal="center"/>
    </xf>
    <xf numFmtId="0" fontId="52" fillId="3" borderId="2" xfId="4" applyFont="1" applyFill="1" applyBorder="1" applyAlignment="1">
      <alignment horizontal="left"/>
    </xf>
    <xf numFmtId="0" fontId="49" fillId="3" borderId="5" xfId="4" applyFont="1" applyFill="1" applyBorder="1" applyAlignment="1">
      <alignment horizontal="center"/>
    </xf>
    <xf numFmtId="43" fontId="41" fillId="2" borderId="0" xfId="1" applyFont="1" applyFill="1" applyBorder="1" applyAlignment="1">
      <alignment horizontal="left"/>
    </xf>
    <xf numFmtId="0" fontId="48" fillId="3" borderId="5" xfId="0" applyFont="1" applyFill="1" applyBorder="1"/>
    <xf numFmtId="166" fontId="48" fillId="3" borderId="5" xfId="1" applyNumberFormat="1" applyFont="1" applyFill="1" applyBorder="1"/>
    <xf numFmtId="0" fontId="48" fillId="3" borderId="27" xfId="0" applyFont="1" applyFill="1" applyBorder="1"/>
    <xf numFmtId="0" fontId="45" fillId="5" borderId="30" xfId="0" applyFont="1" applyFill="1" applyBorder="1"/>
    <xf numFmtId="43" fontId="37" fillId="2" borderId="0" xfId="0" applyNumberFormat="1" applyFont="1" applyFill="1"/>
    <xf numFmtId="0" fontId="45" fillId="5" borderId="28" xfId="0" applyFont="1" applyFill="1" applyBorder="1"/>
    <xf numFmtId="0" fontId="45" fillId="4" borderId="30" xfId="4" applyFont="1" applyFill="1" applyBorder="1"/>
    <xf numFmtId="0" fontId="45" fillId="4" borderId="28" xfId="4" applyFont="1" applyFill="1" applyBorder="1"/>
    <xf numFmtId="6" fontId="47" fillId="3" borderId="5" xfId="4" applyNumberFormat="1" applyFont="1" applyFill="1" applyBorder="1" applyAlignment="1">
      <alignment horizontal="left"/>
    </xf>
    <xf numFmtId="0" fontId="47" fillId="3" borderId="5" xfId="4" applyFont="1" applyFill="1" applyBorder="1" applyAlignment="1">
      <alignment horizontal="left"/>
    </xf>
    <xf numFmtId="10" fontId="47" fillId="3" borderId="5" xfId="3" applyNumberFormat="1" applyFont="1" applyFill="1" applyBorder="1" applyAlignment="1">
      <alignment horizontal="left"/>
    </xf>
    <xf numFmtId="0" fontId="47" fillId="3" borderId="1" xfId="4" applyFont="1" applyFill="1" applyBorder="1" applyAlignment="1">
      <alignment horizontal="left"/>
    </xf>
    <xf numFmtId="10" fontId="0" fillId="3" borderId="0" xfId="3" applyNumberFormat="1" applyFont="1" applyFill="1" applyAlignment="1">
      <alignment horizontal="center"/>
    </xf>
    <xf numFmtId="38" fontId="48" fillId="2" borderId="0" xfId="0" applyNumberFormat="1" applyFont="1" applyFill="1"/>
    <xf numFmtId="166" fontId="37" fillId="2" borderId="0" xfId="0" applyNumberFormat="1" applyFont="1" applyFill="1"/>
    <xf numFmtId="0" fontId="0" fillId="3" borderId="9" xfId="0" applyFill="1" applyBorder="1" applyAlignment="1">
      <alignment horizontal="center"/>
    </xf>
    <xf numFmtId="44" fontId="0" fillId="3" borderId="5" xfId="2" applyFont="1" applyFill="1" applyBorder="1" applyAlignment="1" applyProtection="1">
      <alignment horizontal="center"/>
    </xf>
    <xf numFmtId="44" fontId="0" fillId="3" borderId="1" xfId="2" applyFont="1" applyFill="1" applyBorder="1" applyAlignment="1" applyProtection="1">
      <alignment horizontal="center"/>
    </xf>
    <xf numFmtId="0" fontId="3" fillId="3" borderId="2" xfId="0" applyFont="1" applyFill="1" applyBorder="1" applyAlignment="1">
      <alignment horizontal="center"/>
    </xf>
    <xf numFmtId="10" fontId="0" fillId="3" borderId="0" xfId="3" applyNumberFormat="1" applyFont="1" applyFill="1" applyBorder="1" applyAlignment="1" applyProtection="1">
      <alignment horizontal="center"/>
    </xf>
    <xf numFmtId="166" fontId="0" fillId="3" borderId="0" xfId="1" applyNumberFormat="1" applyFont="1" applyFill="1" applyBorder="1" applyAlignment="1" applyProtection="1">
      <alignment horizontal="center"/>
    </xf>
    <xf numFmtId="196" fontId="0" fillId="3" borderId="0" xfId="3" applyNumberFormat="1" applyFont="1" applyFill="1" applyBorder="1" applyAlignment="1" applyProtection="1">
      <alignment horizontal="center"/>
    </xf>
    <xf numFmtId="197" fontId="0" fillId="3" borderId="0" xfId="3" applyNumberFormat="1" applyFont="1" applyFill="1" applyBorder="1" applyAlignment="1" applyProtection="1">
      <alignment horizontal="center"/>
    </xf>
    <xf numFmtId="10" fontId="37" fillId="2" borderId="0" xfId="3" applyNumberFormat="1" applyFont="1" applyFill="1"/>
    <xf numFmtId="2" fontId="7" fillId="3" borderId="0" xfId="0" applyNumberFormat="1" applyFont="1" applyFill="1" applyAlignment="1">
      <alignment horizontal="center"/>
    </xf>
    <xf numFmtId="0" fontId="38" fillId="5" borderId="39" xfId="0" applyFont="1" applyFill="1" applyBorder="1"/>
    <xf numFmtId="0" fontId="38" fillId="4" borderId="42" xfId="0" applyFont="1" applyFill="1" applyBorder="1"/>
    <xf numFmtId="0" fontId="37" fillId="2" borderId="26" xfId="0" applyFont="1" applyFill="1" applyBorder="1"/>
    <xf numFmtId="44" fontId="0" fillId="2" borderId="26" xfId="2" applyFont="1" applyFill="1" applyBorder="1" applyAlignment="1" applyProtection="1">
      <alignment horizontal="center"/>
    </xf>
    <xf numFmtId="0" fontId="38" fillId="4" borderId="30" xfId="4" applyFont="1" applyFill="1" applyBorder="1"/>
    <xf numFmtId="0" fontId="38" fillId="4" borderId="29" xfId="4" applyFont="1" applyFill="1" applyBorder="1" applyAlignment="1">
      <alignment horizontal="center"/>
    </xf>
    <xf numFmtId="3" fontId="38" fillId="4" borderId="29" xfId="4" applyNumberFormat="1" applyFont="1" applyFill="1" applyBorder="1" applyAlignment="1">
      <alignment horizontal="center"/>
    </xf>
    <xf numFmtId="0" fontId="38" fillId="4" borderId="29" xfId="4" applyFont="1" applyFill="1" applyBorder="1"/>
    <xf numFmtId="0" fontId="38" fillId="4" borderId="28" xfId="4" applyFont="1" applyFill="1" applyBorder="1" applyAlignment="1">
      <alignment horizontal="center"/>
    </xf>
    <xf numFmtId="0" fontId="39" fillId="3" borderId="27" xfId="4" applyFont="1" applyFill="1" applyBorder="1"/>
    <xf numFmtId="0" fontId="39" fillId="3" borderId="26" xfId="4" applyFont="1" applyFill="1" applyBorder="1" applyAlignment="1">
      <alignment horizontal="center"/>
    </xf>
    <xf numFmtId="3" fontId="39" fillId="3" borderId="26" xfId="4" applyNumberFormat="1" applyFont="1" applyFill="1" applyBorder="1" applyAlignment="1">
      <alignment horizontal="center"/>
    </xf>
    <xf numFmtId="0" fontId="39" fillId="3" borderId="26" xfId="4" applyFont="1" applyFill="1" applyBorder="1"/>
    <xf numFmtId="0" fontId="39" fillId="3" borderId="25" xfId="4" applyFont="1" applyFill="1" applyBorder="1" applyAlignment="1">
      <alignment horizontal="center"/>
    </xf>
    <xf numFmtId="0" fontId="39" fillId="3" borderId="9" xfId="4" applyFont="1" applyFill="1" applyBorder="1"/>
    <xf numFmtId="4" fontId="39" fillId="3" borderId="5" xfId="4" applyNumberFormat="1" applyFont="1" applyFill="1" applyBorder="1" applyAlignment="1">
      <alignment horizontal="right"/>
    </xf>
    <xf numFmtId="0" fontId="37" fillId="3" borderId="9" xfId="0" applyFont="1" applyFill="1" applyBorder="1"/>
    <xf numFmtId="0" fontId="38" fillId="3" borderId="4" xfId="4" applyFont="1" applyFill="1" applyBorder="1"/>
    <xf numFmtId="3" fontId="38" fillId="3" borderId="36" xfId="4" applyNumberFormat="1" applyFont="1" applyFill="1" applyBorder="1" applyAlignment="1">
      <alignment horizontal="right"/>
    </xf>
    <xf numFmtId="4" fontId="38" fillId="3" borderId="36" xfId="4" applyNumberFormat="1" applyFont="1" applyFill="1" applyBorder="1" applyAlignment="1">
      <alignment horizontal="right"/>
    </xf>
    <xf numFmtId="0" fontId="39" fillId="3" borderId="2" xfId="4" applyFont="1" applyFill="1" applyBorder="1" applyAlignment="1">
      <alignment horizontal="center"/>
    </xf>
    <xf numFmtId="0" fontId="38" fillId="3" borderId="2" xfId="4" applyFont="1" applyFill="1" applyBorder="1"/>
    <xf numFmtId="4" fontId="38" fillId="3" borderId="37" xfId="4" applyNumberFormat="1" applyFont="1" applyFill="1" applyBorder="1" applyAlignment="1">
      <alignment horizontal="right"/>
    </xf>
    <xf numFmtId="3" fontId="0" fillId="3" borderId="23" xfId="2" applyNumberFormat="1" applyFont="1" applyFill="1" applyBorder="1" applyAlignment="1" applyProtection="1">
      <alignment horizontal="center"/>
    </xf>
    <xf numFmtId="4" fontId="0" fillId="3" borderId="20" xfId="2" applyNumberFormat="1" applyFont="1" applyFill="1" applyBorder="1" applyAlignment="1" applyProtection="1">
      <alignment horizontal="center"/>
    </xf>
    <xf numFmtId="166" fontId="56" fillId="3" borderId="0" xfId="1" applyNumberFormat="1" applyFont="1" applyFill="1" applyBorder="1" applyAlignment="1">
      <alignment horizontal="right"/>
    </xf>
    <xf numFmtId="0" fontId="6" fillId="3" borderId="27" xfId="0" applyFont="1" applyFill="1" applyBorder="1"/>
    <xf numFmtId="3" fontId="7" fillId="3" borderId="5" xfId="0" applyNumberFormat="1" applyFont="1" applyFill="1" applyBorder="1"/>
    <xf numFmtId="38" fontId="9" fillId="3" borderId="0" xfId="0" applyNumberFormat="1" applyFont="1" applyFill="1" applyAlignment="1">
      <alignment horizontal="center"/>
    </xf>
    <xf numFmtId="38" fontId="9" fillId="3" borderId="6" xfId="0" applyNumberFormat="1" applyFont="1" applyFill="1" applyBorder="1" applyAlignment="1">
      <alignment horizontal="center"/>
    </xf>
    <xf numFmtId="10" fontId="9" fillId="3" borderId="5" xfId="3" applyNumberFormat="1" applyFont="1" applyFill="1" applyBorder="1"/>
    <xf numFmtId="0" fontId="3" fillId="10" borderId="30" xfId="0" applyFont="1" applyFill="1" applyBorder="1"/>
    <xf numFmtId="0" fontId="31" fillId="3" borderId="9" xfId="0" applyFont="1" applyFill="1" applyBorder="1" applyAlignment="1">
      <alignment horizontal="left" indent="1"/>
    </xf>
    <xf numFmtId="166" fontId="37" fillId="2" borderId="0" xfId="3" applyNumberFormat="1" applyFont="1" applyFill="1"/>
    <xf numFmtId="10" fontId="9" fillId="3" borderId="0" xfId="0" applyNumberFormat="1" applyFont="1" applyFill="1" applyAlignment="1" applyProtection="1">
      <alignment horizontal="center" vertical="center"/>
      <protection hidden="1"/>
    </xf>
    <xf numFmtId="170" fontId="9" fillId="3" borderId="5" xfId="3" applyNumberFormat="1" applyFont="1" applyFill="1" applyBorder="1"/>
    <xf numFmtId="0" fontId="3" fillId="3" borderId="27" xfId="0" applyFont="1" applyFill="1" applyBorder="1" applyAlignment="1">
      <alignment horizontal="center"/>
    </xf>
    <xf numFmtId="0" fontId="3" fillId="3" borderId="26" xfId="0" applyFont="1" applyFill="1" applyBorder="1" applyAlignment="1">
      <alignment horizontal="center"/>
    </xf>
    <xf numFmtId="0" fontId="3" fillId="3" borderId="25" xfId="0" applyFont="1" applyFill="1" applyBorder="1" applyAlignment="1">
      <alignment horizontal="center"/>
    </xf>
    <xf numFmtId="0" fontId="0" fillId="3" borderId="4" xfId="0" applyFill="1" applyBorder="1" applyAlignment="1">
      <alignment horizontal="center"/>
    </xf>
    <xf numFmtId="0" fontId="59" fillId="12" borderId="30" xfId="0" applyFont="1" applyFill="1" applyBorder="1" applyAlignment="1">
      <alignment horizontal="left" indent="1"/>
    </xf>
    <xf numFmtId="174" fontId="59" fillId="12" borderId="29" xfId="0" applyNumberFormat="1" applyFont="1" applyFill="1" applyBorder="1" applyAlignment="1">
      <alignment horizontal="right"/>
    </xf>
    <xf numFmtId="41" fontId="59" fillId="12" borderId="30" xfId="0" applyNumberFormat="1" applyFont="1" applyFill="1" applyBorder="1" applyAlignment="1">
      <alignment horizontal="right"/>
    </xf>
    <xf numFmtId="41" fontId="59" fillId="12" borderId="29" xfId="0" applyNumberFormat="1" applyFont="1" applyFill="1" applyBorder="1" applyAlignment="1">
      <alignment horizontal="right"/>
    </xf>
    <xf numFmtId="41" fontId="59" fillId="12" borderId="28" xfId="0" applyNumberFormat="1" applyFont="1" applyFill="1" applyBorder="1" applyAlignment="1">
      <alignment horizontal="right"/>
    </xf>
    <xf numFmtId="0" fontId="42" fillId="2" borderId="0" xfId="0" applyFont="1" applyFill="1"/>
    <xf numFmtId="38" fontId="9" fillId="3" borderId="7" xfId="0" applyNumberFormat="1" applyFont="1" applyFill="1" applyBorder="1" applyAlignment="1">
      <alignment horizontal="center"/>
    </xf>
    <xf numFmtId="167" fontId="3" fillId="3" borderId="21" xfId="0" applyNumberFormat="1" applyFont="1" applyFill="1" applyBorder="1"/>
    <xf numFmtId="167" fontId="3" fillId="3" borderId="38" xfId="0" applyNumberFormat="1" applyFont="1" applyFill="1" applyBorder="1"/>
    <xf numFmtId="174" fontId="59" fillId="12" borderId="28" xfId="0" applyNumberFormat="1" applyFont="1" applyFill="1" applyBorder="1" applyAlignment="1">
      <alignment horizontal="right"/>
    </xf>
    <xf numFmtId="2" fontId="9" fillId="3" borderId="5" xfId="3" applyNumberFormat="1" applyFont="1" applyFill="1" applyBorder="1"/>
    <xf numFmtId="170" fontId="7" fillId="3" borderId="5" xfId="3" applyNumberFormat="1" applyFont="1" applyFill="1" applyBorder="1"/>
    <xf numFmtId="170" fontId="9" fillId="3" borderId="25" xfId="3" applyNumberFormat="1" applyFont="1" applyFill="1" applyBorder="1"/>
    <xf numFmtId="10" fontId="8" fillId="3" borderId="8" xfId="3" applyNumberFormat="1" applyFont="1" applyFill="1" applyBorder="1" applyAlignment="1">
      <alignment horizontal="center"/>
    </xf>
    <xf numFmtId="38" fontId="9" fillId="3" borderId="8" xfId="0" applyNumberFormat="1" applyFont="1" applyFill="1" applyBorder="1" applyAlignment="1">
      <alignment horizontal="center"/>
    </xf>
    <xf numFmtId="10" fontId="10" fillId="3" borderId="25" xfId="3" applyNumberFormat="1" applyFont="1" applyFill="1" applyBorder="1"/>
    <xf numFmtId="0" fontId="27" fillId="2" borderId="2" xfId="0" applyFont="1" applyFill="1" applyBorder="1"/>
    <xf numFmtId="0" fontId="31" fillId="3" borderId="9" xfId="0" applyFont="1" applyFill="1" applyBorder="1"/>
    <xf numFmtId="190" fontId="9" fillId="3" borderId="5" xfId="3" applyNumberFormat="1" applyFont="1" applyFill="1" applyBorder="1" applyAlignment="1">
      <alignment horizontal="right" wrapText="1"/>
    </xf>
    <xf numFmtId="191" fontId="9" fillId="3" borderId="5" xfId="3" applyNumberFormat="1" applyFont="1" applyFill="1" applyBorder="1"/>
    <xf numFmtId="168" fontId="6" fillId="5" borderId="30" xfId="0" applyNumberFormat="1" applyFont="1" applyFill="1" applyBorder="1"/>
    <xf numFmtId="168" fontId="6" fillId="5" borderId="29" xfId="0" applyNumberFormat="1" applyFont="1" applyFill="1" applyBorder="1"/>
    <xf numFmtId="14" fontId="8" fillId="3" borderId="12" xfId="0" applyNumberFormat="1" applyFont="1" applyFill="1" applyBorder="1" applyAlignment="1">
      <alignment horizontal="center" wrapText="1"/>
    </xf>
    <xf numFmtId="10" fontId="0" fillId="3" borderId="0" xfId="3" applyNumberFormat="1" applyFont="1" applyFill="1" applyBorder="1" applyAlignment="1">
      <alignment horizontal="right"/>
    </xf>
    <xf numFmtId="10" fontId="0" fillId="3" borderId="2" xfId="3" applyNumberFormat="1" applyFont="1" applyFill="1" applyBorder="1" applyAlignment="1">
      <alignment horizontal="center"/>
    </xf>
    <xf numFmtId="10" fontId="0" fillId="3" borderId="2" xfId="3" applyNumberFormat="1" applyFont="1" applyFill="1" applyBorder="1" applyAlignment="1">
      <alignment horizontal="right"/>
    </xf>
    <xf numFmtId="166" fontId="0" fillId="3" borderId="26" xfId="1" applyNumberFormat="1" applyFont="1" applyFill="1" applyBorder="1" applyAlignment="1">
      <alignment horizontal="right"/>
    </xf>
    <xf numFmtId="0" fontId="3" fillId="3" borderId="4" xfId="0" applyFont="1" applyFill="1" applyBorder="1" applyAlignment="1">
      <alignment horizontal="left"/>
    </xf>
    <xf numFmtId="10" fontId="3" fillId="3" borderId="2" xfId="3" applyNumberFormat="1" applyFont="1" applyFill="1" applyBorder="1" applyAlignment="1">
      <alignment horizontal="right"/>
    </xf>
    <xf numFmtId="198" fontId="0" fillId="2" borderId="0" xfId="1" applyNumberFormat="1" applyFont="1" applyFill="1"/>
    <xf numFmtId="44" fontId="0" fillId="3" borderId="25" xfId="2" applyFont="1" applyFill="1" applyBorder="1" applyAlignment="1" applyProtection="1">
      <alignment horizontal="center"/>
    </xf>
    <xf numFmtId="168" fontId="6" fillId="5" borderId="28" xfId="0" applyNumberFormat="1" applyFont="1" applyFill="1" applyBorder="1"/>
    <xf numFmtId="14" fontId="8" fillId="3" borderId="0" xfId="0" applyNumberFormat="1" applyFont="1" applyFill="1" applyAlignment="1">
      <alignment horizontal="center" wrapText="1"/>
    </xf>
    <xf numFmtId="3" fontId="0" fillId="3" borderId="5" xfId="0" applyNumberFormat="1" applyFill="1" applyBorder="1"/>
    <xf numFmtId="10" fontId="7" fillId="3" borderId="0" xfId="0" applyNumberFormat="1" applyFont="1" applyFill="1" applyAlignment="1">
      <alignment horizontal="center"/>
    </xf>
    <xf numFmtId="3" fontId="7" fillId="3" borderId="7" xfId="2" applyNumberFormat="1" applyFont="1" applyFill="1" applyBorder="1" applyAlignment="1" applyProtection="1">
      <alignment horizontal="center"/>
    </xf>
    <xf numFmtId="10" fontId="9" fillId="3" borderId="0" xfId="3" applyNumberFormat="1" applyFont="1" applyFill="1" applyAlignment="1">
      <alignment horizontal="center"/>
    </xf>
    <xf numFmtId="10" fontId="9" fillId="3" borderId="0" xfId="3" applyNumberFormat="1" applyFont="1" applyFill="1" applyBorder="1"/>
    <xf numFmtId="8" fontId="37" fillId="2" borderId="0" xfId="0" applyNumberFormat="1" applyFont="1" applyFill="1"/>
    <xf numFmtId="0" fontId="31" fillId="3" borderId="26" xfId="0" applyFont="1" applyFill="1" applyBorder="1" applyAlignment="1">
      <alignment horizontal="center"/>
    </xf>
    <xf numFmtId="167" fontId="3" fillId="3" borderId="22" xfId="0" applyNumberFormat="1" applyFont="1" applyFill="1" applyBorder="1"/>
    <xf numFmtId="0" fontId="3" fillId="2" borderId="0" xfId="0" applyFont="1" applyFill="1"/>
    <xf numFmtId="0" fontId="6" fillId="5" borderId="30" xfId="0" applyFont="1" applyFill="1" applyBorder="1"/>
    <xf numFmtId="175" fontId="6" fillId="5" borderId="28" xfId="2" applyNumberFormat="1" applyFont="1" applyFill="1" applyBorder="1" applyAlignment="1">
      <alignment horizontal="right"/>
    </xf>
    <xf numFmtId="0" fontId="9" fillId="3" borderId="25" xfId="0" applyFont="1" applyFill="1" applyBorder="1"/>
    <xf numFmtId="6" fontId="6" fillId="3" borderId="25" xfId="2" applyNumberFormat="1" applyFont="1" applyFill="1" applyBorder="1" applyAlignment="1">
      <alignment horizontal="right"/>
    </xf>
    <xf numFmtId="0" fontId="7" fillId="3" borderId="43" xfId="0" applyFont="1" applyFill="1" applyBorder="1"/>
    <xf numFmtId="14" fontId="7" fillId="3" borderId="44" xfId="0" applyNumberFormat="1" applyFont="1" applyFill="1" applyBorder="1"/>
    <xf numFmtId="14" fontId="7" fillId="3" borderId="45" xfId="0" applyNumberFormat="1" applyFont="1" applyFill="1" applyBorder="1"/>
    <xf numFmtId="0" fontId="9" fillId="3" borderId="5" xfId="0" applyFont="1" applyFill="1" applyBorder="1"/>
    <xf numFmtId="14" fontId="9" fillId="3" borderId="0" xfId="0" applyNumberFormat="1" applyFont="1" applyFill="1" applyAlignment="1">
      <alignment horizontal="center"/>
    </xf>
    <xf numFmtId="166" fontId="0" fillId="3" borderId="0" xfId="1" applyNumberFormat="1" applyFont="1" applyFill="1" applyBorder="1" applyAlignment="1">
      <alignment horizontal="center"/>
    </xf>
    <xf numFmtId="166" fontId="0" fillId="3" borderId="5" xfId="1" applyNumberFormat="1" applyFont="1" applyFill="1" applyBorder="1" applyAlignment="1">
      <alignment horizontal="center"/>
    </xf>
    <xf numFmtId="0" fontId="6" fillId="3" borderId="24" xfId="0" applyFont="1" applyFill="1" applyBorder="1" applyProtection="1">
      <protection hidden="1"/>
    </xf>
    <xf numFmtId="166" fontId="6" fillId="3" borderId="11" xfId="1" applyNumberFormat="1" applyFont="1" applyFill="1" applyBorder="1" applyAlignment="1" applyProtection="1">
      <alignment horizontal="right"/>
      <protection hidden="1"/>
    </xf>
    <xf numFmtId="166" fontId="0" fillId="3" borderId="5" xfId="3" applyNumberFormat="1" applyFont="1" applyFill="1" applyBorder="1"/>
    <xf numFmtId="0" fontId="7" fillId="3" borderId="9" xfId="0" applyFont="1" applyFill="1" applyBorder="1" applyAlignment="1" applyProtection="1">
      <alignment horizontal="left" indent="1"/>
      <protection hidden="1"/>
    </xf>
    <xf numFmtId="166" fontId="7" fillId="3" borderId="5" xfId="1" applyNumberFormat="1" applyFont="1" applyFill="1" applyBorder="1" applyAlignment="1" applyProtection="1">
      <alignment horizontal="right"/>
      <protection hidden="1"/>
    </xf>
    <xf numFmtId="0" fontId="7" fillId="3" borderId="9" xfId="8" applyFont="1" applyFill="1" applyBorder="1" applyAlignment="1">
      <alignment horizontal="left" indent="1"/>
    </xf>
    <xf numFmtId="10" fontId="58" fillId="2" borderId="0" xfId="0" applyNumberFormat="1" applyFont="1" applyFill="1" applyAlignment="1" applyProtection="1">
      <alignment horizontal="center"/>
      <protection hidden="1"/>
    </xf>
    <xf numFmtId="166" fontId="7" fillId="3" borderId="5" xfId="0" applyNumberFormat="1" applyFont="1" applyFill="1" applyBorder="1"/>
    <xf numFmtId="10" fontId="38" fillId="2" borderId="0" xfId="0" applyNumberFormat="1" applyFont="1" applyFill="1" applyAlignment="1" applyProtection="1">
      <alignment horizontal="center"/>
      <protection hidden="1"/>
    </xf>
    <xf numFmtId="10" fontId="9" fillId="3" borderId="5" xfId="0" applyNumberFormat="1" applyFont="1" applyFill="1" applyBorder="1"/>
    <xf numFmtId="0" fontId="0" fillId="3" borderId="4" xfId="0" applyFill="1" applyBorder="1" applyAlignment="1">
      <alignment horizontal="left" indent="1"/>
    </xf>
    <xf numFmtId="10" fontId="9" fillId="3" borderId="1" xfId="0" applyNumberFormat="1" applyFont="1" applyFill="1" applyBorder="1"/>
    <xf numFmtId="166" fontId="3" fillId="3" borderId="1" xfId="0" applyNumberFormat="1" applyFont="1" applyFill="1" applyBorder="1"/>
    <xf numFmtId="166" fontId="0" fillId="3" borderId="0" xfId="1" quotePrefix="1" applyNumberFormat="1" applyFont="1" applyFill="1" applyBorder="1" applyAlignment="1">
      <alignment horizontal="right"/>
    </xf>
    <xf numFmtId="166" fontId="0" fillId="3" borderId="2" xfId="1" applyNumberFormat="1" applyFont="1" applyFill="1" applyBorder="1"/>
    <xf numFmtId="166" fontId="0" fillId="3" borderId="2" xfId="1" quotePrefix="1" applyNumberFormat="1" applyFont="1" applyFill="1" applyBorder="1" applyAlignment="1">
      <alignment horizontal="right"/>
    </xf>
    <xf numFmtId="166" fontId="0" fillId="3" borderId="2" xfId="1" applyNumberFormat="1" applyFont="1" applyFill="1" applyBorder="1" applyAlignment="1">
      <alignment horizontal="right"/>
    </xf>
    <xf numFmtId="166" fontId="0" fillId="3" borderId="1" xfId="1" applyNumberFormat="1" applyFont="1" applyFill="1" applyBorder="1" applyAlignment="1">
      <alignment horizontal="right"/>
    </xf>
    <xf numFmtId="166" fontId="0" fillId="3" borderId="1" xfId="1" applyNumberFormat="1" applyFont="1" applyFill="1" applyBorder="1"/>
    <xf numFmtId="0" fontId="3" fillId="11" borderId="30" xfId="0" applyFont="1" applyFill="1" applyBorder="1"/>
    <xf numFmtId="0" fontId="3" fillId="11" borderId="28" xfId="0" applyFont="1" applyFill="1" applyBorder="1"/>
    <xf numFmtId="0" fontId="0" fillId="10" borderId="28" xfId="0" applyFill="1" applyBorder="1"/>
    <xf numFmtId="166" fontId="9" fillId="3" borderId="5" xfId="1" applyNumberFormat="1" applyFont="1" applyFill="1" applyBorder="1"/>
    <xf numFmtId="10" fontId="0" fillId="3" borderId="9" xfId="0" applyNumberFormat="1" applyFill="1" applyBorder="1"/>
    <xf numFmtId="10" fontId="31" fillId="3" borderId="9" xfId="0" applyNumberFormat="1" applyFont="1" applyFill="1" applyBorder="1"/>
    <xf numFmtId="10" fontId="1" fillId="3" borderId="5" xfId="3" applyNumberFormat="1" applyFont="1" applyFill="1" applyBorder="1" applyAlignment="1">
      <alignment horizontal="right" vertical="center"/>
    </xf>
    <xf numFmtId="8" fontId="0" fillId="2" borderId="0" xfId="0" applyNumberFormat="1" applyFill="1"/>
    <xf numFmtId="196" fontId="0" fillId="2" borderId="0" xfId="3" applyNumberFormat="1" applyFont="1" applyFill="1"/>
    <xf numFmtId="10" fontId="0" fillId="3" borderId="27" xfId="0" applyNumberFormat="1" applyFill="1" applyBorder="1"/>
    <xf numFmtId="0" fontId="31" fillId="3" borderId="4" xfId="0" applyFont="1" applyFill="1" applyBorder="1"/>
    <xf numFmtId="166" fontId="31" fillId="3" borderId="1" xfId="0" applyNumberFormat="1" applyFont="1" applyFill="1" applyBorder="1"/>
    <xf numFmtId="14" fontId="7" fillId="3" borderId="2" xfId="0" applyNumberFormat="1" applyFont="1" applyFill="1" applyBorder="1" applyAlignment="1">
      <alignment horizontal="center"/>
    </xf>
    <xf numFmtId="166" fontId="0" fillId="3" borderId="2" xfId="1" applyNumberFormat="1" applyFont="1" applyFill="1" applyBorder="1" applyAlignment="1">
      <alignment horizontal="center"/>
    </xf>
    <xf numFmtId="166" fontId="0" fillId="3" borderId="1" xfId="1" applyNumberFormat="1" applyFont="1" applyFill="1" applyBorder="1" applyAlignment="1">
      <alignment horizontal="center"/>
    </xf>
    <xf numFmtId="0" fontId="60" fillId="2" borderId="0" xfId="9" applyFont="1" applyFill="1"/>
    <xf numFmtId="0" fontId="61" fillId="2" borderId="0" xfId="9" applyFont="1" applyFill="1"/>
    <xf numFmtId="0" fontId="62" fillId="13" borderId="30" xfId="0" applyFont="1" applyFill="1" applyBorder="1"/>
    <xf numFmtId="0" fontId="62" fillId="13" borderId="29" xfId="0" applyFont="1" applyFill="1" applyBorder="1"/>
    <xf numFmtId="199" fontId="62" fillId="13" borderId="28" xfId="0" applyNumberFormat="1" applyFont="1" applyFill="1" applyBorder="1" applyAlignment="1">
      <alignment horizontal="left"/>
    </xf>
    <xf numFmtId="0" fontId="63" fillId="3" borderId="27" xfId="9" applyFont="1" applyFill="1" applyBorder="1"/>
    <xf numFmtId="0" fontId="63" fillId="3" borderId="26" xfId="9" applyFont="1" applyFill="1" applyBorder="1"/>
    <xf numFmtId="0" fontId="63" fillId="3" borderId="25" xfId="9" applyFont="1" applyFill="1" applyBorder="1"/>
    <xf numFmtId="0" fontId="63" fillId="2" borderId="0" xfId="9" applyFont="1" applyFill="1"/>
    <xf numFmtId="0" fontId="61" fillId="3" borderId="9" xfId="9" applyFont="1" applyFill="1" applyBorder="1"/>
    <xf numFmtId="0" fontId="61" fillId="3" borderId="0" xfId="9" applyFont="1" applyFill="1"/>
    <xf numFmtId="0" fontId="61" fillId="3" borderId="5" xfId="9" applyFont="1" applyFill="1" applyBorder="1"/>
    <xf numFmtId="200" fontId="61" fillId="3" borderId="0" xfId="1" applyNumberFormat="1" applyFont="1" applyFill="1" applyBorder="1" applyAlignment="1">
      <alignment horizontal="left"/>
    </xf>
    <xf numFmtId="3" fontId="61" fillId="3" borderId="5" xfId="1" applyNumberFormat="1" applyFont="1" applyFill="1" applyBorder="1" applyAlignment="1">
      <alignment horizontal="left"/>
    </xf>
    <xf numFmtId="0" fontId="61" fillId="3" borderId="0" xfId="9" applyFont="1" applyFill="1" applyAlignment="1">
      <alignment horizontal="left"/>
    </xf>
    <xf numFmtId="10" fontId="61" fillId="3" borderId="5" xfId="9" applyNumberFormat="1" applyFont="1" applyFill="1" applyBorder="1" applyAlignment="1">
      <alignment horizontal="left"/>
    </xf>
    <xf numFmtId="10" fontId="61" fillId="2" borderId="0" xfId="3" applyNumberFormat="1" applyFont="1" applyFill="1"/>
    <xf numFmtId="10" fontId="61" fillId="3" borderId="0" xfId="9" applyNumberFormat="1" applyFont="1" applyFill="1" applyAlignment="1">
      <alignment horizontal="left"/>
    </xf>
    <xf numFmtId="10" fontId="61" fillId="3" borderId="0" xfId="3" applyNumberFormat="1" applyFont="1" applyFill="1" applyBorder="1" applyAlignment="1">
      <alignment horizontal="left"/>
    </xf>
    <xf numFmtId="10" fontId="61" fillId="3" borderId="5" xfId="3" applyNumberFormat="1" applyFont="1" applyFill="1" applyBorder="1" applyAlignment="1">
      <alignment horizontal="left"/>
    </xf>
    <xf numFmtId="2" fontId="61" fillId="3" borderId="0" xfId="1" applyNumberFormat="1" applyFont="1" applyFill="1" applyBorder="1" applyAlignment="1">
      <alignment horizontal="left"/>
    </xf>
    <xf numFmtId="3" fontId="61" fillId="3" borderId="0" xfId="1" applyNumberFormat="1" applyFont="1" applyFill="1" applyBorder="1" applyAlignment="1">
      <alignment horizontal="left"/>
    </xf>
    <xf numFmtId="14" fontId="61" fillId="3" borderId="5" xfId="9" applyNumberFormat="1" applyFont="1" applyFill="1" applyBorder="1" applyAlignment="1">
      <alignment horizontal="left"/>
    </xf>
    <xf numFmtId="2" fontId="61" fillId="3" borderId="0" xfId="9" applyNumberFormat="1" applyFont="1" applyFill="1" applyAlignment="1">
      <alignment horizontal="left"/>
    </xf>
    <xf numFmtId="201" fontId="61" fillId="3" borderId="5" xfId="9" applyNumberFormat="1" applyFont="1" applyFill="1" applyBorder="1" applyAlignment="1">
      <alignment horizontal="left"/>
    </xf>
    <xf numFmtId="0" fontId="61" fillId="3" borderId="9" xfId="9" applyFont="1" applyFill="1" applyBorder="1" applyAlignment="1">
      <alignment wrapText="1"/>
    </xf>
    <xf numFmtId="10" fontId="61" fillId="3" borderId="0" xfId="0" applyNumberFormat="1" applyFont="1" applyFill="1" applyAlignment="1">
      <alignment horizontal="left"/>
    </xf>
    <xf numFmtId="0" fontId="61" fillId="3" borderId="4" xfId="9" applyFont="1" applyFill="1" applyBorder="1" applyAlignment="1">
      <alignment wrapText="1"/>
    </xf>
    <xf numFmtId="10" fontId="61" fillId="3" borderId="2" xfId="0" applyNumberFormat="1" applyFont="1" applyFill="1" applyBorder="1" applyAlignment="1">
      <alignment horizontal="left"/>
    </xf>
    <xf numFmtId="0" fontId="61" fillId="3" borderId="2" xfId="9" applyFont="1" applyFill="1" applyBorder="1"/>
    <xf numFmtId="10" fontId="61" fillId="3" borderId="1" xfId="3" applyNumberFormat="1" applyFont="1" applyFill="1" applyBorder="1" applyAlignment="1">
      <alignment horizontal="left"/>
    </xf>
    <xf numFmtId="0" fontId="64" fillId="5" borderId="30" xfId="9" applyFont="1" applyFill="1" applyBorder="1" applyAlignment="1">
      <alignment wrapText="1"/>
    </xf>
    <xf numFmtId="0" fontId="64" fillId="5" borderId="29" xfId="9" applyFont="1" applyFill="1" applyBorder="1" applyAlignment="1">
      <alignment wrapText="1"/>
    </xf>
    <xf numFmtId="0" fontId="66" fillId="5" borderId="28" xfId="10" applyFont="1" applyFill="1" applyBorder="1" applyAlignment="1" applyProtection="1"/>
    <xf numFmtId="0" fontId="64" fillId="3" borderId="27" xfId="9" applyFont="1" applyFill="1" applyBorder="1"/>
    <xf numFmtId="0" fontId="64" fillId="3" borderId="26" xfId="9" applyFont="1" applyFill="1" applyBorder="1"/>
    <xf numFmtId="0" fontId="61" fillId="3" borderId="25" xfId="0" applyFont="1" applyFill="1" applyBorder="1"/>
    <xf numFmtId="38" fontId="61" fillId="3" borderId="0" xfId="9" applyNumberFormat="1" applyFont="1" applyFill="1" applyAlignment="1">
      <alignment horizontal="left"/>
    </xf>
    <xf numFmtId="38" fontId="61" fillId="3" borderId="5" xfId="9" applyNumberFormat="1" applyFont="1" applyFill="1" applyBorder="1" applyAlignment="1">
      <alignment horizontal="left"/>
    </xf>
    <xf numFmtId="3" fontId="61" fillId="3" borderId="0" xfId="9" applyNumberFormat="1" applyFont="1" applyFill="1" applyAlignment="1">
      <alignment horizontal="left"/>
    </xf>
    <xf numFmtId="0" fontId="61" fillId="3" borderId="0" xfId="9" applyFont="1" applyFill="1" applyAlignment="1">
      <alignment wrapText="1"/>
    </xf>
    <xf numFmtId="10" fontId="61" fillId="3" borderId="5" xfId="0" applyNumberFormat="1" applyFont="1" applyFill="1" applyBorder="1" applyAlignment="1">
      <alignment horizontal="left"/>
    </xf>
    <xf numFmtId="3" fontId="61" fillId="3" borderId="0" xfId="0" applyNumberFormat="1" applyFont="1" applyFill="1" applyAlignment="1">
      <alignment horizontal="left"/>
    </xf>
    <xf numFmtId="171" fontId="61" fillId="3" borderId="5" xfId="0" applyNumberFormat="1" applyFont="1" applyFill="1" applyBorder="1" applyAlignment="1">
      <alignment horizontal="left"/>
    </xf>
    <xf numFmtId="3" fontId="61" fillId="3" borderId="5" xfId="0" applyNumberFormat="1" applyFont="1" applyFill="1" applyBorder="1" applyAlignment="1">
      <alignment horizontal="left"/>
    </xf>
    <xf numFmtId="3" fontId="61" fillId="3" borderId="5" xfId="9" applyNumberFormat="1" applyFont="1" applyFill="1" applyBorder="1" applyAlignment="1">
      <alignment horizontal="left"/>
    </xf>
    <xf numFmtId="3" fontId="61" fillId="3" borderId="0" xfId="3" applyNumberFormat="1" applyFont="1" applyFill="1" applyBorder="1" applyAlignment="1">
      <alignment horizontal="left"/>
    </xf>
    <xf numFmtId="10" fontId="61" fillId="3" borderId="5" xfId="9" applyNumberFormat="1" applyFont="1" applyFill="1" applyBorder="1" applyAlignment="1">
      <alignment horizontal="left" wrapText="1"/>
    </xf>
    <xf numFmtId="171" fontId="61" fillId="3" borderId="5" xfId="9" applyNumberFormat="1" applyFont="1" applyFill="1" applyBorder="1" applyAlignment="1">
      <alignment horizontal="left" wrapText="1"/>
    </xf>
    <xf numFmtId="2" fontId="61" fillId="3" borderId="0" xfId="3" applyNumberFormat="1" applyFont="1" applyFill="1" applyBorder="1" applyAlignment="1">
      <alignment horizontal="left"/>
    </xf>
    <xf numFmtId="10" fontId="61" fillId="3" borderId="5" xfId="0" quotePrefix="1" applyNumberFormat="1" applyFont="1" applyFill="1" applyBorder="1" applyAlignment="1">
      <alignment horizontal="left"/>
    </xf>
    <xf numFmtId="171" fontId="61" fillId="3" borderId="0" xfId="9" applyNumberFormat="1" applyFont="1" applyFill="1" applyAlignment="1">
      <alignment horizontal="left"/>
    </xf>
    <xf numFmtId="171" fontId="61" fillId="3" borderId="5" xfId="0" quotePrefix="1" applyNumberFormat="1" applyFont="1" applyFill="1" applyBorder="1" applyAlignment="1">
      <alignment horizontal="left"/>
    </xf>
    <xf numFmtId="0" fontId="61" fillId="3" borderId="4" xfId="9" applyFont="1" applyFill="1" applyBorder="1"/>
    <xf numFmtId="0" fontId="61" fillId="3" borderId="2" xfId="9" applyFont="1" applyFill="1" applyBorder="1" applyAlignment="1">
      <alignment horizontal="left"/>
    </xf>
    <xf numFmtId="0" fontId="61" fillId="3" borderId="1" xfId="0" applyFont="1" applyFill="1" applyBorder="1"/>
    <xf numFmtId="0" fontId="64" fillId="4" borderId="29" xfId="9" applyFont="1" applyFill="1" applyBorder="1" applyAlignment="1">
      <alignment wrapText="1"/>
    </xf>
    <xf numFmtId="0" fontId="66" fillId="4" borderId="28" xfId="10" applyFont="1" applyFill="1" applyBorder="1" applyAlignment="1" applyProtection="1"/>
    <xf numFmtId="0" fontId="47" fillId="3" borderId="27" xfId="9" applyFont="1" applyFill="1" applyBorder="1" applyAlignment="1">
      <alignment wrapText="1"/>
    </xf>
    <xf numFmtId="0" fontId="47" fillId="3" borderId="26" xfId="9" applyFont="1" applyFill="1" applyBorder="1" applyAlignment="1">
      <alignment wrapText="1"/>
    </xf>
    <xf numFmtId="0" fontId="67" fillId="3" borderId="25" xfId="10" applyFont="1" applyFill="1" applyBorder="1" applyAlignment="1" applyProtection="1"/>
    <xf numFmtId="3" fontId="47" fillId="3" borderId="5" xfId="0" applyNumberFormat="1" applyFont="1" applyFill="1" applyBorder="1" applyAlignment="1">
      <alignment horizontal="left"/>
    </xf>
    <xf numFmtId="0" fontId="47" fillId="3" borderId="9" xfId="0" applyFont="1" applyFill="1" applyBorder="1"/>
    <xf numFmtId="10" fontId="47" fillId="3" borderId="5" xfId="9" applyNumberFormat="1" applyFont="1" applyFill="1" applyBorder="1" applyAlignment="1">
      <alignment horizontal="left"/>
    </xf>
    <xf numFmtId="10" fontId="47" fillId="3" borderId="5" xfId="0" applyNumberFormat="1" applyFont="1" applyFill="1" applyBorder="1" applyAlignment="1">
      <alignment horizontal="left"/>
    </xf>
    <xf numFmtId="3" fontId="47" fillId="3" borderId="5" xfId="9" applyNumberFormat="1" applyFont="1" applyFill="1" applyBorder="1" applyAlignment="1">
      <alignment horizontal="left"/>
    </xf>
    <xf numFmtId="3" fontId="47" fillId="3" borderId="0" xfId="1" applyNumberFormat="1" applyFont="1" applyFill="1" applyBorder="1" applyAlignment="1">
      <alignment horizontal="left"/>
    </xf>
    <xf numFmtId="0" fontId="47" fillId="3" borderId="5" xfId="9" applyFont="1" applyFill="1" applyBorder="1"/>
    <xf numFmtId="10" fontId="47" fillId="3" borderId="0" xfId="3" applyNumberFormat="1" applyFont="1" applyFill="1" applyBorder="1" applyAlignment="1">
      <alignment horizontal="left" vertical="center"/>
    </xf>
    <xf numFmtId="0" fontId="47" fillId="3" borderId="9" xfId="9" applyFont="1" applyFill="1" applyBorder="1"/>
    <xf numFmtId="3" fontId="47" fillId="3" borderId="5" xfId="9" applyNumberFormat="1" applyFont="1" applyFill="1" applyBorder="1" applyAlignment="1">
      <alignment horizontal="left" wrapText="1"/>
    </xf>
    <xf numFmtId="0" fontId="47" fillId="3" borderId="4" xfId="0" applyFont="1" applyFill="1" applyBorder="1"/>
    <xf numFmtId="0" fontId="47" fillId="3" borderId="2" xfId="9" applyFont="1" applyFill="1" applyBorder="1" applyAlignment="1">
      <alignment wrapText="1"/>
    </xf>
    <xf numFmtId="0" fontId="67" fillId="3" borderId="1" xfId="10" applyFont="1" applyFill="1" applyBorder="1" applyAlignment="1" applyProtection="1"/>
    <xf numFmtId="0" fontId="68" fillId="5" borderId="28" xfId="10" applyFont="1" applyFill="1" applyBorder="1" applyAlignment="1" applyProtection="1"/>
    <xf numFmtId="0" fontId="64" fillId="3" borderId="9" xfId="9" applyFont="1" applyFill="1" applyBorder="1"/>
    <xf numFmtId="0" fontId="64" fillId="3" borderId="5" xfId="9" applyFont="1" applyFill="1" applyBorder="1"/>
    <xf numFmtId="0" fontId="66" fillId="3" borderId="5" xfId="10" applyFont="1" applyFill="1" applyBorder="1" applyAlignment="1" applyProtection="1"/>
    <xf numFmtId="0" fontId="68" fillId="3" borderId="5" xfId="10" applyFont="1" applyFill="1" applyBorder="1" applyAlignment="1" applyProtection="1"/>
    <xf numFmtId="14" fontId="61" fillId="3" borderId="0" xfId="9" applyNumberFormat="1" applyFont="1" applyFill="1" applyAlignment="1">
      <alignment horizontal="left"/>
    </xf>
    <xf numFmtId="0" fontId="47" fillId="3" borderId="0" xfId="9" applyFont="1" applyFill="1" applyAlignment="1">
      <alignment wrapText="1"/>
    </xf>
    <xf numFmtId="0" fontId="47" fillId="3" borderId="0" xfId="0" applyFont="1" applyFill="1" applyAlignment="1">
      <alignment horizontal="left"/>
    </xf>
    <xf numFmtId="0" fontId="47" fillId="3" borderId="0" xfId="9" applyFont="1" applyFill="1"/>
    <xf numFmtId="10" fontId="47" fillId="3" borderId="0" xfId="0" applyNumberFormat="1" applyFont="1" applyFill="1" applyAlignment="1">
      <alignment horizontal="left"/>
    </xf>
    <xf numFmtId="3" fontId="47" fillId="3" borderId="0" xfId="0" applyNumberFormat="1" applyFont="1" applyFill="1" applyAlignment="1">
      <alignment horizontal="left"/>
    </xf>
    <xf numFmtId="166" fontId="37" fillId="2" borderId="0" xfId="1" applyNumberFormat="1" applyFont="1" applyFill="1"/>
    <xf numFmtId="3" fontId="37" fillId="2" borderId="0" xfId="0" applyNumberFormat="1" applyFont="1" applyFill="1"/>
    <xf numFmtId="0" fontId="7" fillId="3" borderId="0" xfId="0" applyFont="1" applyFill="1"/>
    <xf numFmtId="10" fontId="0" fillId="2" borderId="0" xfId="3" applyNumberFormat="1" applyFont="1" applyFill="1" applyAlignment="1">
      <alignment horizontal="center"/>
    </xf>
    <xf numFmtId="43" fontId="69" fillId="0" borderId="0" xfId="1" applyFont="1"/>
    <xf numFmtId="0" fontId="61" fillId="3" borderId="2" xfId="9" applyFont="1" applyFill="1" applyBorder="1" applyAlignment="1">
      <alignment wrapText="1"/>
    </xf>
    <xf numFmtId="0" fontId="68" fillId="3" borderId="1" xfId="10" applyFont="1" applyFill="1" applyBorder="1" applyAlignment="1" applyProtection="1"/>
    <xf numFmtId="166" fontId="0" fillId="3" borderId="20" xfId="1" applyNumberFormat="1" applyFont="1" applyFill="1" applyBorder="1"/>
    <xf numFmtId="166" fontId="31" fillId="3" borderId="5" xfId="1" applyNumberFormat="1" applyFont="1" applyFill="1" applyBorder="1"/>
    <xf numFmtId="166" fontId="0" fillId="3" borderId="11" xfId="1" applyNumberFormat="1" applyFont="1" applyFill="1" applyBorder="1"/>
    <xf numFmtId="0" fontId="3" fillId="3" borderId="46" xfId="0" applyFont="1" applyFill="1" applyBorder="1"/>
    <xf numFmtId="166" fontId="3" fillId="3" borderId="37" xfId="1" applyNumberFormat="1" applyFont="1" applyFill="1" applyBorder="1"/>
    <xf numFmtId="14" fontId="9" fillId="3" borderId="12" xfId="0" applyNumberFormat="1" applyFont="1" applyFill="1" applyBorder="1" applyAlignment="1">
      <alignment horizontal="center"/>
    </xf>
    <xf numFmtId="167" fontId="3" fillId="3" borderId="21" xfId="0" applyNumberFormat="1" applyFont="1" applyFill="1" applyBorder="1" applyAlignment="1">
      <alignment horizontal="center"/>
    </xf>
    <xf numFmtId="3" fontId="0" fillId="3" borderId="7" xfId="2" applyNumberFormat="1" applyFont="1" applyFill="1" applyBorder="1" applyAlignment="1" applyProtection="1">
      <alignment horizontal="center"/>
    </xf>
    <xf numFmtId="43" fontId="0" fillId="3" borderId="0" xfId="1" applyFont="1" applyFill="1"/>
    <xf numFmtId="0" fontId="7" fillId="3" borderId="27" xfId="0" applyFont="1" applyFill="1" applyBorder="1"/>
    <xf numFmtId="0" fontId="7" fillId="3" borderId="26" xfId="0" applyFont="1" applyFill="1" applyBorder="1"/>
    <xf numFmtId="0" fontId="7" fillId="3" borderId="25" xfId="0" applyFont="1" applyFill="1" applyBorder="1"/>
    <xf numFmtId="0" fontId="6" fillId="3" borderId="9" xfId="0" applyFont="1" applyFill="1" applyBorder="1" applyAlignment="1">
      <alignment horizontal="left"/>
    </xf>
    <xf numFmtId="174" fontId="7" fillId="3" borderId="0" xfId="0" applyNumberFormat="1" applyFont="1" applyFill="1" applyAlignment="1">
      <alignment horizontal="right"/>
    </xf>
    <xf numFmtId="174" fontId="7" fillId="3" borderId="5" xfId="0" applyNumberFormat="1" applyFont="1" applyFill="1" applyBorder="1" applyAlignment="1">
      <alignment horizontal="right"/>
    </xf>
    <xf numFmtId="0" fontId="7" fillId="3" borderId="24" xfId="0" applyFont="1" applyFill="1" applyBorder="1" applyAlignment="1">
      <alignment horizontal="left"/>
    </xf>
    <xf numFmtId="14" fontId="7" fillId="3" borderId="12" xfId="0" applyNumberFormat="1" applyFont="1" applyFill="1" applyBorder="1" applyAlignment="1">
      <alignment horizontal="right"/>
    </xf>
    <xf numFmtId="14" fontId="7" fillId="3" borderId="11" xfId="0" applyNumberFormat="1" applyFont="1" applyFill="1" applyBorder="1" applyAlignment="1">
      <alignment horizontal="right"/>
    </xf>
    <xf numFmtId="0" fontId="7" fillId="3" borderId="5" xfId="0" applyFont="1" applyFill="1" applyBorder="1"/>
    <xf numFmtId="166" fontId="7" fillId="3" borderId="0" xfId="1" applyNumberFormat="1" applyFont="1" applyFill="1" applyBorder="1"/>
    <xf numFmtId="166" fontId="7" fillId="3" borderId="0" xfId="0" applyNumberFormat="1" applyFont="1" applyFill="1"/>
    <xf numFmtId="0" fontId="6" fillId="3" borderId="4" xfId="0" applyFont="1" applyFill="1" applyBorder="1"/>
    <xf numFmtId="166" fontId="7" fillId="3" borderId="2" xfId="0" applyNumberFormat="1" applyFont="1" applyFill="1" applyBorder="1"/>
    <xf numFmtId="0" fontId="7" fillId="3" borderId="2" xfId="0" applyFont="1" applyFill="1" applyBorder="1"/>
    <xf numFmtId="0" fontId="7" fillId="3" borderId="1" xfId="0" applyFont="1" applyFill="1" applyBorder="1"/>
    <xf numFmtId="0" fontId="27" fillId="3" borderId="40" xfId="0" applyFont="1" applyFill="1" applyBorder="1"/>
    <xf numFmtId="0" fontId="27" fillId="3" borderId="41" xfId="0" applyFont="1" applyFill="1" applyBorder="1"/>
    <xf numFmtId="0" fontId="27" fillId="3" borderId="42" xfId="0" applyFont="1" applyFill="1" applyBorder="1"/>
    <xf numFmtId="3" fontId="0" fillId="3" borderId="0" xfId="0" applyNumberFormat="1" applyFill="1"/>
    <xf numFmtId="0" fontId="0" fillId="3" borderId="0" xfId="0" quotePrefix="1" applyFill="1" applyAlignment="1">
      <alignment horizontal="right"/>
    </xf>
    <xf numFmtId="10" fontId="7" fillId="3" borderId="5" xfId="0" applyNumberFormat="1" applyFont="1" applyFill="1" applyBorder="1"/>
    <xf numFmtId="194" fontId="61" fillId="3" borderId="0" xfId="9" applyNumberFormat="1" applyFont="1" applyFill="1" applyAlignment="1">
      <alignment horizontal="left"/>
    </xf>
    <xf numFmtId="38" fontId="61" fillId="2" borderId="0" xfId="9" applyNumberFormat="1" applyFont="1" applyFill="1"/>
    <xf numFmtId="0" fontId="70" fillId="2" borderId="0" xfId="0" applyFont="1" applyFill="1" applyAlignment="1">
      <alignment horizontal="left" vertical="center" indent="4"/>
    </xf>
    <xf numFmtId="0" fontId="71" fillId="2" borderId="0" xfId="0" applyFont="1" applyFill="1" applyAlignment="1">
      <alignment horizontal="left" vertical="center" indent="9"/>
    </xf>
    <xf numFmtId="4" fontId="55" fillId="2" borderId="0" xfId="0" applyNumberFormat="1" applyFont="1" applyFill="1"/>
    <xf numFmtId="198" fontId="61" fillId="2" borderId="0" xfId="1" applyNumberFormat="1" applyFont="1" applyFill="1"/>
    <xf numFmtId="43" fontId="61" fillId="2" borderId="0" xfId="9" applyNumberFormat="1" applyFont="1" applyFill="1"/>
    <xf numFmtId="0" fontId="64" fillId="3" borderId="0" xfId="9" applyFont="1" applyFill="1"/>
    <xf numFmtId="166" fontId="58" fillId="3" borderId="0" xfId="1" applyNumberFormat="1" applyFont="1" applyFill="1" applyBorder="1" applyAlignment="1">
      <alignment horizontal="right"/>
    </xf>
    <xf numFmtId="10" fontId="37" fillId="2" borderId="0" xfId="3" applyNumberFormat="1" applyFont="1" applyFill="1" applyAlignment="1">
      <alignment horizontal="left"/>
    </xf>
    <xf numFmtId="0" fontId="37" fillId="2" borderId="0" xfId="0" applyFont="1" applyFill="1" applyAlignment="1">
      <alignment horizontal="left"/>
    </xf>
    <xf numFmtId="10" fontId="42" fillId="2" borderId="0" xfId="0" applyNumberFormat="1" applyFont="1" applyFill="1" applyAlignment="1">
      <alignment horizontal="left"/>
    </xf>
    <xf numFmtId="10" fontId="56" fillId="2" borderId="0" xfId="0" applyNumberFormat="1" applyFont="1" applyFill="1" applyAlignment="1">
      <alignment horizontal="left"/>
    </xf>
    <xf numFmtId="3" fontId="39" fillId="3" borderId="0" xfId="4" applyNumberFormat="1" applyFont="1" applyFill="1" applyAlignment="1">
      <alignment horizontal="right"/>
    </xf>
    <xf numFmtId="4" fontId="39" fillId="3" borderId="0" xfId="4" applyNumberFormat="1" applyFont="1" applyFill="1" applyAlignment="1">
      <alignment horizontal="right"/>
    </xf>
    <xf numFmtId="3" fontId="39" fillId="3" borderId="0" xfId="4" applyNumberFormat="1" applyFont="1" applyFill="1" applyAlignment="1">
      <alignment horizontal="center"/>
    </xf>
    <xf numFmtId="0" fontId="39" fillId="3" borderId="0" xfId="4" applyFont="1" applyFill="1"/>
    <xf numFmtId="38" fontId="31" fillId="3" borderId="0" xfId="0" applyNumberFormat="1" applyFont="1" applyFill="1" applyAlignment="1">
      <alignment horizontal="center"/>
    </xf>
    <xf numFmtId="37" fontId="7" fillId="3" borderId="0" xfId="0" applyNumberFormat="1" applyFont="1" applyFill="1" applyAlignment="1">
      <alignment horizontal="center"/>
    </xf>
    <xf numFmtId="169" fontId="57" fillId="3" borderId="26" xfId="0" applyNumberFormat="1" applyFont="1" applyFill="1" applyBorder="1" applyAlignment="1">
      <alignment horizontal="center" wrapText="1"/>
    </xf>
    <xf numFmtId="37" fontId="7" fillId="3" borderId="0" xfId="1" applyNumberFormat="1" applyFont="1" applyFill="1" applyAlignment="1">
      <alignment horizontal="center"/>
    </xf>
    <xf numFmtId="10" fontId="39" fillId="2" borderId="0" xfId="3" applyNumberFormat="1" applyFont="1" applyFill="1" applyAlignment="1">
      <alignment horizontal="left"/>
    </xf>
    <xf numFmtId="188" fontId="47" fillId="3" borderId="1" xfId="4" applyNumberFormat="1" applyFont="1" applyFill="1" applyBorder="1" applyAlignment="1">
      <alignment horizontal="center"/>
    </xf>
    <xf numFmtId="0" fontId="37" fillId="3" borderId="27" xfId="0" applyFont="1" applyFill="1" applyBorder="1"/>
    <xf numFmtId="2" fontId="37" fillId="3" borderId="5" xfId="0" applyNumberFormat="1" applyFont="1" applyFill="1" applyBorder="1"/>
    <xf numFmtId="0" fontId="37" fillId="3" borderId="5" xfId="0" applyFont="1" applyFill="1" applyBorder="1"/>
    <xf numFmtId="10" fontId="37" fillId="3" borderId="5" xfId="3" applyNumberFormat="1" applyFont="1" applyFill="1" applyBorder="1"/>
    <xf numFmtId="0" fontId="37" fillId="3" borderId="4" xfId="0" applyFont="1" applyFill="1" applyBorder="1"/>
    <xf numFmtId="166" fontId="48" fillId="3" borderId="25" xfId="1" applyNumberFormat="1" applyFont="1" applyFill="1" applyBorder="1"/>
    <xf numFmtId="166" fontId="48" fillId="3" borderId="5" xfId="0" applyNumberFormat="1" applyFont="1" applyFill="1" applyBorder="1"/>
    <xf numFmtId="10" fontId="48" fillId="3" borderId="5" xfId="0" applyNumberFormat="1" applyFont="1" applyFill="1" applyBorder="1"/>
    <xf numFmtId="10" fontId="48" fillId="3" borderId="5" xfId="3" applyNumberFormat="1" applyFont="1" applyFill="1" applyBorder="1"/>
    <xf numFmtId="0" fontId="45" fillId="3" borderId="9" xfId="0" applyFont="1" applyFill="1" applyBorder="1"/>
    <xf numFmtId="10" fontId="45" fillId="3" borderId="5" xfId="3" applyNumberFormat="1" applyFont="1" applyFill="1" applyBorder="1" applyAlignment="1">
      <alignment horizontal="right"/>
    </xf>
    <xf numFmtId="10" fontId="46" fillId="3" borderId="5" xfId="4" applyNumberFormat="1" applyFont="1" applyFill="1" applyBorder="1" applyAlignment="1">
      <alignment horizontal="right"/>
    </xf>
    <xf numFmtId="0" fontId="45" fillId="3" borderId="4" xfId="0" applyFont="1" applyFill="1" applyBorder="1"/>
    <xf numFmtId="2" fontId="45" fillId="3" borderId="1" xfId="0" applyNumberFormat="1" applyFont="1" applyFill="1" applyBorder="1"/>
    <xf numFmtId="175" fontId="0" fillId="3" borderId="0" xfId="2" applyNumberFormat="1" applyFont="1" applyFill="1" applyBorder="1" applyAlignment="1">
      <alignment horizontal="right"/>
    </xf>
    <xf numFmtId="166" fontId="6" fillId="3" borderId="0" xfId="1" applyNumberFormat="1" applyFont="1" applyFill="1" applyBorder="1" applyAlignment="1">
      <alignment horizontal="right"/>
    </xf>
    <xf numFmtId="166" fontId="6" fillId="3" borderId="5" xfId="1" applyNumberFormat="1" applyFont="1" applyFill="1" applyBorder="1" applyAlignment="1">
      <alignment horizontal="right"/>
    </xf>
    <xf numFmtId="175" fontId="31" fillId="3" borderId="0" xfId="2" applyNumberFormat="1" applyFont="1" applyFill="1" applyBorder="1" applyAlignment="1">
      <alignment horizontal="right"/>
    </xf>
    <xf numFmtId="43" fontId="57" fillId="3" borderId="0" xfId="1" applyFont="1" applyFill="1" applyBorder="1" applyAlignment="1">
      <alignment horizontal="right"/>
    </xf>
    <xf numFmtId="43" fontId="57" fillId="3" borderId="5" xfId="1" applyFont="1" applyFill="1" applyBorder="1" applyAlignment="1">
      <alignment horizontal="right"/>
    </xf>
    <xf numFmtId="0" fontId="6" fillId="3" borderId="9" xfId="0" applyFont="1" applyFill="1" applyBorder="1" applyAlignment="1">
      <alignment horizontal="left" indent="1"/>
    </xf>
    <xf numFmtId="166" fontId="3" fillId="3" borderId="0" xfId="1" applyNumberFormat="1" applyFont="1" applyFill="1" applyBorder="1"/>
    <xf numFmtId="202" fontId="49" fillId="3" borderId="0" xfId="4" applyNumberFormat="1" applyFont="1" applyFill="1" applyAlignment="1">
      <alignment horizontal="center"/>
    </xf>
    <xf numFmtId="202" fontId="49" fillId="3" borderId="5" xfId="4" applyNumberFormat="1" applyFont="1" applyFill="1" applyBorder="1" applyAlignment="1">
      <alignment horizontal="center"/>
    </xf>
    <xf numFmtId="0" fontId="0" fillId="0" borderId="0" xfId="0" applyAlignment="1">
      <alignment vertical="center"/>
    </xf>
    <xf numFmtId="0" fontId="42" fillId="10" borderId="28" xfId="0" applyFont="1" applyFill="1" applyBorder="1" applyAlignment="1">
      <alignment horizontal="center"/>
    </xf>
    <xf numFmtId="197" fontId="37" fillId="2" borderId="0" xfId="0" applyNumberFormat="1" applyFont="1" applyFill="1"/>
    <xf numFmtId="0" fontId="42" fillId="10" borderId="29" xfId="0" applyFont="1" applyFill="1" applyBorder="1" applyAlignment="1">
      <alignment horizontal="center"/>
    </xf>
    <xf numFmtId="166" fontId="37" fillId="3" borderId="26" xfId="0" applyNumberFormat="1" applyFont="1" applyFill="1" applyBorder="1" applyAlignment="1" applyProtection="1">
      <alignment horizontal="center" vertical="center"/>
      <protection hidden="1"/>
    </xf>
    <xf numFmtId="43" fontId="37" fillId="3" borderId="26" xfId="0" applyNumberFormat="1" applyFont="1" applyFill="1" applyBorder="1"/>
    <xf numFmtId="10" fontId="56" fillId="3" borderId="26" xfId="0" applyNumberFormat="1" applyFont="1" applyFill="1" applyBorder="1"/>
    <xf numFmtId="166" fontId="37" fillId="3" borderId="0" xfId="0" applyNumberFormat="1" applyFont="1" applyFill="1" applyAlignment="1" applyProtection="1">
      <alignment horizontal="center" vertical="center"/>
      <protection hidden="1"/>
    </xf>
    <xf numFmtId="43" fontId="37" fillId="3" borderId="0" xfId="0" applyNumberFormat="1" applyFont="1" applyFill="1"/>
    <xf numFmtId="10" fontId="37" fillId="3" borderId="0" xfId="0" applyNumberFormat="1" applyFont="1" applyFill="1"/>
    <xf numFmtId="43" fontId="37" fillId="3" borderId="5" xfId="0" applyNumberFormat="1" applyFont="1" applyFill="1" applyBorder="1"/>
    <xf numFmtId="0" fontId="37" fillId="3" borderId="0" xfId="0" applyFont="1" applyFill="1"/>
    <xf numFmtId="0" fontId="37" fillId="3" borderId="2" xfId="0" applyFont="1" applyFill="1" applyBorder="1"/>
    <xf numFmtId="8" fontId="37" fillId="3" borderId="2" xfId="0" applyNumberFormat="1" applyFont="1" applyFill="1" applyBorder="1"/>
    <xf numFmtId="0" fontId="42" fillId="3" borderId="0" xfId="0" applyFont="1" applyFill="1"/>
    <xf numFmtId="0" fontId="42" fillId="3" borderId="2" xfId="0" applyFont="1" applyFill="1" applyBorder="1"/>
    <xf numFmtId="166" fontId="56" fillId="3" borderId="0" xfId="1" applyNumberFormat="1" applyFont="1" applyFill="1" applyBorder="1" applyAlignment="1" applyProtection="1">
      <alignment horizontal="right"/>
      <protection hidden="1"/>
    </xf>
    <xf numFmtId="0" fontId="31" fillId="2" borderId="0" xfId="0" applyFont="1" applyFill="1"/>
    <xf numFmtId="14" fontId="0" fillId="0" borderId="0" xfId="0" applyNumberFormat="1"/>
    <xf numFmtId="10" fontId="0" fillId="0" borderId="0" xfId="3" applyNumberFormat="1" applyFont="1"/>
    <xf numFmtId="0" fontId="49" fillId="2" borderId="0" xfId="0" applyFont="1" applyFill="1"/>
    <xf numFmtId="14" fontId="72" fillId="2" borderId="0" xfId="0" applyNumberFormat="1" applyFont="1" applyFill="1" applyAlignment="1">
      <alignment horizontal="center"/>
    </xf>
    <xf numFmtId="0" fontId="51" fillId="10" borderId="30" xfId="0" applyFont="1" applyFill="1" applyBorder="1"/>
    <xf numFmtId="0" fontId="49" fillId="3" borderId="27" xfId="0" applyFont="1" applyFill="1" applyBorder="1"/>
    <xf numFmtId="14" fontId="37" fillId="3" borderId="26" xfId="0" applyNumberFormat="1" applyFont="1" applyFill="1" applyBorder="1" applyAlignment="1" applyProtection="1">
      <alignment horizontal="center" vertical="center"/>
      <protection hidden="1"/>
    </xf>
    <xf numFmtId="10" fontId="39" fillId="3" borderId="26" xfId="0" applyNumberFormat="1" applyFont="1" applyFill="1" applyBorder="1" applyAlignment="1" applyProtection="1">
      <alignment horizontal="center" vertical="center"/>
      <protection hidden="1"/>
    </xf>
    <xf numFmtId="10" fontId="56" fillId="3" borderId="26" xfId="0" applyNumberFormat="1" applyFont="1" applyFill="1" applyBorder="1" applyAlignment="1" applyProtection="1">
      <alignment horizontal="center" vertical="center"/>
      <protection hidden="1"/>
    </xf>
    <xf numFmtId="10" fontId="37" fillId="3" borderId="26" xfId="0" applyNumberFormat="1" applyFont="1" applyFill="1" applyBorder="1"/>
    <xf numFmtId="10" fontId="37" fillId="3" borderId="26" xfId="3" applyNumberFormat="1" applyFont="1" applyFill="1" applyBorder="1"/>
    <xf numFmtId="0" fontId="49" fillId="3" borderId="9" xfId="0" applyFont="1" applyFill="1" applyBorder="1"/>
    <xf numFmtId="10" fontId="37" fillId="3" borderId="0" xfId="0" applyNumberFormat="1" applyFont="1" applyFill="1" applyAlignment="1" applyProtection="1">
      <alignment horizontal="center" vertical="center"/>
      <protection hidden="1"/>
    </xf>
    <xf numFmtId="10" fontId="37" fillId="3" borderId="0" xfId="3" applyNumberFormat="1" applyFont="1" applyFill="1" applyBorder="1"/>
    <xf numFmtId="0" fontId="49" fillId="3" borderId="4" xfId="0" applyFont="1" applyFill="1" applyBorder="1"/>
    <xf numFmtId="43" fontId="37" fillId="3" borderId="2" xfId="0" applyNumberFormat="1" applyFont="1" applyFill="1" applyBorder="1"/>
    <xf numFmtId="0" fontId="37" fillId="3" borderId="1" xfId="0" applyFont="1" applyFill="1" applyBorder="1"/>
    <xf numFmtId="10" fontId="39" fillId="3" borderId="0" xfId="0" applyNumberFormat="1" applyFont="1" applyFill="1" applyAlignment="1" applyProtection="1">
      <alignment horizontal="center" vertical="center"/>
      <protection hidden="1"/>
    </xf>
    <xf numFmtId="14" fontId="56" fillId="3" borderId="25" xfId="0" applyNumberFormat="1" applyFont="1" applyFill="1" applyBorder="1"/>
    <xf numFmtId="14" fontId="56" fillId="3" borderId="5" xfId="0" applyNumberFormat="1" applyFont="1" applyFill="1" applyBorder="1"/>
    <xf numFmtId="166" fontId="37" fillId="3" borderId="5" xfId="1" applyNumberFormat="1" applyFont="1" applyFill="1" applyBorder="1"/>
    <xf numFmtId="166" fontId="37" fillId="3" borderId="1" xfId="0" applyNumberFormat="1" applyFont="1" applyFill="1" applyBorder="1"/>
    <xf numFmtId="10" fontId="38" fillId="2" borderId="0" xfId="0" applyNumberFormat="1" applyFont="1" applyFill="1" applyAlignment="1">
      <alignment horizontal="left"/>
    </xf>
    <xf numFmtId="43" fontId="9" fillId="3" borderId="5" xfId="1" applyFont="1" applyFill="1" applyBorder="1"/>
    <xf numFmtId="166" fontId="73" fillId="3" borderId="5" xfId="1" applyNumberFormat="1" applyFont="1" applyFill="1" applyBorder="1"/>
    <xf numFmtId="0" fontId="56" fillId="3" borderId="5" xfId="0" applyFont="1" applyFill="1" applyBorder="1"/>
    <xf numFmtId="10" fontId="58" fillId="2" borderId="0" xfId="0" applyNumberFormat="1" applyFont="1" applyFill="1" applyAlignment="1">
      <alignment horizontal="left"/>
    </xf>
    <xf numFmtId="0" fontId="38" fillId="3" borderId="35" xfId="0" applyFont="1" applyFill="1" applyBorder="1"/>
    <xf numFmtId="166" fontId="39" fillId="3" borderId="12" xfId="1" applyNumberFormat="1" applyFont="1" applyFill="1" applyBorder="1" applyAlignment="1">
      <alignment horizontal="right"/>
    </xf>
    <xf numFmtId="43" fontId="39" fillId="3" borderId="11" xfId="1" applyFont="1" applyFill="1" applyBorder="1" applyAlignment="1">
      <alignment horizontal="right"/>
    </xf>
    <xf numFmtId="0" fontId="38" fillId="3" borderId="27" xfId="0" applyFont="1" applyFill="1" applyBorder="1"/>
    <xf numFmtId="6" fontId="38" fillId="3" borderId="26" xfId="2" applyNumberFormat="1" applyFont="1" applyFill="1" applyBorder="1" applyAlignment="1">
      <alignment horizontal="right"/>
    </xf>
    <xf numFmtId="43" fontId="38" fillId="3" borderId="25" xfId="1" applyFont="1" applyFill="1" applyBorder="1" applyAlignment="1">
      <alignment horizontal="right"/>
    </xf>
    <xf numFmtId="0" fontId="41" fillId="3" borderId="9" xfId="0" applyFont="1" applyFill="1" applyBorder="1" applyAlignment="1" applyProtection="1">
      <alignment horizontal="left" indent="1"/>
      <protection hidden="1"/>
    </xf>
    <xf numFmtId="166" fontId="41" fillId="3" borderId="0" xfId="1" applyNumberFormat="1" applyFont="1" applyFill="1" applyBorder="1" applyAlignment="1" applyProtection="1">
      <alignment horizontal="right"/>
      <protection hidden="1"/>
    </xf>
    <xf numFmtId="43" fontId="41" fillId="3" borderId="5" xfId="1" applyFont="1" applyFill="1" applyBorder="1" applyAlignment="1" applyProtection="1">
      <alignment horizontal="right"/>
      <protection hidden="1"/>
    </xf>
    <xf numFmtId="0" fontId="41" fillId="3" borderId="4" xfId="0" applyFont="1" applyFill="1" applyBorder="1" applyAlignment="1" applyProtection="1">
      <alignment horizontal="left" indent="1"/>
      <protection hidden="1"/>
    </xf>
    <xf numFmtId="166" fontId="41" fillId="3" borderId="2" xfId="1" applyNumberFormat="1" applyFont="1" applyFill="1" applyBorder="1" applyAlignment="1" applyProtection="1">
      <alignment horizontal="right"/>
      <protection hidden="1"/>
    </xf>
    <xf numFmtId="43" fontId="41" fillId="3" borderId="1" xfId="1" applyFont="1" applyFill="1" applyBorder="1" applyAlignment="1" applyProtection="1">
      <alignment horizontal="right"/>
      <protection hidden="1"/>
    </xf>
    <xf numFmtId="0" fontId="27" fillId="3" borderId="39" xfId="0" applyFont="1" applyFill="1" applyBorder="1"/>
    <xf numFmtId="0" fontId="49" fillId="7" borderId="9" xfId="0" applyFont="1" applyFill="1" applyBorder="1"/>
    <xf numFmtId="166" fontId="37" fillId="7" borderId="0" xfId="0" applyNumberFormat="1" applyFont="1" applyFill="1" applyAlignment="1" applyProtection="1">
      <alignment horizontal="center" vertical="center"/>
      <protection hidden="1"/>
    </xf>
    <xf numFmtId="10" fontId="39" fillId="7" borderId="0" xfId="0" applyNumberFormat="1" applyFont="1" applyFill="1" applyAlignment="1" applyProtection="1">
      <alignment horizontal="center" vertical="center"/>
      <protection hidden="1"/>
    </xf>
    <xf numFmtId="10" fontId="37" fillId="7" borderId="0" xfId="0" applyNumberFormat="1" applyFont="1" applyFill="1" applyAlignment="1" applyProtection="1">
      <alignment horizontal="center" vertical="center"/>
      <protection hidden="1"/>
    </xf>
    <xf numFmtId="10" fontId="37" fillId="7" borderId="0" xfId="0" applyNumberFormat="1" applyFont="1" applyFill="1"/>
    <xf numFmtId="10" fontId="37" fillId="7" borderId="0" xfId="3" applyNumberFormat="1" applyFont="1" applyFill="1" applyBorder="1"/>
    <xf numFmtId="203" fontId="47" fillId="3" borderId="5" xfId="2" applyNumberFormat="1" applyFont="1" applyFill="1" applyBorder="1" applyAlignment="1">
      <alignment horizontal="left"/>
    </xf>
    <xf numFmtId="0" fontId="45" fillId="5" borderId="30" xfId="4" applyFont="1" applyFill="1" applyBorder="1"/>
    <xf numFmtId="0" fontId="45" fillId="5" borderId="29" xfId="4" applyFont="1" applyFill="1" applyBorder="1"/>
    <xf numFmtId="0" fontId="45" fillId="5" borderId="28" xfId="4" applyFont="1" applyFill="1" applyBorder="1"/>
    <xf numFmtId="0" fontId="46" fillId="4" borderId="30" xfId="4" applyFont="1" applyFill="1" applyBorder="1"/>
    <xf numFmtId="0" fontId="47" fillId="4" borderId="29" xfId="4" applyFont="1" applyFill="1" applyBorder="1"/>
    <xf numFmtId="0" fontId="47" fillId="4" borderId="28" xfId="4" applyFont="1" applyFill="1" applyBorder="1"/>
    <xf numFmtId="0" fontId="46" fillId="3" borderId="27" xfId="4" applyFont="1" applyFill="1" applyBorder="1"/>
    <xf numFmtId="0" fontId="47" fillId="3" borderId="26" xfId="4" applyFont="1" applyFill="1" applyBorder="1"/>
    <xf numFmtId="0" fontId="74" fillId="3" borderId="0" xfId="4" applyFont="1" applyFill="1" applyAlignment="1">
      <alignment horizontal="center"/>
    </xf>
    <xf numFmtId="0" fontId="74" fillId="3" borderId="5" xfId="4" applyFont="1" applyFill="1" applyBorder="1" applyAlignment="1">
      <alignment horizontal="center"/>
    </xf>
    <xf numFmtId="0" fontId="75" fillId="3" borderId="0" xfId="4" applyFont="1" applyFill="1" applyAlignment="1">
      <alignment horizontal="center"/>
    </xf>
    <xf numFmtId="0" fontId="75" fillId="3" borderId="5" xfId="4" applyFont="1" applyFill="1" applyBorder="1" applyAlignment="1">
      <alignment horizontal="center"/>
    </xf>
    <xf numFmtId="38" fontId="47" fillId="3" borderId="2" xfId="4" applyNumberFormat="1" applyFont="1" applyFill="1" applyBorder="1" applyAlignment="1">
      <alignment horizontal="center"/>
    </xf>
    <xf numFmtId="38" fontId="47" fillId="3" borderId="1" xfId="4" applyNumberFormat="1" applyFont="1" applyFill="1" applyBorder="1" applyAlignment="1">
      <alignment horizontal="center"/>
    </xf>
    <xf numFmtId="0" fontId="46" fillId="4" borderId="29" xfId="4" applyFont="1" applyFill="1" applyBorder="1"/>
    <xf numFmtId="0" fontId="46" fillId="3" borderId="26" xfId="4" applyFont="1" applyFill="1" applyBorder="1"/>
    <xf numFmtId="38" fontId="47" fillId="3" borderId="5" xfId="4" applyNumberFormat="1" applyFont="1" applyFill="1" applyBorder="1" applyAlignment="1">
      <alignment horizontal="center"/>
    </xf>
    <xf numFmtId="38" fontId="47" fillId="3" borderId="9" xfId="4" applyNumberFormat="1" applyFont="1" applyFill="1" applyBorder="1" applyAlignment="1">
      <alignment horizontal="center"/>
    </xf>
    <xf numFmtId="38" fontId="47" fillId="3" borderId="16" xfId="4" applyNumberFormat="1" applyFont="1" applyFill="1" applyBorder="1" applyAlignment="1">
      <alignment horizontal="center"/>
    </xf>
    <xf numFmtId="10" fontId="47" fillId="3" borderId="0" xfId="3" applyNumberFormat="1" applyFont="1" applyFill="1" applyBorder="1" applyAlignment="1">
      <alignment horizontal="center"/>
    </xf>
    <xf numFmtId="187" fontId="47" fillId="3" borderId="2" xfId="4" applyNumberFormat="1" applyFont="1" applyFill="1" applyBorder="1" applyAlignment="1">
      <alignment horizontal="center"/>
    </xf>
    <xf numFmtId="43" fontId="0" fillId="2" borderId="0" xfId="1" applyFont="1" applyFill="1"/>
    <xf numFmtId="0" fontId="50" fillId="3" borderId="26" xfId="4" applyFont="1" applyFill="1" applyBorder="1" applyAlignment="1">
      <alignment horizontal="center"/>
    </xf>
    <xf numFmtId="0" fontId="50" fillId="3" borderId="25" xfId="4" applyFont="1" applyFill="1" applyBorder="1" applyAlignment="1">
      <alignment horizontal="center"/>
    </xf>
    <xf numFmtId="170" fontId="50" fillId="3" borderId="5" xfId="4" applyNumberFormat="1" applyFont="1" applyFill="1" applyBorder="1" applyAlignment="1">
      <alignment horizontal="center"/>
    </xf>
    <xf numFmtId="38" fontId="47" fillId="3" borderId="5" xfId="4" applyNumberFormat="1" applyFont="1" applyFill="1" applyBorder="1"/>
    <xf numFmtId="38" fontId="46" fillId="3" borderId="17" xfId="4" applyNumberFormat="1" applyFont="1" applyFill="1" applyBorder="1" applyAlignment="1">
      <alignment horizontal="center"/>
    </xf>
    <xf numFmtId="40" fontId="46" fillId="3" borderId="17" xfId="4" applyNumberFormat="1" applyFont="1" applyFill="1" applyBorder="1" applyAlignment="1">
      <alignment horizontal="center"/>
    </xf>
    <xf numFmtId="40" fontId="46" fillId="3" borderId="16" xfId="4" applyNumberFormat="1" applyFont="1" applyFill="1" applyBorder="1" applyAlignment="1">
      <alignment horizontal="center"/>
    </xf>
    <xf numFmtId="38" fontId="46" fillId="3" borderId="0" xfId="4" applyNumberFormat="1" applyFont="1" applyFill="1" applyAlignment="1">
      <alignment horizontal="center"/>
    </xf>
    <xf numFmtId="40" fontId="46" fillId="3" borderId="0" xfId="4" applyNumberFormat="1" applyFont="1" applyFill="1" applyAlignment="1">
      <alignment horizontal="center"/>
    </xf>
    <xf numFmtId="40" fontId="46" fillId="3" borderId="5" xfId="4" applyNumberFormat="1" applyFont="1" applyFill="1" applyBorder="1" applyAlignment="1">
      <alignment horizontal="center"/>
    </xf>
    <xf numFmtId="3" fontId="50" fillId="3" borderId="0" xfId="4" applyNumberFormat="1" applyFont="1" applyFill="1" applyAlignment="1">
      <alignment horizontal="right"/>
    </xf>
    <xf numFmtId="40" fontId="50" fillId="3" borderId="5" xfId="4" applyNumberFormat="1" applyFont="1" applyFill="1" applyBorder="1" applyAlignment="1">
      <alignment horizontal="center"/>
    </xf>
    <xf numFmtId="0" fontId="50" fillId="3" borderId="4" xfId="4" applyFont="1" applyFill="1" applyBorder="1"/>
    <xf numFmtId="10" fontId="47" fillId="3" borderId="2" xfId="3" applyNumberFormat="1" applyFont="1" applyFill="1" applyBorder="1"/>
    <xf numFmtId="38" fontId="47" fillId="3" borderId="2" xfId="4" applyNumberFormat="1" applyFont="1" applyFill="1" applyBorder="1"/>
    <xf numFmtId="38" fontId="47" fillId="3" borderId="1" xfId="4" applyNumberFormat="1" applyFont="1" applyFill="1" applyBorder="1"/>
    <xf numFmtId="170" fontId="48" fillId="2" borderId="0" xfId="3" applyNumberFormat="1" applyFont="1" applyFill="1"/>
    <xf numFmtId="204" fontId="56" fillId="3" borderId="5" xfId="0" applyNumberFormat="1" applyFont="1" applyFill="1" applyBorder="1"/>
    <xf numFmtId="10" fontId="0" fillId="0" borderId="0" xfId="0" applyNumberFormat="1"/>
    <xf numFmtId="43" fontId="7" fillId="3" borderId="0" xfId="1" applyFont="1" applyFill="1" applyAlignment="1">
      <alignment horizontal="center"/>
    </xf>
    <xf numFmtId="166" fontId="0" fillId="0" borderId="0" xfId="1" applyNumberFormat="1" applyFont="1"/>
    <xf numFmtId="166" fontId="0" fillId="0" borderId="0" xfId="0" applyNumberFormat="1"/>
    <xf numFmtId="43" fontId="0" fillId="0" borderId="0" xfId="1" applyFont="1"/>
    <xf numFmtId="0" fontId="52" fillId="3" borderId="0" xfId="0" applyFont="1" applyFill="1"/>
    <xf numFmtId="10" fontId="0" fillId="2" borderId="0" xfId="3" applyNumberFormat="1" applyFont="1" applyFill="1" applyAlignment="1">
      <alignment horizontal="right"/>
    </xf>
    <xf numFmtId="10" fontId="8" fillId="3" borderId="2" xfId="3" applyNumberFormat="1" applyFont="1" applyFill="1" applyBorder="1" applyAlignment="1">
      <alignment horizontal="center"/>
    </xf>
    <xf numFmtId="10" fontId="31" fillId="2" borderId="0" xfId="3" applyNumberFormat="1" applyFont="1" applyFill="1"/>
    <xf numFmtId="166" fontId="48" fillId="2" borderId="0" xfId="1" applyNumberFormat="1" applyFont="1" applyFill="1"/>
    <xf numFmtId="14" fontId="57" fillId="3" borderId="0" xfId="0" applyNumberFormat="1" applyFont="1" applyFill="1" applyAlignment="1">
      <alignment horizontal="center" wrapText="1"/>
    </xf>
    <xf numFmtId="10" fontId="37" fillId="2" borderId="0" xfId="0" applyNumberFormat="1" applyFont="1" applyFill="1"/>
    <xf numFmtId="43" fontId="37" fillId="3" borderId="26" xfId="1" applyFont="1" applyFill="1" applyBorder="1"/>
    <xf numFmtId="43" fontId="37" fillId="3" borderId="25" xfId="1" applyFont="1" applyFill="1" applyBorder="1"/>
    <xf numFmtId="43" fontId="37" fillId="3" borderId="0" xfId="1" applyFont="1" applyFill="1"/>
    <xf numFmtId="43" fontId="37" fillId="3" borderId="5" xfId="1" applyFont="1" applyFill="1" applyBorder="1"/>
    <xf numFmtId="43" fontId="37" fillId="7" borderId="0" xfId="1" applyFont="1" applyFill="1"/>
    <xf numFmtId="43" fontId="37" fillId="7" borderId="5" xfId="1" applyFont="1" applyFill="1" applyBorder="1"/>
    <xf numFmtId="43" fontId="27" fillId="2" borderId="0" xfId="0" applyNumberFormat="1" applyFont="1" applyFill="1"/>
    <xf numFmtId="166" fontId="48" fillId="2" borderId="0" xfId="0" applyNumberFormat="1" applyFont="1" applyFill="1"/>
    <xf numFmtId="8" fontId="48" fillId="2" borderId="0" xfId="0" applyNumberFormat="1" applyFont="1" applyFill="1"/>
    <xf numFmtId="166" fontId="39" fillId="2" borderId="0" xfId="1" applyNumberFormat="1" applyFont="1" applyFill="1" applyAlignment="1">
      <alignment horizontal="left"/>
    </xf>
    <xf numFmtId="43" fontId="48" fillId="2" borderId="0" xfId="0" applyNumberFormat="1" applyFont="1" applyFill="1"/>
    <xf numFmtId="205" fontId="48" fillId="2" borderId="0" xfId="0" applyNumberFormat="1" applyFont="1" applyFill="1"/>
    <xf numFmtId="0" fontId="48" fillId="2" borderId="0" xfId="0" applyFont="1" applyFill="1" applyAlignment="1">
      <alignment horizontal="center"/>
    </xf>
    <xf numFmtId="10" fontId="48" fillId="2" borderId="0" xfId="0" applyNumberFormat="1" applyFont="1" applyFill="1" applyAlignment="1">
      <alignment horizontal="center"/>
    </xf>
    <xf numFmtId="43" fontId="37" fillId="7" borderId="0" xfId="0" applyNumberFormat="1" applyFont="1" applyFill="1"/>
    <xf numFmtId="0" fontId="31" fillId="14" borderId="0" xfId="0" applyFont="1" applyFill="1"/>
    <xf numFmtId="44" fontId="0" fillId="2" borderId="0" xfId="2" applyFont="1" applyFill="1"/>
    <xf numFmtId="44" fontId="37" fillId="2" borderId="0" xfId="2" applyFont="1" applyFill="1"/>
    <xf numFmtId="44" fontId="37" fillId="14" borderId="0" xfId="2" applyFont="1" applyFill="1"/>
    <xf numFmtId="49" fontId="38" fillId="2" borderId="0" xfId="0" applyNumberFormat="1" applyFont="1" applyFill="1" applyAlignment="1">
      <alignment horizontal="left"/>
    </xf>
    <xf numFmtId="49" fontId="39" fillId="2" borderId="0" xfId="0" applyNumberFormat="1" applyFont="1" applyFill="1" applyAlignment="1">
      <alignment wrapText="1"/>
    </xf>
    <xf numFmtId="44" fontId="39" fillId="14" borderId="0" xfId="2" applyFont="1" applyFill="1" applyAlignment="1"/>
    <xf numFmtId="44" fontId="37" fillId="2" borderId="0" xfId="2" applyFont="1" applyFill="1" applyAlignment="1"/>
    <xf numFmtId="49" fontId="39" fillId="2" borderId="0" xfId="0" applyNumberFormat="1" applyFont="1" applyFill="1" applyAlignment="1">
      <alignment vertical="center" wrapText="1"/>
    </xf>
    <xf numFmtId="44" fontId="39" fillId="2" borderId="0" xfId="2" applyFont="1" applyFill="1" applyAlignment="1">
      <alignment vertical="center"/>
    </xf>
    <xf numFmtId="49" fontId="39" fillId="2" borderId="0" xfId="0" applyNumberFormat="1" applyFont="1" applyFill="1" applyAlignment="1">
      <alignment horizontal="center" vertical="top"/>
    </xf>
    <xf numFmtId="44" fontId="39" fillId="14" borderId="0" xfId="2" applyFont="1" applyFill="1" applyAlignment="1">
      <alignment vertical="center"/>
    </xf>
    <xf numFmtId="44" fontId="39" fillId="14" borderId="12" xfId="2" applyFont="1" applyFill="1" applyBorder="1" applyAlignment="1">
      <alignment vertical="center"/>
    </xf>
    <xf numFmtId="44" fontId="39" fillId="2" borderId="0" xfId="2" applyFont="1" applyFill="1" applyAlignment="1">
      <alignment vertical="center" wrapText="1"/>
    </xf>
    <xf numFmtId="44" fontId="42" fillId="2" borderId="0" xfId="2" applyFont="1" applyFill="1"/>
    <xf numFmtId="3" fontId="9" fillId="3" borderId="0" xfId="2" applyNumberFormat="1" applyFont="1" applyFill="1" applyBorder="1" applyAlignment="1" applyProtection="1">
      <alignment horizontal="center"/>
    </xf>
    <xf numFmtId="166" fontId="56" fillId="3" borderId="17" xfId="1" applyNumberFormat="1" applyFont="1" applyFill="1" applyBorder="1" applyAlignment="1">
      <alignment horizontal="right"/>
    </xf>
    <xf numFmtId="0" fontId="76" fillId="3" borderId="27" xfId="0" applyFont="1" applyFill="1" applyBorder="1"/>
    <xf numFmtId="0" fontId="76" fillId="3" borderId="26" xfId="0" applyFont="1" applyFill="1" applyBorder="1"/>
    <xf numFmtId="0" fontId="76" fillId="3" borderId="25" xfId="0" applyFont="1" applyFill="1" applyBorder="1"/>
    <xf numFmtId="0" fontId="76" fillId="3" borderId="9" xfId="0" applyFont="1" applyFill="1" applyBorder="1"/>
    <xf numFmtId="10" fontId="76" fillId="3" borderId="0" xfId="3" applyNumberFormat="1" applyFont="1" applyFill="1" applyBorder="1" applyAlignment="1">
      <alignment horizontal="right"/>
    </xf>
    <xf numFmtId="10" fontId="76" fillId="3" borderId="5" xfId="3" applyNumberFormat="1" applyFont="1" applyFill="1" applyBorder="1" applyAlignment="1">
      <alignment horizontal="right"/>
    </xf>
    <xf numFmtId="166" fontId="76" fillId="3" borderId="0" xfId="1" applyNumberFormat="1" applyFont="1" applyFill="1" applyBorder="1" applyAlignment="1">
      <alignment horizontal="right"/>
    </xf>
    <xf numFmtId="166" fontId="76" fillId="3" borderId="5" xfId="1" applyNumberFormat="1" applyFont="1" applyFill="1" applyBorder="1" applyAlignment="1">
      <alignment horizontal="right"/>
    </xf>
    <xf numFmtId="0" fontId="77" fillId="3" borderId="9" xfId="0" applyFont="1" applyFill="1" applyBorder="1"/>
    <xf numFmtId="43" fontId="77" fillId="3" borderId="0" xfId="1" applyFont="1" applyFill="1" applyBorder="1" applyAlignment="1">
      <alignment horizontal="right"/>
    </xf>
    <xf numFmtId="43" fontId="77" fillId="3" borderId="5" xfId="1" applyFont="1" applyFill="1" applyBorder="1" applyAlignment="1">
      <alignment horizontal="right"/>
    </xf>
    <xf numFmtId="10" fontId="76" fillId="3" borderId="0" xfId="0" applyNumberFormat="1" applyFont="1" applyFill="1" applyAlignment="1">
      <alignment horizontal="right"/>
    </xf>
    <xf numFmtId="10" fontId="76" fillId="3" borderId="5" xfId="0" applyNumberFormat="1" applyFont="1" applyFill="1" applyBorder="1" applyAlignment="1">
      <alignment horizontal="right"/>
    </xf>
    <xf numFmtId="166" fontId="76" fillId="3" borderId="0" xfId="0" applyNumberFormat="1" applyFont="1" applyFill="1" applyAlignment="1">
      <alignment horizontal="right"/>
    </xf>
    <xf numFmtId="166" fontId="76" fillId="3" borderId="5" xfId="0" applyNumberFormat="1" applyFont="1" applyFill="1" applyBorder="1" applyAlignment="1">
      <alignment horizontal="right"/>
    </xf>
    <xf numFmtId="0" fontId="76" fillId="3" borderId="0" xfId="0" applyFont="1" applyFill="1"/>
    <xf numFmtId="0" fontId="76" fillId="3" borderId="5" xfId="0" applyFont="1" applyFill="1" applyBorder="1"/>
    <xf numFmtId="166" fontId="76" fillId="3" borderId="0" xfId="1" applyNumberFormat="1" applyFont="1" applyFill="1" applyBorder="1"/>
    <xf numFmtId="166" fontId="76" fillId="3" borderId="5" xfId="1" applyNumberFormat="1" applyFont="1" applyFill="1" applyBorder="1"/>
    <xf numFmtId="166" fontId="76" fillId="3" borderId="0" xfId="3" applyNumberFormat="1" applyFont="1" applyFill="1" applyBorder="1"/>
    <xf numFmtId="166" fontId="76" fillId="3" borderId="5" xfId="3" applyNumberFormat="1" applyFont="1" applyFill="1" applyBorder="1"/>
    <xf numFmtId="0" fontId="52" fillId="3" borderId="4" xfId="0" applyFont="1" applyFill="1" applyBorder="1"/>
    <xf numFmtId="38" fontId="52" fillId="3" borderId="2" xfId="0" applyNumberFormat="1" applyFont="1" applyFill="1" applyBorder="1"/>
    <xf numFmtId="38" fontId="52" fillId="3" borderId="1" xfId="0" applyNumberFormat="1" applyFont="1" applyFill="1" applyBorder="1"/>
    <xf numFmtId="0" fontId="51" fillId="3" borderId="27" xfId="0" applyFont="1" applyFill="1" applyBorder="1" applyAlignment="1">
      <alignment horizontal="center"/>
    </xf>
    <xf numFmtId="0" fontId="51" fillId="3" borderId="26" xfId="0" applyFont="1" applyFill="1" applyBorder="1" applyAlignment="1">
      <alignment horizontal="center"/>
    </xf>
    <xf numFmtId="0" fontId="51" fillId="3" borderId="25" xfId="0" applyFont="1" applyFill="1" applyBorder="1" applyAlignment="1">
      <alignment horizontal="center"/>
    </xf>
    <xf numFmtId="0" fontId="52" fillId="3" borderId="0" xfId="0" applyFont="1" applyFill="1" applyAlignment="1">
      <alignment horizontal="right"/>
    </xf>
    <xf numFmtId="0" fontId="52" fillId="3" borderId="5" xfId="0" applyFont="1" applyFill="1" applyBorder="1" applyAlignment="1">
      <alignment horizontal="right"/>
    </xf>
    <xf numFmtId="0" fontId="49" fillId="3" borderId="24" xfId="0" applyFont="1" applyFill="1" applyBorder="1"/>
    <xf numFmtId="14" fontId="49" fillId="3" borderId="12" xfId="0" applyNumberFormat="1" applyFont="1" applyFill="1" applyBorder="1" applyAlignment="1">
      <alignment horizontal="right"/>
    </xf>
    <xf numFmtId="14" fontId="49" fillId="3" borderId="11" xfId="0" applyNumberFormat="1" applyFont="1" applyFill="1" applyBorder="1" applyAlignment="1">
      <alignment horizontal="right"/>
    </xf>
    <xf numFmtId="0" fontId="52" fillId="3" borderId="5" xfId="0" applyFont="1" applyFill="1" applyBorder="1"/>
    <xf numFmtId="0" fontId="51" fillId="3" borderId="4" xfId="0" applyFont="1" applyFill="1" applyBorder="1"/>
    <xf numFmtId="10" fontId="49" fillId="3" borderId="2" xfId="0" applyNumberFormat="1" applyFont="1" applyFill="1" applyBorder="1"/>
    <xf numFmtId="10" fontId="49" fillId="3" borderId="1" xfId="0" applyNumberFormat="1" applyFont="1" applyFill="1" applyBorder="1"/>
    <xf numFmtId="0" fontId="78" fillId="10" borderId="30" xfId="0" applyFont="1" applyFill="1" applyBorder="1"/>
    <xf numFmtId="174" fontId="3" fillId="10" borderId="29" xfId="0" applyNumberFormat="1" applyFont="1" applyFill="1" applyBorder="1"/>
    <xf numFmtId="174" fontId="3" fillId="10" borderId="28" xfId="0" applyNumberFormat="1" applyFont="1" applyFill="1" applyBorder="1"/>
    <xf numFmtId="0" fontId="78" fillId="3" borderId="27" xfId="0" applyFont="1" applyFill="1" applyBorder="1"/>
    <xf numFmtId="174" fontId="3" fillId="3" borderId="26" xfId="0" applyNumberFormat="1" applyFont="1" applyFill="1" applyBorder="1"/>
    <xf numFmtId="174" fontId="3" fillId="3" borderId="25" xfId="0" applyNumberFormat="1" applyFont="1" applyFill="1" applyBorder="1"/>
    <xf numFmtId="0" fontId="7" fillId="3" borderId="24" xfId="0" applyFont="1" applyFill="1" applyBorder="1"/>
    <xf numFmtId="14" fontId="0" fillId="3" borderId="12" xfId="0" applyNumberFormat="1" applyFill="1" applyBorder="1"/>
    <xf numFmtId="14" fontId="0" fillId="3" borderId="11" xfId="0" applyNumberFormat="1" applyFill="1" applyBorder="1"/>
    <xf numFmtId="14" fontId="0" fillId="3" borderId="5" xfId="0" applyNumberFormat="1" applyFill="1" applyBorder="1"/>
    <xf numFmtId="2" fontId="0" fillId="3" borderId="5" xfId="0" applyNumberFormat="1" applyFill="1" applyBorder="1"/>
    <xf numFmtId="176" fontId="7" fillId="3" borderId="0" xfId="0" applyNumberFormat="1" applyFont="1" applyFill="1" applyAlignment="1">
      <alignment horizontal="right" vertical="top" readingOrder="1"/>
    </xf>
    <xf numFmtId="177" fontId="7" fillId="3" borderId="0" xfId="0" applyNumberFormat="1" applyFont="1" applyFill="1" applyAlignment="1">
      <alignment horizontal="right" vertical="top" readingOrder="1"/>
    </xf>
    <xf numFmtId="166" fontId="3" fillId="3" borderId="0" xfId="0" applyNumberFormat="1" applyFont="1" applyFill="1"/>
    <xf numFmtId="14" fontId="0" fillId="3" borderId="0" xfId="0" applyNumberFormat="1" applyFill="1"/>
    <xf numFmtId="2" fontId="0" fillId="3" borderId="0" xfId="0" applyNumberFormat="1" applyFill="1"/>
    <xf numFmtId="2" fontId="9" fillId="3" borderId="0" xfId="0" applyNumberFormat="1" applyFont="1" applyFill="1"/>
    <xf numFmtId="2" fontId="7" fillId="3" borderId="0" xfId="0" applyNumberFormat="1" applyFont="1" applyFill="1"/>
    <xf numFmtId="3" fontId="7" fillId="3" borderId="0" xfId="0" applyNumberFormat="1" applyFont="1" applyFill="1"/>
    <xf numFmtId="166" fontId="48" fillId="2" borderId="0" xfId="0" applyNumberFormat="1" applyFont="1" applyFill="1" applyAlignment="1">
      <alignment horizontal="center"/>
    </xf>
    <xf numFmtId="44" fontId="39" fillId="14" borderId="0" xfId="2" applyFont="1" applyFill="1" applyBorder="1" applyAlignment="1"/>
    <xf numFmtId="44" fontId="39" fillId="14" borderId="12" xfId="2" applyFont="1" applyFill="1" applyBorder="1" applyAlignment="1"/>
    <xf numFmtId="44" fontId="0" fillId="2" borderId="0" xfId="0" applyNumberFormat="1" applyFill="1"/>
    <xf numFmtId="44" fontId="27" fillId="2" borderId="0" xfId="2" applyFont="1" applyFill="1"/>
    <xf numFmtId="3" fontId="9" fillId="3" borderId="2" xfId="0" applyNumberFormat="1" applyFont="1" applyFill="1" applyBorder="1" applyAlignment="1">
      <alignment horizontal="center"/>
    </xf>
    <xf numFmtId="43" fontId="48" fillId="2" borderId="0" xfId="1" applyFont="1" applyFill="1"/>
    <xf numFmtId="43" fontId="45" fillId="2" borderId="0" xfId="0" applyNumberFormat="1" applyFont="1" applyFill="1"/>
    <xf numFmtId="8" fontId="45" fillId="2" borderId="0" xfId="0" applyNumberFormat="1" applyFont="1" applyFill="1"/>
    <xf numFmtId="43" fontId="45" fillId="2" borderId="0" xfId="1" applyFont="1" applyFill="1"/>
    <xf numFmtId="14" fontId="48" fillId="2" borderId="0" xfId="0" applyNumberFormat="1" applyFont="1" applyFill="1"/>
    <xf numFmtId="0" fontId="45" fillId="2" borderId="0" xfId="0" applyFont="1" applyFill="1" applyAlignment="1">
      <alignment horizontal="center"/>
    </xf>
    <xf numFmtId="0" fontId="45" fillId="2" borderId="0" xfId="0" applyFont="1" applyFill="1"/>
    <xf numFmtId="14" fontId="45" fillId="2" borderId="0" xfId="0" applyNumberFormat="1" applyFont="1" applyFill="1"/>
    <xf numFmtId="8" fontId="45" fillId="15" borderId="0" xfId="0" applyNumberFormat="1" applyFont="1" applyFill="1"/>
    <xf numFmtId="8" fontId="45" fillId="14" borderId="0" xfId="0" applyNumberFormat="1" applyFont="1" applyFill="1"/>
    <xf numFmtId="166" fontId="0" fillId="3" borderId="0" xfId="1" applyNumberFormat="1" applyFont="1" applyFill="1" applyAlignment="1">
      <alignment horizontal="left"/>
    </xf>
    <xf numFmtId="3" fontId="9" fillId="3" borderId="8" xfId="2" applyNumberFormat="1" applyFont="1" applyFill="1" applyBorder="1" applyAlignment="1" applyProtection="1">
      <alignment horizontal="center"/>
    </xf>
    <xf numFmtId="3" fontId="9" fillId="3" borderId="7" xfId="2" applyNumberFormat="1" applyFont="1" applyFill="1" applyBorder="1" applyAlignment="1" applyProtection="1">
      <alignment horizontal="center"/>
    </xf>
    <xf numFmtId="0" fontId="39" fillId="3" borderId="4" xfId="0" applyFont="1" applyFill="1" applyBorder="1"/>
    <xf numFmtId="166" fontId="39" fillId="3" borderId="2" xfId="1" applyNumberFormat="1" applyFont="1" applyFill="1" applyBorder="1" applyAlignment="1">
      <alignment horizontal="right"/>
    </xf>
    <xf numFmtId="43" fontId="39" fillId="3" borderId="1" xfId="1" applyFont="1" applyFill="1" applyBorder="1" applyAlignment="1">
      <alignment horizontal="right"/>
    </xf>
    <xf numFmtId="43" fontId="0" fillId="2" borderId="0" xfId="1" applyFont="1" applyFill="1" applyAlignment="1">
      <alignment horizontal="right"/>
    </xf>
    <xf numFmtId="14" fontId="37" fillId="3" borderId="0" xfId="0" applyNumberFormat="1" applyFont="1" applyFill="1" applyAlignment="1" applyProtection="1">
      <alignment horizontal="center" vertical="center"/>
      <protection hidden="1"/>
    </xf>
    <xf numFmtId="14" fontId="37" fillId="7" borderId="0" xfId="0" applyNumberFormat="1" applyFont="1" applyFill="1" applyAlignment="1" applyProtection="1">
      <alignment horizontal="center" vertical="center"/>
      <protection hidden="1"/>
    </xf>
    <xf numFmtId="0" fontId="49" fillId="6" borderId="9" xfId="0" applyFont="1" applyFill="1" applyBorder="1"/>
    <xf numFmtId="14" fontId="37" fillId="6" borderId="0" xfId="0" applyNumberFormat="1" applyFont="1" applyFill="1" applyAlignment="1" applyProtection="1">
      <alignment horizontal="center" vertical="center"/>
      <protection hidden="1"/>
    </xf>
    <xf numFmtId="166" fontId="37" fillId="6" borderId="0" xfId="0" applyNumberFormat="1" applyFont="1" applyFill="1" applyAlignment="1" applyProtection="1">
      <alignment horizontal="center" vertical="center"/>
      <protection hidden="1"/>
    </xf>
    <xf numFmtId="10" fontId="39" fillId="6" borderId="0" xfId="0" applyNumberFormat="1" applyFont="1" applyFill="1" applyAlignment="1" applyProtection="1">
      <alignment horizontal="center" vertical="center"/>
      <protection hidden="1"/>
    </xf>
    <xf numFmtId="10" fontId="37" fillId="6" borderId="0" xfId="0" applyNumberFormat="1" applyFont="1" applyFill="1" applyAlignment="1" applyProtection="1">
      <alignment horizontal="center" vertical="center"/>
      <protection hidden="1"/>
    </xf>
    <xf numFmtId="10" fontId="37" fillId="6" borderId="0" xfId="0" applyNumberFormat="1" applyFont="1" applyFill="1"/>
    <xf numFmtId="43" fontId="37" fillId="6" borderId="0" xfId="0" applyNumberFormat="1" applyFont="1" applyFill="1"/>
    <xf numFmtId="10" fontId="37" fillId="6" borderId="0" xfId="3" applyNumberFormat="1" applyFont="1" applyFill="1" applyBorder="1"/>
    <xf numFmtId="43" fontId="37" fillId="6" borderId="0" xfId="1" applyFont="1" applyFill="1"/>
    <xf numFmtId="43" fontId="37" fillId="6" borderId="5" xfId="1" applyFont="1" applyFill="1" applyBorder="1"/>
    <xf numFmtId="2" fontId="37" fillId="2" borderId="0" xfId="0" applyNumberFormat="1" applyFont="1" applyFill="1"/>
    <xf numFmtId="166" fontId="0" fillId="2" borderId="0" xfId="1" applyNumberFormat="1" applyFont="1" applyFill="1" applyAlignment="1">
      <alignment horizontal="center"/>
    </xf>
    <xf numFmtId="166" fontId="48" fillId="2" borderId="0" xfId="1" applyNumberFormat="1" applyFont="1" applyFill="1" applyAlignment="1">
      <alignment horizontal="center"/>
    </xf>
    <xf numFmtId="43" fontId="7" fillId="2" borderId="0" xfId="1" applyFont="1" applyFill="1" applyAlignment="1">
      <alignment horizontal="center"/>
    </xf>
    <xf numFmtId="166" fontId="7" fillId="2" borderId="0" xfId="1" applyNumberFormat="1" applyFont="1" applyFill="1" applyAlignment="1">
      <alignment horizontal="center"/>
    </xf>
    <xf numFmtId="10" fontId="0" fillId="3" borderId="26" xfId="3" applyNumberFormat="1" applyFont="1" applyFill="1" applyBorder="1" applyAlignment="1">
      <alignment horizontal="right"/>
    </xf>
    <xf numFmtId="10" fontId="0" fillId="3" borderId="26" xfId="3" applyNumberFormat="1" applyFont="1" applyFill="1" applyBorder="1" applyAlignment="1">
      <alignment horizontal="center"/>
    </xf>
    <xf numFmtId="10" fontId="0" fillId="3" borderId="1" xfId="3" applyNumberFormat="1" applyFont="1" applyFill="1" applyBorder="1" applyAlignment="1" applyProtection="1">
      <alignment horizontal="center"/>
    </xf>
    <xf numFmtId="0" fontId="3" fillId="3" borderId="0" xfId="0" applyFont="1" applyFill="1" applyAlignment="1">
      <alignment horizontal="center"/>
    </xf>
    <xf numFmtId="38" fontId="3" fillId="3" borderId="0" xfId="0" applyNumberFormat="1" applyFont="1" applyFill="1" applyAlignment="1">
      <alignment horizontal="right"/>
    </xf>
    <xf numFmtId="0" fontId="3" fillId="3" borderId="0" xfId="0" applyFont="1" applyFill="1" applyAlignment="1">
      <alignment horizontal="right"/>
    </xf>
    <xf numFmtId="44" fontId="3" fillId="3" borderId="5" xfId="2" applyFont="1" applyFill="1" applyBorder="1" applyAlignment="1" applyProtection="1">
      <alignment horizontal="center"/>
    </xf>
    <xf numFmtId="0" fontId="31" fillId="3" borderId="4" xfId="0" applyFont="1" applyFill="1" applyBorder="1" applyAlignment="1">
      <alignment horizontal="left"/>
    </xf>
    <xf numFmtId="0" fontId="31" fillId="3" borderId="2" xfId="0" applyFont="1" applyFill="1" applyBorder="1" applyAlignment="1">
      <alignment horizontal="center"/>
    </xf>
    <xf numFmtId="43" fontId="31" fillId="3" borderId="2" xfId="0" applyNumberFormat="1" applyFont="1" applyFill="1" applyBorder="1" applyAlignment="1">
      <alignment horizontal="center"/>
    </xf>
    <xf numFmtId="166" fontId="31" fillId="3" borderId="2" xfId="1" applyNumberFormat="1" applyFont="1" applyFill="1" applyBorder="1" applyAlignment="1">
      <alignment horizontal="center"/>
    </xf>
    <xf numFmtId="166" fontId="31" fillId="3" borderId="2" xfId="0" applyNumberFormat="1" applyFont="1" applyFill="1" applyBorder="1" applyAlignment="1">
      <alignment horizontal="center"/>
    </xf>
    <xf numFmtId="44" fontId="31" fillId="3" borderId="1" xfId="2" applyFont="1" applyFill="1" applyBorder="1" applyAlignment="1" applyProtection="1">
      <alignment horizontal="center"/>
    </xf>
    <xf numFmtId="43" fontId="0" fillId="3" borderId="0" xfId="1" applyFont="1" applyFill="1" applyBorder="1" applyAlignment="1">
      <alignment horizontal="right"/>
    </xf>
    <xf numFmtId="10" fontId="0" fillId="3" borderId="12" xfId="3" applyNumberFormat="1" applyFont="1" applyFill="1" applyBorder="1" applyAlignment="1">
      <alignment horizontal="center"/>
    </xf>
    <xf numFmtId="43" fontId="0" fillId="3" borderId="12" xfId="1" applyFont="1" applyFill="1" applyBorder="1" applyAlignment="1">
      <alignment horizontal="right"/>
    </xf>
    <xf numFmtId="10" fontId="0" fillId="3" borderId="12" xfId="3" applyNumberFormat="1" applyFont="1" applyFill="1" applyBorder="1" applyAlignment="1">
      <alignment horizontal="right"/>
    </xf>
    <xf numFmtId="43" fontId="0" fillId="3" borderId="12" xfId="1" applyFont="1" applyFill="1" applyBorder="1" applyAlignment="1">
      <alignment horizontal="center"/>
    </xf>
    <xf numFmtId="43" fontId="0" fillId="3" borderId="26" xfId="1" applyFont="1" applyFill="1" applyBorder="1" applyAlignment="1">
      <alignment horizontal="right"/>
    </xf>
    <xf numFmtId="43" fontId="0" fillId="3" borderId="11" xfId="1" applyFont="1" applyFill="1" applyBorder="1" applyAlignment="1" applyProtection="1">
      <alignment horizontal="center"/>
    </xf>
    <xf numFmtId="10" fontId="0" fillId="10" borderId="29" xfId="3" applyNumberFormat="1" applyFont="1" applyFill="1" applyBorder="1" applyAlignment="1">
      <alignment horizontal="center"/>
    </xf>
    <xf numFmtId="43" fontId="0" fillId="10" borderId="29" xfId="1" applyFont="1" applyFill="1" applyBorder="1" applyAlignment="1">
      <alignment horizontal="right"/>
    </xf>
    <xf numFmtId="10" fontId="0" fillId="10" borderId="29" xfId="3" applyNumberFormat="1" applyFont="1" applyFill="1" applyBorder="1" applyAlignment="1">
      <alignment horizontal="right"/>
    </xf>
    <xf numFmtId="44" fontId="0" fillId="10" borderId="28" xfId="2" applyFont="1" applyFill="1" applyBorder="1" applyAlignment="1" applyProtection="1">
      <alignment horizontal="center"/>
    </xf>
    <xf numFmtId="10" fontId="0" fillId="11" borderId="26" xfId="3" applyNumberFormat="1" applyFont="1" applyFill="1" applyBorder="1" applyAlignment="1">
      <alignment horizontal="center"/>
    </xf>
    <xf numFmtId="43" fontId="0" fillId="11" borderId="26" xfId="1" applyFont="1" applyFill="1" applyBorder="1" applyAlignment="1">
      <alignment horizontal="right"/>
    </xf>
    <xf numFmtId="10" fontId="0" fillId="11" borderId="26" xfId="3" applyNumberFormat="1" applyFont="1" applyFill="1" applyBorder="1" applyAlignment="1">
      <alignment horizontal="right"/>
    </xf>
    <xf numFmtId="44" fontId="0" fillId="11" borderId="25" xfId="2" applyFont="1" applyFill="1" applyBorder="1" applyAlignment="1" applyProtection="1">
      <alignment horizontal="center"/>
    </xf>
    <xf numFmtId="0" fontId="3" fillId="11" borderId="27" xfId="0" applyFont="1" applyFill="1" applyBorder="1" applyAlignment="1">
      <alignment horizontal="left"/>
    </xf>
    <xf numFmtId="0" fontId="3" fillId="10" borderId="30" xfId="0" applyFont="1" applyFill="1" applyBorder="1" applyAlignment="1">
      <alignment horizontal="left"/>
    </xf>
    <xf numFmtId="43" fontId="48" fillId="2" borderId="0" xfId="1" applyFont="1" applyFill="1" applyAlignment="1">
      <alignment horizontal="center"/>
    </xf>
    <xf numFmtId="0" fontId="56" fillId="3" borderId="25" xfId="0" applyFont="1" applyFill="1" applyBorder="1"/>
    <xf numFmtId="37" fontId="37" fillId="3" borderId="1" xfId="0" applyNumberFormat="1" applyFont="1" applyFill="1" applyBorder="1"/>
    <xf numFmtId="37" fontId="56" fillId="3" borderId="5" xfId="1" applyNumberFormat="1" applyFont="1" applyFill="1" applyBorder="1" applyAlignment="1">
      <alignment horizontal="right"/>
    </xf>
    <xf numFmtId="43" fontId="0" fillId="2" borderId="0" xfId="0" applyNumberFormat="1" applyFill="1" applyAlignment="1">
      <alignment horizontal="left"/>
    </xf>
    <xf numFmtId="166" fontId="0" fillId="2" borderId="0" xfId="0" applyNumberFormat="1" applyFill="1" applyAlignment="1">
      <alignment horizontal="center"/>
    </xf>
    <xf numFmtId="0" fontId="0" fillId="3" borderId="26" xfId="0" applyFill="1" applyBorder="1" applyAlignment="1">
      <alignment horizontal="center"/>
    </xf>
    <xf numFmtId="43" fontId="0" fillId="3" borderId="5" xfId="0" applyNumberFormat="1" applyFill="1" applyBorder="1"/>
    <xf numFmtId="43" fontId="0" fillId="3" borderId="25" xfId="0" applyNumberFormat="1" applyFill="1" applyBorder="1"/>
    <xf numFmtId="174" fontId="0" fillId="3" borderId="0" xfId="0" applyNumberFormat="1" applyFill="1" applyAlignment="1">
      <alignment horizontal="right"/>
    </xf>
    <xf numFmtId="174" fontId="0" fillId="3" borderId="5" xfId="0" applyNumberFormat="1" applyFill="1" applyBorder="1" applyAlignment="1">
      <alignment horizontal="right"/>
    </xf>
    <xf numFmtId="37" fontId="0" fillId="3" borderId="0" xfId="0" applyNumberFormat="1" applyFill="1"/>
    <xf numFmtId="0" fontId="0" fillId="3" borderId="24" xfId="0" applyFill="1" applyBorder="1" applyAlignment="1">
      <alignment horizontal="left"/>
    </xf>
    <xf numFmtId="14" fontId="0" fillId="3" borderId="12" xfId="0" applyNumberFormat="1" applyFill="1" applyBorder="1" applyAlignment="1">
      <alignment horizontal="right"/>
    </xf>
    <xf numFmtId="14" fontId="0" fillId="3" borderId="11" xfId="0" applyNumberFormat="1" applyFill="1" applyBorder="1" applyAlignment="1">
      <alignment horizontal="right"/>
    </xf>
    <xf numFmtId="38" fontId="0" fillId="3" borderId="0" xfId="0" applyNumberFormat="1" applyFill="1"/>
    <xf numFmtId="0" fontId="0" fillId="3" borderId="9" xfId="0" applyFill="1" applyBorder="1" applyAlignment="1">
      <alignment horizontal="left"/>
    </xf>
    <xf numFmtId="173" fontId="0" fillId="3" borderId="0" xfId="0" applyNumberFormat="1" applyFill="1" applyAlignment="1">
      <alignment horizontal="right"/>
    </xf>
    <xf numFmtId="173" fontId="0" fillId="3" borderId="5" xfId="0" applyNumberFormat="1" applyFill="1" applyBorder="1" applyAlignment="1">
      <alignment horizontal="right"/>
    </xf>
    <xf numFmtId="171" fontId="0" fillId="3" borderId="2" xfId="0" applyNumberFormat="1" applyFill="1" applyBorder="1"/>
    <xf numFmtId="43" fontId="0" fillId="3" borderId="1" xfId="0" applyNumberFormat="1" applyFill="1" applyBorder="1"/>
    <xf numFmtId="171" fontId="0" fillId="3" borderId="0" xfId="0" applyNumberFormat="1" applyFill="1"/>
    <xf numFmtId="0" fontId="0" fillId="3" borderId="1" xfId="0" applyFill="1" applyBorder="1"/>
    <xf numFmtId="0" fontId="0" fillId="3" borderId="0" xfId="0" applyFill="1" applyAlignment="1">
      <alignment horizontal="left"/>
    </xf>
    <xf numFmtId="9" fontId="0" fillId="2" borderId="0" xfId="0" applyNumberFormat="1" applyFill="1"/>
    <xf numFmtId="10" fontId="0" fillId="3" borderId="25" xfId="0" applyNumberFormat="1" applyFill="1" applyBorder="1"/>
    <xf numFmtId="43" fontId="0" fillId="3" borderId="0" xfId="0" applyNumberFormat="1" applyFill="1"/>
    <xf numFmtId="38" fontId="0" fillId="3" borderId="2" xfId="0" applyNumberFormat="1" applyFill="1" applyBorder="1"/>
    <xf numFmtId="0" fontId="0" fillId="4" borderId="1" xfId="0" applyFill="1" applyBorder="1"/>
    <xf numFmtId="171" fontId="0" fillId="2" borderId="0" xfId="0" applyNumberFormat="1" applyFill="1"/>
    <xf numFmtId="41" fontId="0" fillId="3" borderId="26" xfId="0" applyNumberFormat="1" applyFill="1" applyBorder="1"/>
    <xf numFmtId="0" fontId="0" fillId="3" borderId="4" xfId="0" applyFill="1" applyBorder="1" applyAlignment="1">
      <alignment horizontal="left"/>
    </xf>
    <xf numFmtId="0" fontId="0" fillId="3" borderId="2" xfId="0" applyFill="1" applyBorder="1" applyAlignment="1">
      <alignment horizontal="left"/>
    </xf>
    <xf numFmtId="0" fontId="0" fillId="3" borderId="27" xfId="0" applyFill="1" applyBorder="1" applyAlignment="1">
      <alignment horizontal="left"/>
    </xf>
    <xf numFmtId="4" fontId="0" fillId="3" borderId="26" xfId="0" applyNumberFormat="1" applyFill="1" applyBorder="1" applyAlignment="1">
      <alignment horizontal="center"/>
    </xf>
    <xf numFmtId="41" fontId="0" fillId="3" borderId="0" xfId="0" applyNumberFormat="1" applyFill="1"/>
    <xf numFmtId="0" fontId="0" fillId="3" borderId="0" xfId="0" applyFill="1" applyAlignment="1">
      <alignment horizontal="center"/>
    </xf>
    <xf numFmtId="38" fontId="0" fillId="3" borderId="10" xfId="0" applyNumberFormat="1" applyFill="1" applyBorder="1" applyAlignment="1">
      <alignment horizontal="center"/>
    </xf>
    <xf numFmtId="38" fontId="0" fillId="3" borderId="0" xfId="0" applyNumberFormat="1" applyFill="1" applyAlignment="1">
      <alignment horizontal="center"/>
    </xf>
    <xf numFmtId="38" fontId="0" fillId="3" borderId="8" xfId="0" applyNumberFormat="1" applyFill="1" applyBorder="1" applyAlignment="1">
      <alignment horizontal="center"/>
    </xf>
    <xf numFmtId="0" fontId="0" fillId="3" borderId="0" xfId="0" applyFill="1" applyAlignment="1">
      <alignment horizontal="left" indent="1"/>
    </xf>
    <xf numFmtId="38" fontId="0" fillId="3" borderId="7" xfId="0" applyNumberFormat="1" applyFill="1" applyBorder="1" applyAlignment="1">
      <alignment horizontal="center"/>
    </xf>
    <xf numFmtId="3" fontId="0" fillId="3" borderId="8" xfId="0" applyNumberFormat="1" applyFill="1" applyBorder="1" applyAlignment="1">
      <alignment horizontal="center"/>
    </xf>
    <xf numFmtId="3" fontId="0" fillId="3" borderId="0" xfId="0" applyNumberFormat="1" applyFill="1" applyAlignment="1">
      <alignment horizontal="center"/>
    </xf>
    <xf numFmtId="10" fontId="0" fillId="3" borderId="8" xfId="0" applyNumberFormat="1" applyFill="1" applyBorder="1" applyAlignment="1">
      <alignment horizontal="center"/>
    </xf>
    <xf numFmtId="10" fontId="0" fillId="3" borderId="0" xfId="0" applyNumberFormat="1" applyFill="1" applyAlignment="1">
      <alignment horizontal="center"/>
    </xf>
    <xf numFmtId="0" fontId="0" fillId="3" borderId="24" xfId="0" applyFill="1" applyBorder="1"/>
    <xf numFmtId="10" fontId="0" fillId="3" borderId="11" xfId="0" applyNumberFormat="1" applyFill="1" applyBorder="1"/>
    <xf numFmtId="0" fontId="0" fillId="3" borderId="5" xfId="0" applyFill="1" applyBorder="1" applyAlignment="1">
      <alignment horizontal="center"/>
    </xf>
    <xf numFmtId="8" fontId="0" fillId="3" borderId="35" xfId="0" applyNumberFormat="1" applyFill="1" applyBorder="1"/>
    <xf numFmtId="38" fontId="0" fillId="3" borderId="0" xfId="0" applyNumberFormat="1" applyFill="1" applyAlignment="1">
      <alignment horizontal="left"/>
    </xf>
    <xf numFmtId="0" fontId="0" fillId="3" borderId="2" xfId="0" applyFill="1" applyBorder="1" applyAlignment="1">
      <alignment horizontal="center"/>
    </xf>
    <xf numFmtId="3" fontId="0" fillId="3" borderId="3" xfId="0" applyNumberFormat="1" applyFill="1" applyBorder="1" applyAlignment="1">
      <alignment horizontal="center"/>
    </xf>
    <xf numFmtId="3" fontId="0" fillId="3" borderId="2" xfId="0" applyNumberFormat="1" applyFill="1" applyBorder="1" applyAlignment="1">
      <alignment horizontal="center"/>
    </xf>
    <xf numFmtId="3" fontId="0" fillId="2" borderId="0" xfId="0" applyNumberFormat="1" applyFill="1" applyAlignment="1">
      <alignment horizontal="center"/>
    </xf>
    <xf numFmtId="0" fontId="0" fillId="3" borderId="35" xfId="0" applyFill="1" applyBorder="1"/>
    <xf numFmtId="43" fontId="0" fillId="3" borderId="9" xfId="0" applyNumberFormat="1" applyFill="1" applyBorder="1" applyAlignment="1">
      <alignment horizontal="left" indent="1"/>
    </xf>
    <xf numFmtId="172" fontId="0" fillId="3" borderId="0" xfId="0" applyNumberFormat="1" applyFill="1"/>
    <xf numFmtId="172" fontId="0" fillId="3" borderId="5" xfId="0" applyNumberFormat="1" applyFill="1" applyBorder="1"/>
    <xf numFmtId="171" fontId="0" fillId="3" borderId="1" xfId="0" applyNumberFormat="1" applyFill="1" applyBorder="1"/>
    <xf numFmtId="172" fontId="0" fillId="2" borderId="0" xfId="0" applyNumberFormat="1" applyFill="1"/>
    <xf numFmtId="38" fontId="0" fillId="3" borderId="23" xfId="0" applyNumberFormat="1" applyFill="1" applyBorder="1" applyAlignment="1">
      <alignment horizontal="center"/>
    </xf>
    <xf numFmtId="0" fontId="0" fillId="3" borderId="22" xfId="0" applyFill="1" applyBorder="1" applyAlignment="1">
      <alignment horizontal="center"/>
    </xf>
    <xf numFmtId="10" fontId="0" fillId="3" borderId="10" xfId="0" applyNumberFormat="1"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8" xfId="0" applyFill="1" applyBorder="1" applyAlignment="1">
      <alignment horizontal="center"/>
    </xf>
    <xf numFmtId="38" fontId="0" fillId="3" borderId="6" xfId="0" applyNumberFormat="1" applyFill="1" applyBorder="1" applyAlignment="1">
      <alignment horizontal="center"/>
    </xf>
    <xf numFmtId="38" fontId="0" fillId="3" borderId="15" xfId="0" applyNumberFormat="1" applyFill="1" applyBorder="1" applyAlignment="1">
      <alignment horizontal="center"/>
    </xf>
    <xf numFmtId="38" fontId="0" fillId="3" borderId="14" xfId="0" applyNumberFormat="1" applyFill="1" applyBorder="1" applyAlignment="1">
      <alignment horizontal="center"/>
    </xf>
    <xf numFmtId="38" fontId="0" fillId="3" borderId="12" xfId="0" applyNumberFormat="1" applyFill="1" applyBorder="1" applyAlignment="1">
      <alignment horizontal="center"/>
    </xf>
    <xf numFmtId="38" fontId="0" fillId="3" borderId="13" xfId="0" applyNumberFormat="1" applyFill="1" applyBorder="1" applyAlignment="1">
      <alignment horizontal="center"/>
    </xf>
    <xf numFmtId="38" fontId="0" fillId="3" borderId="5" xfId="0" applyNumberFormat="1" applyFill="1" applyBorder="1"/>
    <xf numFmtId="0" fontId="0" fillId="3" borderId="8" xfId="0" applyFill="1" applyBorder="1" applyAlignment="1">
      <alignment horizontal="center"/>
    </xf>
    <xf numFmtId="0" fontId="0" fillId="3" borderId="7" xfId="0" applyFill="1" applyBorder="1" applyAlignment="1">
      <alignment horizontal="center"/>
    </xf>
    <xf numFmtId="0" fontId="0" fillId="3" borderId="6" xfId="0" applyFill="1" applyBorder="1" applyAlignment="1">
      <alignment horizontal="center"/>
    </xf>
    <xf numFmtId="44" fontId="0" fillId="3" borderId="5" xfId="0" applyNumberFormat="1" applyFill="1" applyBorder="1"/>
    <xf numFmtId="38" fontId="0" fillId="3" borderId="19" xfId="0" applyNumberFormat="1" applyFill="1" applyBorder="1" applyAlignment="1">
      <alignment horizontal="center"/>
    </xf>
    <xf numFmtId="38" fontId="0" fillId="3" borderId="18" xfId="0" applyNumberFormat="1" applyFill="1" applyBorder="1" applyAlignment="1">
      <alignment horizontal="center"/>
    </xf>
    <xf numFmtId="0" fontId="0" fillId="3" borderId="5" xfId="0" applyFill="1" applyBorder="1" applyAlignment="1">
      <alignment horizontal="left"/>
    </xf>
    <xf numFmtId="166" fontId="0" fillId="3" borderId="0" xfId="0" applyNumberFormat="1" applyFill="1" applyAlignment="1">
      <alignment horizontal="center"/>
    </xf>
    <xf numFmtId="38" fontId="0" fillId="3" borderId="0" xfId="0" applyNumberFormat="1" applyFill="1" applyAlignment="1">
      <alignment horizontal="right"/>
    </xf>
    <xf numFmtId="0" fontId="0" fillId="3" borderId="0" xfId="0" applyFill="1" applyAlignment="1">
      <alignment horizontal="right"/>
    </xf>
    <xf numFmtId="10" fontId="0" fillId="3" borderId="26" xfId="0" applyNumberFormat="1" applyFill="1" applyBorder="1" applyAlignment="1">
      <alignment horizontal="right"/>
    </xf>
    <xf numFmtId="0" fontId="0" fillId="3" borderId="26" xfId="0" applyFill="1" applyBorder="1" applyAlignment="1">
      <alignment horizontal="right"/>
    </xf>
    <xf numFmtId="0" fontId="0" fillId="3" borderId="2" xfId="0" applyFill="1" applyBorder="1" applyAlignment="1">
      <alignment horizontal="right"/>
    </xf>
    <xf numFmtId="0" fontId="80" fillId="2" borderId="0" xfId="0" applyFont="1" applyFill="1" applyAlignment="1">
      <alignment horizontal="right"/>
    </xf>
    <xf numFmtId="0" fontId="0" fillId="11" borderId="26" xfId="0" applyFill="1" applyBorder="1" applyAlignment="1">
      <alignment horizontal="center"/>
    </xf>
    <xf numFmtId="0" fontId="0" fillId="11" borderId="26" xfId="0" applyFill="1" applyBorder="1" applyAlignment="1">
      <alignment horizontal="right"/>
    </xf>
    <xf numFmtId="0" fontId="80" fillId="11" borderId="26" xfId="0" applyFont="1" applyFill="1" applyBorder="1" applyAlignment="1">
      <alignment horizontal="right"/>
    </xf>
    <xf numFmtId="0" fontId="0" fillId="10" borderId="29" xfId="0" applyFill="1" applyBorder="1" applyAlignment="1">
      <alignment horizontal="center"/>
    </xf>
    <xf numFmtId="0" fontId="0" fillId="10" borderId="29" xfId="0" applyFill="1" applyBorder="1" applyAlignment="1">
      <alignment horizontal="right"/>
    </xf>
    <xf numFmtId="0" fontId="80" fillId="10" borderId="29" xfId="0" applyFont="1" applyFill="1" applyBorder="1" applyAlignment="1">
      <alignment horizontal="right"/>
    </xf>
    <xf numFmtId="0" fontId="80" fillId="3" borderId="26" xfId="0" applyFont="1" applyFill="1" applyBorder="1" applyAlignment="1">
      <alignment horizontal="right"/>
    </xf>
    <xf numFmtId="0" fontId="0" fillId="3" borderId="12" xfId="0" applyFill="1" applyBorder="1" applyAlignment="1">
      <alignment horizontal="center"/>
    </xf>
    <xf numFmtId="0" fontId="0" fillId="3" borderId="12" xfId="0" applyFill="1" applyBorder="1" applyAlignment="1">
      <alignment horizontal="right"/>
    </xf>
    <xf numFmtId="0" fontId="80" fillId="3" borderId="12" xfId="0" applyFont="1" applyFill="1" applyBorder="1" applyAlignment="1">
      <alignment horizontal="right"/>
    </xf>
    <xf numFmtId="14" fontId="81" fillId="3" borderId="12" xfId="0" applyNumberFormat="1" applyFont="1" applyFill="1" applyBorder="1" applyAlignment="1">
      <alignment horizontal="right"/>
    </xf>
    <xf numFmtId="0" fontId="80" fillId="3" borderId="0" xfId="0" applyFont="1" applyFill="1" applyAlignment="1">
      <alignment horizontal="right"/>
    </xf>
    <xf numFmtId="37" fontId="9" fillId="3" borderId="0" xfId="0" applyNumberFormat="1" applyFont="1" applyFill="1" applyAlignment="1">
      <alignment horizontal="center"/>
    </xf>
    <xf numFmtId="166" fontId="37" fillId="2" borderId="0" xfId="1" applyNumberFormat="1" applyFont="1" applyFill="1" applyBorder="1" applyAlignment="1">
      <alignment horizontal="center"/>
    </xf>
    <xf numFmtId="10" fontId="37" fillId="2" borderId="0" xfId="3" applyNumberFormat="1" applyFont="1" applyFill="1" applyBorder="1" applyAlignment="1">
      <alignment horizontal="center"/>
    </xf>
    <xf numFmtId="0" fontId="48" fillId="3" borderId="26" xfId="0" applyFont="1" applyFill="1" applyBorder="1"/>
    <xf numFmtId="0" fontId="45" fillId="3" borderId="24" xfId="0" applyFont="1" applyFill="1" applyBorder="1"/>
    <xf numFmtId="0" fontId="79" fillId="3" borderId="12" xfId="0" applyFont="1" applyFill="1" applyBorder="1"/>
    <xf numFmtId="174" fontId="79" fillId="3" borderId="12" xfId="0" applyNumberFormat="1" applyFont="1" applyFill="1" applyBorder="1"/>
    <xf numFmtId="174" fontId="79" fillId="3" borderId="11" xfId="0" applyNumberFormat="1" applyFont="1" applyFill="1" applyBorder="1"/>
    <xf numFmtId="0" fontId="48" fillId="3" borderId="0" xfId="0" applyFont="1" applyFill="1"/>
    <xf numFmtId="174" fontId="48" fillId="3" borderId="0" xfId="0" applyNumberFormat="1" applyFont="1" applyFill="1"/>
    <xf numFmtId="174" fontId="48" fillId="3" borderId="5" xfId="0" applyNumberFormat="1" applyFont="1" applyFill="1" applyBorder="1"/>
    <xf numFmtId="166" fontId="48" fillId="3" borderId="0" xfId="1" applyNumberFormat="1" applyFont="1" applyFill="1" applyBorder="1"/>
    <xf numFmtId="166" fontId="48" fillId="3" borderId="0" xfId="0" applyNumberFormat="1" applyFont="1" applyFill="1"/>
    <xf numFmtId="10" fontId="48" fillId="3" borderId="0" xfId="0" applyNumberFormat="1" applyFont="1" applyFill="1"/>
    <xf numFmtId="10" fontId="48" fillId="3" borderId="0" xfId="3" applyNumberFormat="1" applyFont="1" applyFill="1" applyBorder="1"/>
    <xf numFmtId="0" fontId="45" fillId="3" borderId="0" xfId="0" applyFont="1" applyFill="1"/>
    <xf numFmtId="166" fontId="45" fillId="3" borderId="0" xfId="0" applyNumberFormat="1" applyFont="1" applyFill="1"/>
    <xf numFmtId="166" fontId="45" fillId="3" borderId="5" xfId="0" applyNumberFormat="1" applyFont="1" applyFill="1" applyBorder="1"/>
    <xf numFmtId="0" fontId="79" fillId="3" borderId="0" xfId="0" applyFont="1" applyFill="1"/>
    <xf numFmtId="10" fontId="79" fillId="3" borderId="0" xfId="0" applyNumberFormat="1" applyFont="1" applyFill="1"/>
    <xf numFmtId="171" fontId="79" fillId="3" borderId="0" xfId="0" applyNumberFormat="1" applyFont="1" applyFill="1"/>
    <xf numFmtId="0" fontId="48" fillId="3" borderId="4" xfId="0" applyFont="1" applyFill="1" applyBorder="1"/>
    <xf numFmtId="2" fontId="48" fillId="3" borderId="2" xfId="0" applyNumberFormat="1" applyFont="1" applyFill="1" applyBorder="1"/>
    <xf numFmtId="0" fontId="48" fillId="3" borderId="2" xfId="0" applyFont="1" applyFill="1" applyBorder="1"/>
    <xf numFmtId="0" fontId="48" fillId="3" borderId="1" xfId="0" applyFont="1" applyFill="1" applyBorder="1"/>
    <xf numFmtId="10" fontId="82" fillId="2" borderId="0" xfId="3" applyNumberFormat="1" applyFont="1" applyFill="1" applyBorder="1"/>
    <xf numFmtId="44" fontId="9" fillId="2" borderId="0" xfId="2" applyFont="1" applyFill="1" applyBorder="1" applyAlignment="1"/>
    <xf numFmtId="14" fontId="73" fillId="3" borderId="26" xfId="0" applyNumberFormat="1" applyFont="1" applyFill="1" applyBorder="1"/>
    <xf numFmtId="14" fontId="47" fillId="3" borderId="26" xfId="0" applyNumberFormat="1" applyFont="1" applyFill="1" applyBorder="1"/>
    <xf numFmtId="14" fontId="47" fillId="3" borderId="25" xfId="0" applyNumberFormat="1" applyFont="1" applyFill="1" applyBorder="1"/>
    <xf numFmtId="0" fontId="0" fillId="2" borderId="26" xfId="0" applyFill="1" applyBorder="1"/>
    <xf numFmtId="0" fontId="85" fillId="2" borderId="0" xfId="0" applyFont="1" applyFill="1"/>
    <xf numFmtId="166" fontId="7" fillId="3" borderId="0" xfId="1" applyNumberFormat="1" applyFont="1" applyFill="1" applyAlignment="1">
      <alignment horizontal="center"/>
    </xf>
    <xf numFmtId="3" fontId="39" fillId="3" borderId="5" xfId="4" applyNumberFormat="1" applyFont="1" applyFill="1" applyBorder="1" applyAlignment="1">
      <alignment horizontal="right"/>
    </xf>
    <xf numFmtId="166" fontId="7" fillId="3" borderId="1" xfId="1" applyNumberFormat="1" applyFont="1" applyFill="1" applyBorder="1"/>
    <xf numFmtId="0" fontId="48" fillId="2" borderId="0" xfId="1" applyNumberFormat="1" applyFont="1" applyFill="1" applyBorder="1"/>
    <xf numFmtId="166" fontId="48" fillId="2" borderId="0" xfId="1" applyNumberFormat="1" applyFont="1" applyFill="1" applyBorder="1"/>
    <xf numFmtId="10" fontId="73" fillId="2" borderId="0" xfId="0" applyNumberFormat="1" applyFont="1" applyFill="1"/>
    <xf numFmtId="0" fontId="45" fillId="2" borderId="0" xfId="1" applyNumberFormat="1" applyFont="1" applyFill="1" applyBorder="1"/>
    <xf numFmtId="166" fontId="45" fillId="2" borderId="0" xfId="1" applyNumberFormat="1" applyFont="1" applyFill="1" applyBorder="1"/>
    <xf numFmtId="3" fontId="73" fillId="2" borderId="0" xfId="0" applyNumberFormat="1" applyFont="1" applyFill="1"/>
    <xf numFmtId="0" fontId="48" fillId="2" borderId="0" xfId="0" applyFont="1" applyFill="1" applyAlignment="1">
      <alignment horizontal="left" indent="1"/>
    </xf>
    <xf numFmtId="10" fontId="47" fillId="2" borderId="0" xfId="0" applyNumberFormat="1" applyFont="1" applyFill="1" applyAlignment="1">
      <alignment horizontal="left"/>
    </xf>
    <xf numFmtId="3" fontId="48" fillId="2" borderId="0" xfId="1" applyNumberFormat="1" applyFont="1" applyFill="1" applyBorder="1"/>
    <xf numFmtId="10" fontId="73" fillId="2" borderId="0" xfId="0" applyNumberFormat="1" applyFont="1" applyFill="1" applyAlignment="1">
      <alignment horizontal="left"/>
    </xf>
    <xf numFmtId="166" fontId="47" fillId="2" borderId="0" xfId="1" applyNumberFormat="1" applyFont="1" applyFill="1" applyBorder="1"/>
    <xf numFmtId="0" fontId="48" fillId="2" borderId="0" xfId="0" applyFont="1" applyFill="1" applyAlignment="1">
      <alignment horizontal="left"/>
    </xf>
    <xf numFmtId="0" fontId="82" fillId="2" borderId="0" xfId="0" applyFont="1" applyFill="1"/>
    <xf numFmtId="10" fontId="83" fillId="2" borderId="0" xfId="0" applyNumberFormat="1" applyFont="1" applyFill="1"/>
    <xf numFmtId="10" fontId="82" fillId="2" borderId="0" xfId="0" applyNumberFormat="1" applyFont="1" applyFill="1"/>
    <xf numFmtId="166" fontId="45" fillId="2" borderId="0" xfId="0" applyNumberFormat="1" applyFont="1" applyFill="1"/>
    <xf numFmtId="10" fontId="48" fillId="2" borderId="0" xfId="3" applyNumberFormat="1" applyFont="1" applyFill="1" applyBorder="1" applyAlignment="1">
      <alignment horizontal="left"/>
    </xf>
    <xf numFmtId="10" fontId="48" fillId="2" borderId="0" xfId="3" applyNumberFormat="1" applyFont="1" applyFill="1" applyBorder="1"/>
    <xf numFmtId="0" fontId="79" fillId="2" borderId="0" xfId="0" applyFont="1" applyFill="1"/>
    <xf numFmtId="198" fontId="48" fillId="2" borderId="0" xfId="1" applyNumberFormat="1" applyFont="1" applyFill="1" applyBorder="1" applyAlignment="1">
      <alignment horizontal="left" indent="1"/>
    </xf>
    <xf numFmtId="3" fontId="47" fillId="2" borderId="0" xfId="0" applyNumberFormat="1" applyFont="1" applyFill="1"/>
    <xf numFmtId="3" fontId="45" fillId="2" borderId="0" xfId="0" applyNumberFormat="1" applyFont="1" applyFill="1"/>
    <xf numFmtId="10" fontId="45" fillId="2" borderId="0" xfId="3" applyNumberFormat="1" applyFont="1" applyFill="1" applyBorder="1"/>
    <xf numFmtId="49" fontId="7" fillId="2" borderId="0" xfId="0" applyNumberFormat="1" applyFont="1" applyFill="1" applyAlignment="1">
      <alignment wrapText="1"/>
    </xf>
    <xf numFmtId="49" fontId="6" fillId="2" borderId="0" xfId="0" applyNumberFormat="1" applyFont="1" applyFill="1" applyAlignment="1">
      <alignment wrapText="1"/>
    </xf>
    <xf numFmtId="44" fontId="3" fillId="2" borderId="0" xfId="0" applyNumberFormat="1" applyFont="1" applyFill="1"/>
    <xf numFmtId="49" fontId="6" fillId="2" borderId="0" xfId="0" applyNumberFormat="1" applyFont="1" applyFill="1" applyAlignment="1">
      <alignment horizontal="left"/>
    </xf>
    <xf numFmtId="49" fontId="7" fillId="2" borderId="0" xfId="0" applyNumberFormat="1" applyFont="1" applyFill="1" applyAlignment="1">
      <alignment vertical="center" wrapText="1"/>
    </xf>
    <xf numFmtId="44" fontId="9" fillId="2" borderId="0" xfId="2" applyFont="1" applyFill="1" applyBorder="1" applyAlignment="1">
      <alignment vertical="center"/>
    </xf>
    <xf numFmtId="44" fontId="7" fillId="2" borderId="0" xfId="2" applyFont="1" applyFill="1" applyBorder="1" applyAlignment="1">
      <alignment vertical="center" wrapText="1"/>
    </xf>
    <xf numFmtId="44" fontId="0" fillId="2" borderId="0" xfId="2" applyFont="1" applyFill="1" applyBorder="1"/>
    <xf numFmtId="44" fontId="9" fillId="2" borderId="0" xfId="2" applyFont="1" applyFill="1" applyBorder="1"/>
    <xf numFmtId="14" fontId="84" fillId="2" borderId="0" xfId="0" applyNumberFormat="1" applyFont="1" applyFill="1"/>
    <xf numFmtId="14" fontId="50" fillId="2" borderId="0" xfId="0" applyNumberFormat="1" applyFont="1" applyFill="1"/>
    <xf numFmtId="174" fontId="79" fillId="2" borderId="0" xfId="0" applyNumberFormat="1" applyFont="1" applyFill="1"/>
    <xf numFmtId="174" fontId="48" fillId="2" borderId="0" xfId="0" applyNumberFormat="1" applyFont="1" applyFill="1"/>
    <xf numFmtId="10" fontId="79" fillId="2" borderId="0" xfId="0" applyNumberFormat="1" applyFont="1" applyFill="1"/>
    <xf numFmtId="171" fontId="79" fillId="2" borderId="0" xfId="0" applyNumberFormat="1" applyFont="1" applyFill="1"/>
    <xf numFmtId="2" fontId="48" fillId="2" borderId="0" xfId="0" applyNumberFormat="1" applyFont="1" applyFill="1"/>
    <xf numFmtId="166" fontId="79" fillId="2" borderId="0" xfId="0" applyNumberFormat="1" applyFont="1" applyFill="1"/>
    <xf numFmtId="0" fontId="42" fillId="2" borderId="0" xfId="0" applyFont="1" applyFill="1" applyAlignment="1">
      <alignment horizontal="center"/>
    </xf>
    <xf numFmtId="10" fontId="37" fillId="2" borderId="0" xfId="0" applyNumberFormat="1" applyFont="1" applyFill="1" applyAlignment="1">
      <alignment horizontal="center"/>
    </xf>
    <xf numFmtId="0" fontId="12" fillId="2" borderId="0" xfId="0" applyFont="1" applyFill="1" applyAlignment="1">
      <alignment horizontal="left"/>
    </xf>
    <xf numFmtId="0" fontId="23" fillId="7" borderId="0" xfId="0" applyFont="1" applyFill="1" applyAlignment="1">
      <alignment horizontal="center" wrapText="1"/>
    </xf>
    <xf numFmtId="0" fontId="22" fillId="7" borderId="0" xfId="0" applyFont="1" applyFill="1" applyAlignment="1">
      <alignment horizontal="center"/>
    </xf>
    <xf numFmtId="0" fontId="31" fillId="2" borderId="0" xfId="0" applyFont="1" applyFill="1" applyAlignment="1">
      <alignment horizontal="left"/>
    </xf>
    <xf numFmtId="0" fontId="3" fillId="4" borderId="0" xfId="0" applyFont="1" applyFill="1" applyAlignment="1">
      <alignment horizontal="center" wrapText="1"/>
    </xf>
    <xf numFmtId="0" fontId="32" fillId="4" borderId="0" xfId="0" applyFont="1" applyFill="1" applyAlignment="1">
      <alignment horizontal="center"/>
    </xf>
    <xf numFmtId="0" fontId="42" fillId="5" borderId="30" xfId="4" applyFont="1" applyFill="1" applyBorder="1" applyAlignment="1">
      <alignment horizontal="center"/>
    </xf>
    <xf numFmtId="0" fontId="42" fillId="5" borderId="29" xfId="4" applyFont="1" applyFill="1" applyBorder="1" applyAlignment="1">
      <alignment horizontal="center"/>
    </xf>
    <xf numFmtId="0" fontId="42" fillId="5" borderId="28" xfId="4" applyFont="1" applyFill="1" applyBorder="1" applyAlignment="1">
      <alignment horizontal="center"/>
    </xf>
    <xf numFmtId="0" fontId="3" fillId="11" borderId="30" xfId="0" applyFont="1" applyFill="1" applyBorder="1" applyAlignment="1">
      <alignment horizontal="center"/>
    </xf>
    <xf numFmtId="0" fontId="3" fillId="11" borderId="29" xfId="0" applyFont="1" applyFill="1" applyBorder="1" applyAlignment="1">
      <alignment horizontal="center"/>
    </xf>
    <xf numFmtId="0" fontId="3" fillId="11" borderId="28" xfId="0" applyFont="1" applyFill="1" applyBorder="1" applyAlignment="1">
      <alignment horizontal="center"/>
    </xf>
    <xf numFmtId="0" fontId="3" fillId="5" borderId="30" xfId="0" applyFont="1" applyFill="1" applyBorder="1" applyAlignment="1">
      <alignment horizontal="center"/>
    </xf>
    <xf numFmtId="0" fontId="3" fillId="5" borderId="29" xfId="0" applyFont="1" applyFill="1" applyBorder="1" applyAlignment="1">
      <alignment horizontal="center"/>
    </xf>
    <xf numFmtId="0" fontId="3" fillId="5" borderId="28" xfId="0" applyFont="1" applyFill="1" applyBorder="1" applyAlignment="1">
      <alignment horizontal="center"/>
    </xf>
    <xf numFmtId="168" fontId="6" fillId="5" borderId="30" xfId="0" applyNumberFormat="1" applyFont="1" applyFill="1" applyBorder="1" applyAlignment="1">
      <alignment horizontal="center"/>
    </xf>
    <xf numFmtId="168" fontId="6" fillId="5" borderId="29" xfId="0" applyNumberFormat="1" applyFont="1" applyFill="1" applyBorder="1" applyAlignment="1">
      <alignment horizontal="center"/>
    </xf>
    <xf numFmtId="168" fontId="6" fillId="5" borderId="28" xfId="0" applyNumberFormat="1" applyFont="1" applyFill="1" applyBorder="1" applyAlignment="1">
      <alignment horizontal="center"/>
    </xf>
    <xf numFmtId="167" fontId="3" fillId="3" borderId="21" xfId="0" applyNumberFormat="1" applyFont="1" applyFill="1" applyBorder="1" applyAlignment="1">
      <alignment horizontal="center"/>
    </xf>
    <xf numFmtId="167" fontId="3" fillId="3" borderId="38" xfId="0" applyNumberFormat="1" applyFont="1" applyFill="1" applyBorder="1" applyAlignment="1">
      <alignment horizontal="center"/>
    </xf>
    <xf numFmtId="0" fontId="6" fillId="8" borderId="30" xfId="0" applyFont="1" applyFill="1" applyBorder="1" applyAlignment="1">
      <alignment horizontal="center"/>
    </xf>
    <xf numFmtId="0" fontId="6" fillId="8" borderId="29" xfId="0" applyFont="1" applyFill="1" applyBorder="1" applyAlignment="1">
      <alignment horizontal="center"/>
    </xf>
    <xf numFmtId="0" fontId="6" fillId="8" borderId="28" xfId="0" applyFont="1" applyFill="1" applyBorder="1" applyAlignment="1">
      <alignment horizontal="center"/>
    </xf>
    <xf numFmtId="0" fontId="6" fillId="9" borderId="30" xfId="0" applyFont="1" applyFill="1" applyBorder="1" applyAlignment="1">
      <alignment horizontal="center"/>
    </xf>
    <xf numFmtId="0" fontId="6" fillId="9" borderId="29" xfId="0" applyFont="1" applyFill="1" applyBorder="1" applyAlignment="1">
      <alignment horizontal="center"/>
    </xf>
    <xf numFmtId="0" fontId="6" fillId="9" borderId="28" xfId="0" applyFont="1" applyFill="1" applyBorder="1" applyAlignment="1">
      <alignment horizontal="center"/>
    </xf>
    <xf numFmtId="167" fontId="3" fillId="3" borderId="23" xfId="0" applyNumberFormat="1" applyFont="1" applyFill="1" applyBorder="1" applyAlignment="1">
      <alignment horizontal="center"/>
    </xf>
    <xf numFmtId="167" fontId="3" fillId="3" borderId="22" xfId="0" applyNumberFormat="1" applyFont="1" applyFill="1" applyBorder="1" applyAlignment="1">
      <alignment horizontal="center"/>
    </xf>
    <xf numFmtId="0" fontId="59" fillId="12" borderId="30" xfId="0" applyFont="1" applyFill="1" applyBorder="1" applyAlignment="1">
      <alignment horizontal="center"/>
    </xf>
    <xf numFmtId="0" fontId="59" fillId="12" borderId="29" xfId="0" applyFont="1" applyFill="1" applyBorder="1" applyAlignment="1">
      <alignment horizontal="center"/>
    </xf>
    <xf numFmtId="0" fontId="59" fillId="12" borderId="28" xfId="0" applyFont="1" applyFill="1" applyBorder="1" applyAlignment="1">
      <alignment horizontal="center"/>
    </xf>
    <xf numFmtId="0" fontId="3" fillId="5" borderId="30" xfId="0" applyFont="1" applyFill="1" applyBorder="1" applyAlignment="1">
      <alignment horizontal="left"/>
    </xf>
    <xf numFmtId="0" fontId="3" fillId="5" borderId="29" xfId="0" applyFont="1" applyFill="1" applyBorder="1" applyAlignment="1">
      <alignment horizontal="left"/>
    </xf>
    <xf numFmtId="0" fontId="3" fillId="5" borderId="28" xfId="0" applyFont="1" applyFill="1" applyBorder="1" applyAlignment="1">
      <alignment horizontal="left"/>
    </xf>
    <xf numFmtId="0" fontId="3" fillId="4" borderId="30" xfId="0" applyFont="1" applyFill="1" applyBorder="1" applyAlignment="1">
      <alignment horizontal="center"/>
    </xf>
    <xf numFmtId="0" fontId="3" fillId="4" borderId="28" xfId="0" applyFont="1" applyFill="1" applyBorder="1" applyAlignment="1">
      <alignment horizontal="center"/>
    </xf>
    <xf numFmtId="0" fontId="3" fillId="10" borderId="30" xfId="0" applyFont="1" applyFill="1" applyBorder="1" applyAlignment="1">
      <alignment horizontal="center"/>
    </xf>
    <xf numFmtId="0" fontId="3" fillId="10" borderId="28" xfId="0" applyFont="1" applyFill="1" applyBorder="1" applyAlignment="1">
      <alignment horizontal="center"/>
    </xf>
    <xf numFmtId="0" fontId="3" fillId="10" borderId="27" xfId="0" applyFont="1" applyFill="1" applyBorder="1" applyAlignment="1">
      <alignment horizontal="center"/>
    </xf>
    <xf numFmtId="0" fontId="3" fillId="10" borderId="25" xfId="0" applyFont="1" applyFill="1" applyBorder="1" applyAlignment="1">
      <alignment horizontal="center"/>
    </xf>
    <xf numFmtId="0" fontId="6" fillId="5" borderId="30" xfId="0" applyFont="1" applyFill="1" applyBorder="1" applyAlignment="1">
      <alignment horizontal="center"/>
    </xf>
    <xf numFmtId="0" fontId="6" fillId="5" borderId="29" xfId="0" applyFont="1" applyFill="1" applyBorder="1" applyAlignment="1">
      <alignment horizontal="center"/>
    </xf>
    <xf numFmtId="0" fontId="6" fillId="5" borderId="28" xfId="0" applyFont="1" applyFill="1" applyBorder="1" applyAlignment="1">
      <alignment horizontal="center"/>
    </xf>
    <xf numFmtId="0" fontId="3" fillId="4" borderId="27" xfId="0" applyFont="1" applyFill="1" applyBorder="1" applyAlignment="1">
      <alignment horizontal="center"/>
    </xf>
    <xf numFmtId="0" fontId="3" fillId="4" borderId="25" xfId="0" applyFont="1" applyFill="1" applyBorder="1" applyAlignment="1">
      <alignment horizontal="center"/>
    </xf>
    <xf numFmtId="0" fontId="3" fillId="4" borderId="26" xfId="0" applyFont="1" applyFill="1" applyBorder="1" applyAlignment="1">
      <alignment horizontal="center"/>
    </xf>
    <xf numFmtId="0" fontId="3" fillId="10" borderId="29" xfId="0" applyFont="1" applyFill="1" applyBorder="1" applyAlignment="1">
      <alignment horizontal="center"/>
    </xf>
    <xf numFmtId="0" fontId="64" fillId="4" borderId="30" xfId="9" applyFont="1" applyFill="1" applyBorder="1" applyAlignment="1">
      <alignment horizontal="left" wrapText="1"/>
    </xf>
    <xf numFmtId="0" fontId="64" fillId="4" borderId="29" xfId="9" applyFont="1" applyFill="1" applyBorder="1" applyAlignment="1">
      <alignment horizontal="left" wrapText="1"/>
    </xf>
    <xf numFmtId="0" fontId="3" fillId="2" borderId="0" xfId="0" applyFont="1" applyFill="1" applyAlignment="1">
      <alignment horizontal="center"/>
    </xf>
    <xf numFmtId="0" fontId="45" fillId="2" borderId="0" xfId="0" applyFont="1" applyFill="1" applyAlignment="1">
      <alignment horizontal="center"/>
    </xf>
    <xf numFmtId="0" fontId="51" fillId="2" borderId="0" xfId="0" applyFont="1" applyFill="1" applyAlignment="1">
      <alignment horizontal="center"/>
    </xf>
    <xf numFmtId="0" fontId="42" fillId="2" borderId="0" xfId="0" applyFont="1" applyFill="1" applyAlignment="1">
      <alignment horizontal="center"/>
    </xf>
    <xf numFmtId="0" fontId="45" fillId="2" borderId="12" xfId="0" applyFont="1" applyFill="1" applyBorder="1" applyAlignment="1">
      <alignment horizontal="center"/>
    </xf>
    <xf numFmtId="0" fontId="79" fillId="2" borderId="0" xfId="0" applyFont="1" applyFill="1" applyAlignment="1">
      <alignment horizontal="center"/>
    </xf>
    <xf numFmtId="17" fontId="45" fillId="2" borderId="17" xfId="0" applyNumberFormat="1" applyFont="1" applyFill="1" applyBorder="1" applyAlignment="1">
      <alignment horizontal="center"/>
    </xf>
    <xf numFmtId="0" fontId="45" fillId="5" borderId="29" xfId="4" applyFont="1" applyFill="1" applyBorder="1" applyAlignment="1">
      <alignment horizontal="center"/>
    </xf>
    <xf numFmtId="0" fontId="45" fillId="5" borderId="28" xfId="4" applyFont="1" applyFill="1" applyBorder="1" applyAlignment="1">
      <alignment horizontal="center"/>
    </xf>
    <xf numFmtId="0" fontId="51" fillId="5" borderId="30" xfId="4" applyFont="1" applyFill="1" applyBorder="1" applyAlignment="1">
      <alignment horizontal="center"/>
    </xf>
    <xf numFmtId="0" fontId="51" fillId="5" borderId="29" xfId="4" applyFont="1" applyFill="1" applyBorder="1" applyAlignment="1">
      <alignment horizontal="center"/>
    </xf>
    <xf numFmtId="0" fontId="51" fillId="5" borderId="28" xfId="4" applyFont="1" applyFill="1" applyBorder="1" applyAlignment="1">
      <alignment horizontal="center"/>
    </xf>
    <xf numFmtId="0" fontId="45" fillId="5" borderId="30" xfId="0" applyFont="1" applyFill="1" applyBorder="1" applyAlignment="1">
      <alignment horizontal="center"/>
    </xf>
    <xf numFmtId="0" fontId="45" fillId="5" borderId="29" xfId="0" applyFont="1" applyFill="1" applyBorder="1" applyAlignment="1">
      <alignment horizontal="center"/>
    </xf>
    <xf numFmtId="0" fontId="45" fillId="5" borderId="28" xfId="0" applyFont="1" applyFill="1" applyBorder="1" applyAlignment="1">
      <alignment horizontal="center"/>
    </xf>
    <xf numFmtId="0" fontId="42" fillId="11" borderId="30" xfId="0" applyFont="1" applyFill="1" applyBorder="1" applyAlignment="1">
      <alignment horizontal="center"/>
    </xf>
    <xf numFmtId="0" fontId="42" fillId="11" borderId="28" xfId="0" applyFont="1" applyFill="1" applyBorder="1" applyAlignment="1">
      <alignment horizontal="center"/>
    </xf>
    <xf numFmtId="0" fontId="42" fillId="10" borderId="30" xfId="0" applyFont="1" applyFill="1" applyBorder="1" applyAlignment="1">
      <alignment horizontal="center"/>
    </xf>
    <xf numFmtId="0" fontId="42" fillId="10" borderId="28" xfId="0" applyFont="1" applyFill="1" applyBorder="1" applyAlignment="1">
      <alignment horizontal="center"/>
    </xf>
    <xf numFmtId="0" fontId="45" fillId="10" borderId="30" xfId="0" applyFont="1" applyFill="1" applyBorder="1" applyAlignment="1">
      <alignment horizontal="center"/>
    </xf>
    <xf numFmtId="0" fontId="45" fillId="10" borderId="28" xfId="0" applyFont="1" applyFill="1" applyBorder="1" applyAlignment="1">
      <alignment horizontal="center"/>
    </xf>
    <xf numFmtId="0" fontId="45" fillId="11" borderId="30" xfId="0" applyFont="1" applyFill="1" applyBorder="1" applyAlignment="1">
      <alignment horizontal="center"/>
    </xf>
    <xf numFmtId="0" fontId="45" fillId="11" borderId="28" xfId="0" applyFont="1" applyFill="1" applyBorder="1" applyAlignment="1">
      <alignment horizontal="center"/>
    </xf>
    <xf numFmtId="0" fontId="42" fillId="11" borderId="29" xfId="0" applyFont="1" applyFill="1" applyBorder="1" applyAlignment="1">
      <alignment horizontal="center"/>
    </xf>
    <xf numFmtId="0" fontId="51" fillId="11" borderId="30" xfId="0" applyFont="1" applyFill="1" applyBorder="1" applyAlignment="1">
      <alignment horizontal="center"/>
    </xf>
    <xf numFmtId="0" fontId="51" fillId="11" borderId="29" xfId="0" applyFont="1" applyFill="1" applyBorder="1" applyAlignment="1">
      <alignment horizontal="center"/>
    </xf>
    <xf numFmtId="0" fontId="51" fillId="11" borderId="28" xfId="0" applyFont="1" applyFill="1" applyBorder="1" applyAlignment="1">
      <alignment horizontal="center"/>
    </xf>
    <xf numFmtId="0" fontId="51" fillId="10" borderId="30" xfId="0" applyFont="1" applyFill="1" applyBorder="1" applyAlignment="1">
      <alignment horizontal="center"/>
    </xf>
    <xf numFmtId="0" fontId="51" fillId="10" borderId="29" xfId="0" applyFont="1" applyFill="1" applyBorder="1" applyAlignment="1">
      <alignment horizontal="center"/>
    </xf>
    <xf numFmtId="0" fontId="51" fillId="10" borderId="28" xfId="0" applyFont="1" applyFill="1" applyBorder="1" applyAlignment="1">
      <alignment horizontal="center"/>
    </xf>
    <xf numFmtId="0" fontId="51" fillId="5" borderId="30" xfId="0" applyFont="1" applyFill="1" applyBorder="1" applyAlignment="1">
      <alignment horizontal="center"/>
    </xf>
    <xf numFmtId="0" fontId="51" fillId="5" borderId="29" xfId="0" applyFont="1" applyFill="1" applyBorder="1" applyAlignment="1">
      <alignment horizontal="center"/>
    </xf>
    <xf numFmtId="0" fontId="51" fillId="5" borderId="28" xfId="0" applyFont="1" applyFill="1" applyBorder="1" applyAlignment="1">
      <alignment horizontal="center"/>
    </xf>
    <xf numFmtId="0" fontId="51" fillId="4" borderId="30" xfId="0" applyFont="1" applyFill="1" applyBorder="1" applyAlignment="1">
      <alignment horizontal="center"/>
    </xf>
    <xf numFmtId="0" fontId="51" fillId="4" borderId="29" xfId="0" applyFont="1" applyFill="1" applyBorder="1" applyAlignment="1">
      <alignment horizontal="center"/>
    </xf>
    <xf numFmtId="0" fontId="51" fillId="4" borderId="28" xfId="0" applyFont="1" applyFill="1" applyBorder="1" applyAlignment="1">
      <alignment horizontal="center"/>
    </xf>
    <xf numFmtId="0" fontId="45" fillId="10" borderId="29" xfId="0" applyFont="1" applyFill="1" applyBorder="1" applyAlignment="1">
      <alignment horizontal="center"/>
    </xf>
  </cellXfs>
  <cellStyles count="11">
    <cellStyle name="Comma" xfId="1" builtinId="3"/>
    <cellStyle name="Currency" xfId="2" builtinId="4"/>
    <cellStyle name="Currency 2" xfId="7" xr:uid="{82194D1F-5F0F-4A30-AF68-B12D9BEBF190}"/>
    <cellStyle name="Hyperlink 2" xfId="10" xr:uid="{AAA5646F-C7C8-4CF8-B4E4-D702FFA2C080}"/>
    <cellStyle name="Normal" xfId="0" builtinId="0"/>
    <cellStyle name="Normal 2" xfId="4" xr:uid="{DE80D3D1-1B18-41B3-8DE5-8AA3C992948E}"/>
    <cellStyle name="Normal 2 3" xfId="8" xr:uid="{6ED4AEAB-93A3-4639-89C0-68ADCD278C32}"/>
    <cellStyle name="Normal 3" xfId="6" xr:uid="{A574FFED-FCB6-4AB9-8878-E8D92C825BD9}"/>
    <cellStyle name="Normal 3 2" xfId="9" xr:uid="{90ED3A16-F3D0-49FA-96CA-CA6612EEA566}"/>
    <cellStyle name="Percent" xfId="3" builtinId="5"/>
    <cellStyle name="Percent 2" xfId="5" xr:uid="{E72D7D99-7857-4E4B-BC7E-5DDE0CBA5F79}"/>
  </cellStyles>
  <dxfs count="25">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ont>
        <color theme="0"/>
      </font>
    </dxf>
    <dxf>
      <font>
        <color theme="0"/>
      </font>
    </dxf>
    <dxf>
      <font>
        <color theme="0"/>
      </font>
      <numFmt numFmtId="0" formatCode="General"/>
      <fill>
        <patternFill patternType="none">
          <bgColor auto="1"/>
        </patternFill>
      </fill>
    </dxf>
    <dxf>
      <font>
        <color theme="0"/>
      </font>
      <fill>
        <patternFill patternType="none">
          <bgColor auto="1"/>
        </patternFill>
      </fill>
    </dxf>
    <dxf>
      <font>
        <color theme="9" tint="-0.24994659260841701"/>
      </font>
    </dxf>
    <dxf>
      <font>
        <color theme="0"/>
      </font>
    </dxf>
    <dxf>
      <font>
        <color theme="0"/>
      </font>
    </dxf>
    <dxf>
      <font>
        <color theme="0"/>
      </font>
      <numFmt numFmtId="0" formatCode="General"/>
      <fill>
        <patternFill patternType="none">
          <bgColor auto="1"/>
        </patternFill>
      </fill>
    </dxf>
    <dxf>
      <font>
        <color theme="0"/>
      </font>
      <fill>
        <patternFill patternType="none">
          <bgColor auto="1"/>
        </patternFill>
      </fill>
    </dxf>
    <dxf>
      <fill>
        <patternFill>
          <bgColor theme="0" tint="-4.9989318521683403E-2"/>
        </patternFill>
      </fill>
    </dxf>
    <dxf>
      <border>
        <bottom style="thin">
          <color auto="1"/>
        </bottom>
        <vertical/>
        <horizontal/>
      </border>
    </dxf>
    <dxf>
      <fill>
        <patternFill>
          <bgColor theme="7" tint="0.39994506668294322"/>
        </patternFill>
      </fill>
    </dxf>
    <dxf>
      <numFmt numFmtId="14" formatCode="0.00%"/>
    </dxf>
    <dxf>
      <numFmt numFmtId="14" formatCode="0.00%"/>
    </dxf>
    <dxf>
      <numFmt numFmtId="14" formatCode="0.00%"/>
    </dxf>
    <dxf>
      <font>
        <b val="0"/>
        <i val="0"/>
        <strike val="0"/>
        <condense val="0"/>
        <extend val="0"/>
        <outline val="0"/>
        <shadow val="0"/>
        <u val="none"/>
        <vertAlign val="baseline"/>
        <sz val="11"/>
        <color theme="1"/>
        <name val="Calibri"/>
        <family val="2"/>
        <scheme val="minor"/>
      </font>
      <numFmt numFmtId="14" formatCode="0.00%"/>
    </dxf>
    <dxf>
      <numFmt numFmtId="0" formatCode="General"/>
    </dxf>
    <dxf>
      <numFmt numFmtId="14" formatCode="0.00%"/>
    </dxf>
    <dxf>
      <numFmt numFmtId="14" formatCode="0.00%"/>
    </dxf>
    <dxf>
      <numFmt numFmtId="19" formatCode="m/d/yyyy"/>
    </dxf>
    <dxf>
      <numFmt numFmtId="19" formatCode="m/d/yyyy"/>
    </dxf>
  </dxfs>
  <tableStyles count="0" defaultTableStyle="TableStyleMedium2" defaultPivotStyle="PivotStyleLight16"/>
  <colors>
    <mruColors>
      <color rgb="FF0000FF"/>
      <color rgb="FF57B7C3"/>
      <color rgb="FFC7C6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42</xdr:col>
      <xdr:colOff>153276</xdr:colOff>
      <xdr:row>1</xdr:row>
      <xdr:rowOff>-1</xdr:rowOff>
    </xdr:from>
    <xdr:to>
      <xdr:col>59</xdr:col>
      <xdr:colOff>120431</xdr:colOff>
      <xdr:row>2</xdr:row>
      <xdr:rowOff>15047</xdr:rowOff>
    </xdr:to>
    <xdr:sp macro="" textlink="">
      <xdr:nvSpPr>
        <xdr:cNvPr id="2" name="Arrow: Chevron 1">
          <a:extLst>
            <a:ext uri="{FF2B5EF4-FFF2-40B4-BE49-F238E27FC236}">
              <a16:creationId xmlns:a16="http://schemas.microsoft.com/office/drawing/2014/main" id="{2EA72288-30A5-42D9-987B-AF12DBB64438}"/>
            </a:ext>
          </a:extLst>
        </xdr:cNvPr>
        <xdr:cNvSpPr/>
      </xdr:nvSpPr>
      <xdr:spPr>
        <a:xfrm>
          <a:off x="17831676" y="184149"/>
          <a:ext cx="9720755" cy="199198"/>
        </a:xfrm>
        <a:prstGeom prst="chevron">
          <a:avLst/>
        </a:prstGeom>
        <a:solidFill>
          <a:srgbClr val="57B7C3"/>
        </a:solidFill>
        <a:ln>
          <a:solidFill>
            <a:srgbClr val="57B7C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0</xdr:col>
      <xdr:colOff>99117</xdr:colOff>
      <xdr:row>0</xdr:row>
      <xdr:rowOff>164590</xdr:rowOff>
    </xdr:from>
    <xdr:to>
      <xdr:col>41</xdr:col>
      <xdr:colOff>849951</xdr:colOff>
      <xdr:row>1</xdr:row>
      <xdr:rowOff>176697</xdr:rowOff>
    </xdr:to>
    <xdr:sp macro="" textlink="">
      <xdr:nvSpPr>
        <xdr:cNvPr id="3" name="Arrow: Chevron 2">
          <a:extLst>
            <a:ext uri="{FF2B5EF4-FFF2-40B4-BE49-F238E27FC236}">
              <a16:creationId xmlns:a16="http://schemas.microsoft.com/office/drawing/2014/main" id="{48780BC6-ED57-49B1-A358-B110E9CD7D63}"/>
            </a:ext>
          </a:extLst>
        </xdr:cNvPr>
        <xdr:cNvSpPr/>
      </xdr:nvSpPr>
      <xdr:spPr>
        <a:xfrm>
          <a:off x="99117" y="164590"/>
          <a:ext cx="59541251" cy="192024"/>
        </a:xfrm>
        <a:prstGeom prst="chevron">
          <a:avLst/>
        </a:prstGeom>
        <a:solidFill>
          <a:srgbClr val="C7C6C7"/>
        </a:solidFill>
        <a:ln>
          <a:solidFill>
            <a:srgbClr val="C7C6C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59</xdr:col>
      <xdr:colOff>321732</xdr:colOff>
      <xdr:row>1</xdr:row>
      <xdr:rowOff>0</xdr:rowOff>
    </xdr:from>
    <xdr:to>
      <xdr:col>75</xdr:col>
      <xdr:colOff>87205</xdr:colOff>
      <xdr:row>2</xdr:row>
      <xdr:rowOff>15048</xdr:rowOff>
    </xdr:to>
    <xdr:sp macro="" textlink="">
      <xdr:nvSpPr>
        <xdr:cNvPr id="4" name="Arrow: Chevron 3">
          <a:extLst>
            <a:ext uri="{FF2B5EF4-FFF2-40B4-BE49-F238E27FC236}">
              <a16:creationId xmlns:a16="http://schemas.microsoft.com/office/drawing/2014/main" id="{6C37ACE8-0413-46F3-8189-22DF43187E7A}"/>
            </a:ext>
          </a:extLst>
        </xdr:cNvPr>
        <xdr:cNvSpPr/>
      </xdr:nvSpPr>
      <xdr:spPr>
        <a:xfrm>
          <a:off x="48719315" y="179917"/>
          <a:ext cx="16550640" cy="194964"/>
        </a:xfrm>
        <a:prstGeom prst="chevron">
          <a:avLst/>
        </a:prstGeom>
        <a:solidFill>
          <a:srgbClr val="142D39"/>
        </a:solidFill>
        <a:ln>
          <a:solidFill>
            <a:srgbClr val="142D3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11</xdr:col>
      <xdr:colOff>538394</xdr:colOff>
      <xdr:row>0</xdr:row>
      <xdr:rowOff>143057</xdr:rowOff>
    </xdr:from>
    <xdr:to>
      <xdr:col>13</xdr:col>
      <xdr:colOff>56671</xdr:colOff>
      <xdr:row>1</xdr:row>
      <xdr:rowOff>158749</xdr:rowOff>
    </xdr:to>
    <xdr:sp macro="" textlink="">
      <xdr:nvSpPr>
        <xdr:cNvPr id="5" name="TextBox 4">
          <a:extLst>
            <a:ext uri="{FF2B5EF4-FFF2-40B4-BE49-F238E27FC236}">
              <a16:creationId xmlns:a16="http://schemas.microsoft.com/office/drawing/2014/main" id="{C2ABCB59-27F0-4ECA-B862-6386515CA8FB}"/>
            </a:ext>
          </a:extLst>
        </xdr:cNvPr>
        <xdr:cNvSpPr txBox="1"/>
      </xdr:nvSpPr>
      <xdr:spPr>
        <a:xfrm>
          <a:off x="15476013" y="143057"/>
          <a:ext cx="1433356" cy="197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Acquisition</a:t>
          </a:r>
        </a:p>
      </xdr:txBody>
    </xdr:sp>
    <xdr:clientData/>
  </xdr:twoCellAnchor>
  <xdr:twoCellAnchor>
    <xdr:from>
      <xdr:col>48</xdr:col>
      <xdr:colOff>361292</xdr:colOff>
      <xdr:row>0</xdr:row>
      <xdr:rowOff>164223</xdr:rowOff>
    </xdr:from>
    <xdr:to>
      <xdr:col>51</xdr:col>
      <xdr:colOff>76636</xdr:colOff>
      <xdr:row>1</xdr:row>
      <xdr:rowOff>186119</xdr:rowOff>
    </xdr:to>
    <xdr:sp macro="" textlink="">
      <xdr:nvSpPr>
        <xdr:cNvPr id="6" name="TextBox 5">
          <a:extLst>
            <a:ext uri="{FF2B5EF4-FFF2-40B4-BE49-F238E27FC236}">
              <a16:creationId xmlns:a16="http://schemas.microsoft.com/office/drawing/2014/main" id="{595D0047-DA52-490F-9826-643421810C61}"/>
            </a:ext>
          </a:extLst>
        </xdr:cNvPr>
        <xdr:cNvSpPr txBox="1"/>
      </xdr:nvSpPr>
      <xdr:spPr>
        <a:xfrm>
          <a:off x="21697292" y="164223"/>
          <a:ext cx="934544" cy="206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Cash</a:t>
          </a:r>
          <a:r>
            <a:rPr lang="en-US" sz="1100" b="1" baseline="0"/>
            <a:t> Flow</a:t>
          </a:r>
          <a:endParaRPr lang="en-US" sz="1100" b="1"/>
        </a:p>
      </xdr:txBody>
    </xdr:sp>
    <xdr:clientData/>
  </xdr:twoCellAnchor>
  <xdr:twoCellAnchor>
    <xdr:from>
      <xdr:col>67</xdr:col>
      <xdr:colOff>11082</xdr:colOff>
      <xdr:row>0</xdr:row>
      <xdr:rowOff>145943</xdr:rowOff>
    </xdr:from>
    <xdr:to>
      <xdr:col>68</xdr:col>
      <xdr:colOff>1295016</xdr:colOff>
      <xdr:row>2</xdr:row>
      <xdr:rowOff>45220</xdr:rowOff>
    </xdr:to>
    <xdr:sp macro="" textlink="">
      <xdr:nvSpPr>
        <xdr:cNvPr id="7" name="TextBox 6">
          <a:extLst>
            <a:ext uri="{FF2B5EF4-FFF2-40B4-BE49-F238E27FC236}">
              <a16:creationId xmlns:a16="http://schemas.microsoft.com/office/drawing/2014/main" id="{DD25858F-F06F-474A-B5C5-77E01E8DD85B}"/>
            </a:ext>
          </a:extLst>
        </xdr:cNvPr>
        <xdr:cNvSpPr txBox="1"/>
      </xdr:nvSpPr>
      <xdr:spPr>
        <a:xfrm>
          <a:off x="56462582" y="145943"/>
          <a:ext cx="1612017" cy="259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Project</a:t>
          </a:r>
          <a:r>
            <a:rPr lang="en-US" sz="1100" b="1" baseline="0">
              <a:solidFill>
                <a:schemeClr val="bg1"/>
              </a:solidFill>
            </a:rPr>
            <a:t>  Returns</a:t>
          </a:r>
          <a:endParaRPr lang="en-US" sz="11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21525</xdr:colOff>
      <xdr:row>51</xdr:row>
      <xdr:rowOff>43050</xdr:rowOff>
    </xdr:from>
    <xdr:to>
      <xdr:col>4</xdr:col>
      <xdr:colOff>5273729</xdr:colOff>
      <xdr:row>72</xdr:row>
      <xdr:rowOff>158750</xdr:rowOff>
    </xdr:to>
    <xdr:sp macro="" textlink="">
      <xdr:nvSpPr>
        <xdr:cNvPr id="4" name="TextBox 3">
          <a:extLst>
            <a:ext uri="{FF2B5EF4-FFF2-40B4-BE49-F238E27FC236}">
              <a16:creationId xmlns:a16="http://schemas.microsoft.com/office/drawing/2014/main" id="{6E39C82C-1948-48B8-86DC-1F466A073BD4}"/>
            </a:ext>
          </a:extLst>
        </xdr:cNvPr>
        <xdr:cNvSpPr txBox="1"/>
      </xdr:nvSpPr>
      <xdr:spPr>
        <a:xfrm>
          <a:off x="428322" y="9657347"/>
          <a:ext cx="12653923" cy="4074528"/>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baseline="0">
              <a:solidFill>
                <a:schemeClr val="dk1"/>
              </a:solidFill>
              <a:effectLst/>
              <a:latin typeface="+mj-lt"/>
              <a:ea typeface="+mn-ea"/>
              <a:cs typeface="+mn-cs"/>
            </a:rPr>
            <a:t>Portfolio Fit - </a:t>
          </a:r>
          <a:r>
            <a:rPr lang="en-US" sz="1100" b="0" baseline="0">
              <a:solidFill>
                <a:schemeClr val="dk1"/>
              </a:solidFill>
              <a:effectLst/>
              <a:latin typeface="+mj-lt"/>
              <a:ea typeface="+mn-ea"/>
              <a:cs typeface="+mn-cs"/>
            </a:rPr>
            <a:t>Continuation of the Aspect Health strategy to aggregate, through both acquisition and development, Single Tenant Net Lease (STNL) assets occupied by major Health Systems. For example, Montefiore Health System in Nyack, Nuvance Health System in Danbury, and Yale New Haven Health in Stratford. </a:t>
          </a:r>
          <a:endParaRPr lang="en-US" sz="1100" b="1" baseline="0">
            <a:solidFill>
              <a:sysClr val="windowText" lastClr="000000"/>
            </a:solidFill>
            <a:effectLst/>
            <a:latin typeface="+mj-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baseline="0">
              <a:solidFill>
                <a:sysClr val="windowText" lastClr="000000"/>
              </a:solidFill>
              <a:effectLst/>
              <a:latin typeface="+mj-lt"/>
              <a:ea typeface="+mn-ea"/>
              <a:cs typeface="+mn-cs"/>
            </a:rPr>
            <a:t>Minimal Landlord Responsibility </a:t>
          </a:r>
          <a:r>
            <a:rPr lang="en-US" sz="1100" b="0" baseline="0">
              <a:solidFill>
                <a:sysClr val="windowText" lastClr="000000"/>
              </a:solidFill>
              <a:effectLst/>
              <a:latin typeface="+mj-lt"/>
              <a:ea typeface="+mn-ea"/>
              <a:cs typeface="+mn-cs"/>
            </a:rPr>
            <a:t>- The Property is Absolute NNN, as the Tenant pays all operating expenses, including taxes and utilities, directly. Additionally, the Tenant responsible for all capital improvements and self-manages the property.</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baseline="0">
              <a:solidFill>
                <a:sysClr val="windowText" lastClr="000000"/>
              </a:solidFill>
              <a:effectLst/>
              <a:latin typeface="+mj-lt"/>
              <a:ea typeface="+mn-ea"/>
              <a:cs typeface="+mn-cs"/>
            </a:rPr>
            <a:t>Tenant Stickiness </a:t>
          </a:r>
          <a:r>
            <a:rPr lang="en-US" sz="1100" b="0" baseline="0">
              <a:solidFill>
                <a:sysClr val="windowText" lastClr="000000"/>
              </a:solidFill>
              <a:effectLst/>
              <a:latin typeface="+mj-lt"/>
              <a:ea typeface="+mn-ea"/>
              <a:cs typeface="+mn-cs"/>
            </a:rPr>
            <a:t>- The Tenant has a 25+ year operating history in the Property and has occupied the Property since it was originally built in 1997. When the Property was expanded in 2009, the Tenant invested approximately $1,500,000 towards the Base Building cost. Additionally, the Tenant has shown recent commitment to its space, as it made over $175,000 in improvements to the building related to painting and HVAC in 2020, self-performed the work, and received a reimbursement from the Landlord. The Tenant has shown a propensity for signing long-term renewals, as the last two renewals have been for 15 years and 10 years, respectively.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baseline="0">
              <a:solidFill>
                <a:schemeClr val="dk1"/>
              </a:solidFill>
              <a:effectLst/>
              <a:latin typeface="+mj-lt"/>
              <a:ea typeface="+mn-ea"/>
              <a:cs typeface="+mn-cs"/>
            </a:rPr>
            <a:t>New Relationship/Partnership Opportunity </a:t>
          </a:r>
          <a:r>
            <a:rPr lang="en-US" sz="1100" b="0" baseline="0">
              <a:solidFill>
                <a:schemeClr val="dk1"/>
              </a:solidFill>
              <a:effectLst/>
              <a:latin typeface="+mj-lt"/>
              <a:ea typeface="+mn-ea"/>
              <a:cs typeface="+mn-cs"/>
            </a:rPr>
            <a:t>- Opportunity to establish a new relationship with another Connecticut-based Health System in Stamford Health (S&amp;P: BBB+). Aspect Health can acquire the Property and propose to Tenant to make significant capital improvements to bring the Property from Class B up to that of a best-in-class medical office building and to contribute to some or all of the cost in exchange for lease term and resetting the rent escalators from CPI adjustments every five years, to annual adjustments. Given that the  Tenant will have seen their base rental rate escalate by approximately 22.16% with the CPI adjustment in November of 2023, equal to a CAGR of 4.43% per year, it is likely that the Tenant would be amenable to a 2.0%-2.5% annual escalator. As previously mentioned above, the Tenant is responsible for all capital improvements work and has consistently shown a willingness to contribute towards the completion of the work (2009), or self-perform the work and receive reimbursements in exchange for lease term (2020).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baseline="0">
              <a:solidFill>
                <a:schemeClr val="dk1"/>
              </a:solidFill>
              <a:effectLst/>
              <a:latin typeface="+mj-lt"/>
              <a:ea typeface="+mn-ea"/>
              <a:cs typeface="+mn-cs"/>
            </a:rPr>
            <a:t>Strong Fundamentals/Investment Thesis - </a:t>
          </a:r>
          <a:r>
            <a:rPr lang="en-US" sz="1100" b="0" baseline="0">
              <a:solidFill>
                <a:schemeClr val="dk1"/>
              </a:solidFill>
              <a:effectLst/>
              <a:latin typeface="+mj-lt"/>
              <a:ea typeface="+mn-ea"/>
              <a:cs typeface="+mn-cs"/>
            </a:rPr>
            <a:t>On a base case, assuming no lease extension or capital improvements, as mentioned above, given the strong underlying fundamentals, and the cohesiveness between this asset and Aspect Health's existing portfolio assets, this Property would be pulled along and receive a portfolio premium upon disposition with Nyack, Hospital Ave, Stratford, Stony etc. With a proposed disposition of December of 2025, the Property would still feature 5+ Years of WALT, with a BBB+ Credit Health System Tenant and a 30 year operating history at the location. Additionally, the Property is situated in a premier location on the Connecticut coast in Darien with proximity to I-95 Exit 11 in less than half a mile. Coupled with the fact that a Buyer would be receiving a 50-65 bp increase to their yield three years into the sale due to the CPI adjustment in November of 2028, and a terminal SOFR rate of 3.25% - 3.50%, it is likely that the property would receive a high five to low six cap rate even under a base case scenario. </a:t>
          </a:r>
          <a:endParaRPr lang="en-US" sz="1100" b="1" baseline="0">
            <a:solidFill>
              <a:sysClr val="windowText" lastClr="000000"/>
            </a:solidFill>
            <a:effectLst/>
            <a:latin typeface="+mj-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baseline="0">
              <a:solidFill>
                <a:sysClr val="windowText" lastClr="000000"/>
              </a:solidFill>
              <a:effectLst/>
              <a:latin typeface="+mj-lt"/>
              <a:ea typeface="+mn-ea"/>
              <a:cs typeface="+mn-cs"/>
            </a:rPr>
            <a:t>CPI Challenge Turns off 1031 Buyers, Not Traditional 5 Year Hold, Upcoming Capital Work -  </a:t>
          </a:r>
          <a:r>
            <a:rPr lang="en-US" sz="1100" b="0" baseline="0">
              <a:solidFill>
                <a:sysClr val="windowText" lastClr="000000"/>
              </a:solidFill>
              <a:effectLst/>
              <a:latin typeface="+mj-lt"/>
              <a:ea typeface="+mn-ea"/>
              <a:cs typeface="+mn-cs"/>
            </a:rPr>
            <a:t>The Property may not appeal to 1031 Buyers due to the need to have an untraditional hold period. Any Buyer will either need to dispose of the Property after three years, as contemplated above, or after eight years, if the Tenant executes their Lease Option. Additionally, given the Class B status of the Property and the likely need to complete capital improvements over the mid-term, it is assumed that as a condition of extending its lease, Stamford Health will require significant Landlord contributions to improve the status of the Property. Finally, the fact that there would be no rent escalations during a traditional five year hold, generality annuity-like cash flow, may be unappealing to 1031 Buyers as there is limited ability to capitalize on a higher NOI at distortion given the likely hold period options, as mentioned above. </a:t>
          </a:r>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311FFCA-0155-4788-98A5-B94626DD7A4D}" autoFormatId="16" applyNumberFormats="0" applyBorderFormats="0" applyFontFormats="0" applyPatternFormats="0" applyAlignmentFormats="0" applyWidthHeightFormats="0">
  <queryTableRefresh nextId="8" unboundColumnsRight="2">
    <queryTableFields count="5">
      <queryTableField id="1" name="Reset Date" tableColumnId="1"/>
      <queryTableField id="2" name="1-month Term SOFR" tableColumnId="2"/>
      <queryTableField id="7" name="1-Month ISDA SOFR" tableColumnId="5"/>
      <queryTableField id="3" dataBound="0" tableColumnId="3"/>
      <queryTableField id="4" dataBound="0" tableColumnId="4"/>
    </queryTableFields>
    <queryTableDeletedFields count="2">
      <deletedField name="1-Month ISDA SOFR"/>
      <deletedField name="1-Month ISDA SOFR"/>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3E23AF-F44A-42D2-A043-6FEC6D1CB539}" name="Updated_Daily__Last_Update__3_07_20233" displayName="Updated_Daily__Last_Update__3_07_20233" ref="A1:E122" tableType="queryTable" totalsRowCount="1">
  <autoFilter ref="A1:E121" xr:uid="{FBC7D33C-63CB-4D75-9F43-D3F065CC301D}"/>
  <tableColumns count="5">
    <tableColumn id="1" xr3:uid="{10C0E619-888C-40C4-8619-30E3644C4B97}" uniqueName="1" name="Reset Date" queryTableFieldId="1" dataDxfId="24" totalsRowDxfId="23"/>
    <tableColumn id="2" xr3:uid="{8B7331F0-E0B6-4B3E-B2B7-98F0C0B75384}" uniqueName="2" name="1-month Term SOFR" queryTableFieldId="2" dataDxfId="22" totalsRowDxfId="21" dataCellStyle="Percent"/>
    <tableColumn id="5" xr3:uid="{97A780AC-F9D9-4C64-8A3C-59FA9BB66248}" uniqueName="5" name="1-Month ISDA SOFR" queryTableFieldId="7" dataDxfId="20" dataCellStyle="Percent"/>
    <tableColumn id="3" xr3:uid="{7DC5E2A0-15D6-4E1D-9A88-19B9E5E3FB3E}" uniqueName="3" name="Prior" queryTableFieldId="3" dataDxfId="19" totalsRowDxfId="18" dataCellStyle="Percent"/>
    <tableColumn id="4" xr3:uid="{809BEC6B-5A15-4E57-9709-D0D0F310DE0E}" uniqueName="4" name="Difference" queryTableFieldId="4" dataDxfId="17" totalsRowDxfId="16">
      <calculatedColumnFormula>Updated_Daily__Last_Update__3_07_20233[[#This Row],[1-month Term SOFR]]-Updated_Daily__Last_Update__3_07_20233[[#This Row],[Prior]]</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Aspect Health">
      <a:dk1>
        <a:sysClr val="windowText" lastClr="000000"/>
      </a:dk1>
      <a:lt1>
        <a:sysClr val="window" lastClr="FFFFFF"/>
      </a:lt1>
      <a:dk2>
        <a:srgbClr val="44546A"/>
      </a:dk2>
      <a:lt2>
        <a:srgbClr val="E7E6E6"/>
      </a:lt2>
      <a:accent1>
        <a:srgbClr val="142D39"/>
      </a:accent1>
      <a:accent2>
        <a:srgbClr val="57B7C3"/>
      </a:accent2>
      <a:accent3>
        <a:srgbClr val="FFFFFF"/>
      </a:accent3>
      <a:accent4>
        <a:srgbClr val="DC1E48"/>
      </a:accent4>
      <a:accent5>
        <a:srgbClr val="6A696A"/>
      </a:accent5>
      <a:accent6>
        <a:srgbClr val="C7C6C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7C3B0-A459-4CE9-B8A0-F1CBDBB306C4}">
  <sheetPr codeName="Sheet1">
    <tabColor theme="5" tint="-0.499984740745262"/>
    <pageSetUpPr fitToPage="1"/>
  </sheetPr>
  <dimension ref="B1:AL113"/>
  <sheetViews>
    <sheetView tabSelected="1" zoomScale="60" zoomScaleNormal="60" workbookViewId="0">
      <selection activeCell="H16" sqref="H16"/>
    </sheetView>
  </sheetViews>
  <sheetFormatPr defaultColWidth="8.7265625" defaultRowHeight="13" outlineLevelRow="3" x14ac:dyDescent="0.3"/>
  <cols>
    <col min="1" max="1" width="1.81640625" style="297" customWidth="1"/>
    <col min="2" max="2" width="77.54296875" style="297" bestFit="1" customWidth="1"/>
    <col min="3" max="3" width="4.1796875" style="297" customWidth="1"/>
    <col min="4" max="4" width="73.81640625" style="297" bestFit="1" customWidth="1"/>
    <col min="5" max="5" width="12.7265625" style="297" customWidth="1"/>
    <col min="6" max="6" width="9.54296875" style="297" bestFit="1" customWidth="1"/>
    <col min="7" max="7" width="9.453125" style="297" customWidth="1"/>
    <col min="8" max="8" width="33.1796875" style="297" bestFit="1" customWidth="1"/>
    <col min="9" max="10" width="12.453125" style="297" bestFit="1" customWidth="1"/>
    <col min="11" max="11" width="8.54296875" style="297" customWidth="1"/>
    <col min="12" max="12" width="51.6328125" style="297" bestFit="1" customWidth="1"/>
    <col min="13" max="14" width="11.54296875" style="297" customWidth="1"/>
    <col min="15" max="15" width="4.54296875" style="297" customWidth="1"/>
    <col min="16" max="16" width="30.1796875" style="297" bestFit="1" customWidth="1"/>
    <col min="17" max="18" width="14.54296875" style="297" customWidth="1"/>
    <col min="19" max="19" width="7.26953125" style="297" bestFit="1" customWidth="1"/>
    <col min="20" max="20" width="23" style="297" bestFit="1" customWidth="1"/>
    <col min="21" max="38" width="11.6328125" style="297" customWidth="1"/>
    <col min="39" max="16384" width="8.7265625" style="297"/>
  </cols>
  <sheetData>
    <row r="1" spans="2:38" ht="13.5" thickBot="1" x14ac:dyDescent="0.35">
      <c r="I1" s="504"/>
      <c r="J1" s="738"/>
    </row>
    <row r="2" spans="2:38" ht="15" customHeight="1" thickBot="1" x14ac:dyDescent="0.4">
      <c r="B2" s="525" t="str">
        <f>D2</f>
        <v>1500 Boston Post Road, Darien</v>
      </c>
      <c r="D2" s="298" t="s">
        <v>465</v>
      </c>
      <c r="E2" s="299"/>
      <c r="F2" s="300"/>
      <c r="G2" s="301"/>
      <c r="H2" s="1278" t="s">
        <v>217</v>
      </c>
      <c r="I2" s="1279"/>
      <c r="J2" s="1279"/>
      <c r="K2" s="1279"/>
      <c r="L2" s="1279"/>
      <c r="M2" s="1279"/>
      <c r="N2" s="1280"/>
      <c r="P2" s="298" t="str">
        <f>D2</f>
        <v>1500 Boston Post Road, Darien</v>
      </c>
      <c r="Q2" s="299"/>
      <c r="R2" s="344"/>
      <c r="T2" s="1281" t="s">
        <v>672</v>
      </c>
      <c r="U2" s="1282"/>
      <c r="V2" s="1282"/>
      <c r="W2" s="1282"/>
      <c r="X2" s="1282"/>
      <c r="Y2" s="1282"/>
      <c r="Z2" s="1282"/>
      <c r="AA2" s="1282"/>
      <c r="AB2" s="1282"/>
      <c r="AC2" s="1282"/>
      <c r="AD2" s="1282"/>
      <c r="AE2" s="1282"/>
      <c r="AF2" s="1282"/>
      <c r="AG2" s="1282"/>
      <c r="AH2" s="1282"/>
      <c r="AI2" s="1282"/>
      <c r="AJ2" s="1282"/>
      <c r="AK2" s="1282"/>
      <c r="AL2" s="1283"/>
    </row>
    <row r="3" spans="2:38" ht="15" customHeight="1" thickBot="1" x14ac:dyDescent="0.4">
      <c r="B3" s="526" t="s">
        <v>468</v>
      </c>
      <c r="D3" s="302" t="s">
        <v>737</v>
      </c>
      <c r="E3" s="303" t="s">
        <v>169</v>
      </c>
      <c r="F3" s="304" t="s">
        <v>170</v>
      </c>
      <c r="G3" s="305"/>
      <c r="H3" s="529" t="s">
        <v>207</v>
      </c>
      <c r="I3" s="530" t="s">
        <v>46</v>
      </c>
      <c r="J3" s="530" t="s">
        <v>206</v>
      </c>
      <c r="K3" s="531"/>
      <c r="L3" s="532" t="s">
        <v>208</v>
      </c>
      <c r="M3" s="530" t="s">
        <v>46</v>
      </c>
      <c r="N3" s="533" t="s">
        <v>206</v>
      </c>
      <c r="P3" s="319" t="s">
        <v>174</v>
      </c>
      <c r="Q3" s="320"/>
      <c r="R3" s="345"/>
      <c r="T3" s="1007"/>
      <c r="U3" s="1008">
        <f>1</f>
        <v>1</v>
      </c>
      <c r="V3" s="1008">
        <f t="shared" ref="V3:AI3" si="0">U3+1</f>
        <v>2</v>
      </c>
      <c r="W3" s="1008">
        <f t="shared" si="0"/>
        <v>3</v>
      </c>
      <c r="X3" s="1008">
        <f t="shared" si="0"/>
        <v>4</v>
      </c>
      <c r="Y3" s="1008">
        <f t="shared" si="0"/>
        <v>5</v>
      </c>
      <c r="Z3" s="1008">
        <f t="shared" si="0"/>
        <v>6</v>
      </c>
      <c r="AA3" s="1008">
        <f t="shared" si="0"/>
        <v>7</v>
      </c>
      <c r="AB3" s="1008">
        <f t="shared" si="0"/>
        <v>8</v>
      </c>
      <c r="AC3" s="1008">
        <f t="shared" si="0"/>
        <v>9</v>
      </c>
      <c r="AD3" s="1008">
        <f t="shared" si="0"/>
        <v>10</v>
      </c>
      <c r="AE3" s="1008">
        <f t="shared" si="0"/>
        <v>11</v>
      </c>
      <c r="AF3" s="1008">
        <f t="shared" si="0"/>
        <v>12</v>
      </c>
      <c r="AG3" s="1008">
        <f t="shared" si="0"/>
        <v>13</v>
      </c>
      <c r="AH3" s="1008">
        <f t="shared" si="0"/>
        <v>14</v>
      </c>
      <c r="AI3" s="1008">
        <f t="shared" si="0"/>
        <v>15</v>
      </c>
      <c r="AJ3" s="1008">
        <f t="shared" ref="AJ3" si="1">AI3+1</f>
        <v>16</v>
      </c>
      <c r="AK3" s="1008">
        <f t="shared" ref="AK3" si="2">AJ3+1</f>
        <v>17</v>
      </c>
      <c r="AL3" s="1009">
        <f t="shared" ref="AL3" si="3">AK3+1</f>
        <v>18</v>
      </c>
    </row>
    <row r="4" spans="2:38" ht="15" thickBot="1" x14ac:dyDescent="0.4">
      <c r="B4" s="527"/>
      <c r="D4" s="306"/>
      <c r="E4" s="307"/>
      <c r="F4" s="308"/>
      <c r="G4" s="305"/>
      <c r="H4" s="534"/>
      <c r="I4" s="535"/>
      <c r="J4" s="535"/>
      <c r="K4" s="536"/>
      <c r="L4" s="537"/>
      <c r="M4" s="535"/>
      <c r="N4" s="538"/>
      <c r="P4" s="870"/>
      <c r="Q4" s="871"/>
      <c r="R4" s="872"/>
      <c r="T4" s="1010"/>
      <c r="U4" s="1011"/>
      <c r="V4" s="1011"/>
      <c r="W4" s="1011"/>
      <c r="X4" s="1011"/>
      <c r="Y4" s="1011"/>
      <c r="Z4" s="1011"/>
      <c r="AA4" s="1011"/>
      <c r="AB4" s="1011"/>
      <c r="AC4" s="1011"/>
      <c r="AD4" s="1011"/>
      <c r="AE4" s="1011"/>
      <c r="AF4" s="1011"/>
      <c r="AG4" s="1011"/>
      <c r="AH4" s="1011"/>
      <c r="AI4" s="1011"/>
      <c r="AJ4" s="1011"/>
      <c r="AK4" s="1011"/>
      <c r="AL4" s="1012"/>
    </row>
    <row r="5" spans="2:38" ht="15" thickBot="1" x14ac:dyDescent="0.4">
      <c r="B5" s="879" t="s">
        <v>471</v>
      </c>
      <c r="D5" s="309" t="s">
        <v>171</v>
      </c>
      <c r="E5" s="783">
        <v>18754</v>
      </c>
      <c r="F5" s="310"/>
      <c r="G5" s="305"/>
      <c r="H5" s="539" t="str">
        <f>H23</f>
        <v>Permanent Loan @ 64.25% LTC</v>
      </c>
      <c r="I5" s="788">
        <f>I23</f>
        <v>6550000</v>
      </c>
      <c r="J5" s="789">
        <f>+I5/SF</f>
        <v>349.25882478404606</v>
      </c>
      <c r="K5" s="790"/>
      <c r="L5" s="791" t="str">
        <f>D8</f>
        <v>Occupied Building</v>
      </c>
      <c r="M5" s="337">
        <f>E8</f>
        <v>9700000</v>
      </c>
      <c r="N5" s="540">
        <f t="shared" ref="N5:N11" si="4">+M5/SF</f>
        <v>517.22299242828194</v>
      </c>
      <c r="P5" s="322" t="s">
        <v>175</v>
      </c>
      <c r="Q5" s="339">
        <f>E31</f>
        <v>10395210.210000001</v>
      </c>
      <c r="R5" s="347">
        <f>Q5/SF</f>
        <v>554.29296203476599</v>
      </c>
      <c r="T5" s="1013" t="s">
        <v>31</v>
      </c>
      <c r="U5" s="1014">
        <v>45107</v>
      </c>
      <c r="V5" s="1014">
        <f>EOMONTH(U5,12)</f>
        <v>45473</v>
      </c>
      <c r="W5" s="1014">
        <f t="shared" ref="W5:AI5" si="5">EOMONTH(V5,12)</f>
        <v>45838</v>
      </c>
      <c r="X5" s="1014">
        <f t="shared" si="5"/>
        <v>46203</v>
      </c>
      <c r="Y5" s="1014">
        <f t="shared" si="5"/>
        <v>46568</v>
      </c>
      <c r="Z5" s="1014">
        <f t="shared" si="5"/>
        <v>46934</v>
      </c>
      <c r="AA5" s="1014">
        <f t="shared" si="5"/>
        <v>47299</v>
      </c>
      <c r="AB5" s="1014">
        <f t="shared" si="5"/>
        <v>47664</v>
      </c>
      <c r="AC5" s="1014">
        <f t="shared" si="5"/>
        <v>48029</v>
      </c>
      <c r="AD5" s="1014">
        <f t="shared" si="5"/>
        <v>48395</v>
      </c>
      <c r="AE5" s="1014">
        <f t="shared" si="5"/>
        <v>48760</v>
      </c>
      <c r="AF5" s="1014">
        <f t="shared" si="5"/>
        <v>49125</v>
      </c>
      <c r="AG5" s="1014">
        <f t="shared" si="5"/>
        <v>49490</v>
      </c>
      <c r="AH5" s="1014">
        <f t="shared" si="5"/>
        <v>49856</v>
      </c>
      <c r="AI5" s="1014">
        <f t="shared" si="5"/>
        <v>50221</v>
      </c>
      <c r="AJ5" s="1014">
        <f t="shared" ref="AJ5" si="6">EOMONTH(AI5,12)</f>
        <v>50586</v>
      </c>
      <c r="AK5" s="1014">
        <f t="shared" ref="AK5" si="7">EOMONTH(AJ5,12)</f>
        <v>50951</v>
      </c>
      <c r="AL5" s="1015">
        <f t="shared" ref="AL5" si="8">EOMONTH(AK5,12)</f>
        <v>51317</v>
      </c>
    </row>
    <row r="6" spans="2:38" ht="14.5" x14ac:dyDescent="0.35">
      <c r="B6" s="248"/>
      <c r="D6" s="311"/>
      <c r="E6" s="312"/>
      <c r="F6" s="310"/>
      <c r="G6" s="305"/>
      <c r="H6" s="539" t="str">
        <f>H24</f>
        <v>Equity Contribution @ 35.75% LTC</v>
      </c>
      <c r="I6" s="788">
        <f>I24</f>
        <v>3551440.2100000009</v>
      </c>
      <c r="J6" s="789">
        <f>+I6/SF</f>
        <v>189.36974565426047</v>
      </c>
      <c r="K6" s="790"/>
      <c r="L6" s="791" t="str">
        <f>D9</f>
        <v>Acquisition &amp; Development Fee</v>
      </c>
      <c r="M6" s="337">
        <f>E9</f>
        <v>200000</v>
      </c>
      <c r="N6" s="540">
        <f>+M6/SF</f>
        <v>10.664391596459422</v>
      </c>
      <c r="P6" s="323" t="str">
        <f>P24</f>
        <v>Permanent Loan @ 64.25% LTC</v>
      </c>
      <c r="Q6" s="340">
        <f>Q24</f>
        <v>6550000</v>
      </c>
      <c r="R6" s="348">
        <f>+Q6/$E$5</f>
        <v>349.25882478404606</v>
      </c>
      <c r="S6" s="862"/>
      <c r="T6" s="360"/>
      <c r="U6" s="1021"/>
      <c r="V6" s="1021"/>
      <c r="W6" s="1021"/>
      <c r="X6" s="1021"/>
      <c r="Y6" s="1021"/>
      <c r="Z6" s="1021"/>
      <c r="AA6" s="1021"/>
      <c r="AB6" s="1021"/>
      <c r="AC6" s="1021"/>
      <c r="AD6" s="1021"/>
      <c r="AE6" s="1021"/>
      <c r="AF6" s="1021"/>
      <c r="AG6" s="1021"/>
      <c r="AH6" s="1021"/>
      <c r="AI6" s="1021"/>
      <c r="AJ6" s="1021"/>
      <c r="AK6" s="1021"/>
      <c r="AL6" s="1016"/>
    </row>
    <row r="7" spans="2:38" ht="15" thickBot="1" x14ac:dyDescent="0.4">
      <c r="B7" s="581"/>
      <c r="D7" s="313" t="s">
        <v>172</v>
      </c>
      <c r="E7" s="314"/>
      <c r="F7" s="315"/>
      <c r="G7" s="305"/>
      <c r="H7" s="539" t="s">
        <v>568</v>
      </c>
      <c r="I7" s="788">
        <f>Q26+Q38</f>
        <v>293770</v>
      </c>
      <c r="J7" s="789">
        <f>+I7/SF</f>
        <v>15.664391596459422</v>
      </c>
      <c r="K7" s="790"/>
      <c r="L7" s="791" t="str">
        <f>D26</f>
        <v>Tenant Capital Reimbursement</v>
      </c>
      <c r="M7" s="337">
        <f>E26</f>
        <v>93770</v>
      </c>
      <c r="N7" s="540">
        <f>+M7/SF</f>
        <v>5</v>
      </c>
      <c r="P7" s="323" t="str">
        <f>P25</f>
        <v>Equity Contribution @ 35.75% LTC</v>
      </c>
      <c r="Q7" s="340">
        <f>Q25</f>
        <v>3551440.2100000009</v>
      </c>
      <c r="R7" s="348">
        <f>+Q7/$E$5</f>
        <v>189.36974565426047</v>
      </c>
      <c r="S7" s="786"/>
      <c r="T7" s="360" t="s">
        <v>264</v>
      </c>
      <c r="U7" s="1023">
        <f>F33</f>
        <v>35.436907232051112</v>
      </c>
      <c r="V7" s="1022">
        <f>U7</f>
        <v>35.436907232051112</v>
      </c>
      <c r="W7" s="1022">
        <f t="shared" ref="W7:AI7" si="9">V7*1.02</f>
        <v>36.145645376692137</v>
      </c>
      <c r="X7" s="1022">
        <f t="shared" si="9"/>
        <v>36.868558284225983</v>
      </c>
      <c r="Y7" s="1022">
        <f t="shared" si="9"/>
        <v>37.605929449910505</v>
      </c>
      <c r="Z7" s="1022">
        <f t="shared" si="9"/>
        <v>38.358048038908713</v>
      </c>
      <c r="AA7" s="1022">
        <f t="shared" si="9"/>
        <v>39.12520899968689</v>
      </c>
      <c r="AB7" s="1022">
        <f t="shared" si="9"/>
        <v>39.907713179680627</v>
      </c>
      <c r="AC7" s="1022">
        <f t="shared" si="9"/>
        <v>40.705867443274244</v>
      </c>
      <c r="AD7" s="1022">
        <f t="shared" si="9"/>
        <v>41.519984792139731</v>
      </c>
      <c r="AE7" s="1022">
        <f t="shared" si="9"/>
        <v>42.350384487982524</v>
      </c>
      <c r="AF7" s="1022">
        <f t="shared" si="9"/>
        <v>43.197392177742174</v>
      </c>
      <c r="AG7" s="1022">
        <f t="shared" si="9"/>
        <v>44.061340021297021</v>
      </c>
      <c r="AH7" s="1022">
        <f t="shared" si="9"/>
        <v>44.942566821722963</v>
      </c>
      <c r="AI7" s="1022">
        <f t="shared" si="9"/>
        <v>45.841418158157424</v>
      </c>
      <c r="AJ7" s="1022">
        <f t="shared" ref="AJ7" si="10">AI7*1.02</f>
        <v>46.758246521320572</v>
      </c>
      <c r="AK7" s="1022">
        <f t="shared" ref="AK7" si="11">AJ7*1.02</f>
        <v>47.693411451746982</v>
      </c>
      <c r="AL7" s="1017">
        <f t="shared" ref="AL7" si="12">AK7*1.02</f>
        <v>48.647279680781921</v>
      </c>
    </row>
    <row r="8" spans="2:38" ht="14.5" x14ac:dyDescent="0.35">
      <c r="B8" s="769" t="s">
        <v>520</v>
      </c>
      <c r="D8" s="316" t="s">
        <v>466</v>
      </c>
      <c r="E8" s="970">
        <v>9700000</v>
      </c>
      <c r="F8" s="334">
        <f t="shared" ref="F8" si="13">E8/$E$5</f>
        <v>517.22299242828194</v>
      </c>
      <c r="G8" s="796">
        <f>E33/E8</f>
        <v>6.8513789508235723E-2</v>
      </c>
      <c r="H8" s="539"/>
      <c r="I8" s="788"/>
      <c r="J8" s="789"/>
      <c r="K8" s="790"/>
      <c r="L8" s="791" t="str">
        <f t="shared" ref="L8:M10" si="14">D10</f>
        <v>Lender Rent Escrow</v>
      </c>
      <c r="M8" s="337">
        <f t="shared" si="14"/>
        <v>68000</v>
      </c>
      <c r="N8" s="540">
        <f>+M8/SF</f>
        <v>3.6258931427962033</v>
      </c>
      <c r="P8" s="323" t="s">
        <v>295</v>
      </c>
      <c r="Q8" s="340">
        <f>Q26</f>
        <v>93770</v>
      </c>
      <c r="R8" s="348">
        <f>+Q8/$E$5</f>
        <v>5</v>
      </c>
      <c r="S8" s="785"/>
      <c r="T8" s="360" t="s">
        <v>673</v>
      </c>
      <c r="U8" s="1024">
        <f>F33</f>
        <v>35.436907232051112</v>
      </c>
      <c r="V8" s="1022">
        <f>U8</f>
        <v>35.436907232051112</v>
      </c>
      <c r="W8" s="1022">
        <f t="shared" ref="W8:Z8" si="15">V8</f>
        <v>35.436907232051112</v>
      </c>
      <c r="X8" s="1022">
        <f t="shared" si="15"/>
        <v>35.436907232051112</v>
      </c>
      <c r="Y8" s="1022">
        <f t="shared" si="15"/>
        <v>35.436907232051112</v>
      </c>
      <c r="Z8" s="1022">
        <f t="shared" si="15"/>
        <v>35.436907232051112</v>
      </c>
      <c r="AA8" s="1022">
        <f>Z8*1.1</f>
        <v>38.980597955256229</v>
      </c>
      <c r="AB8" s="1022">
        <f>AA8</f>
        <v>38.980597955256229</v>
      </c>
      <c r="AC8" s="1022">
        <v>0</v>
      </c>
      <c r="AD8" s="1022">
        <v>0</v>
      </c>
      <c r="AE8" s="1022">
        <v>0</v>
      </c>
      <c r="AF8" s="1022">
        <v>0</v>
      </c>
      <c r="AG8" s="1022">
        <v>0</v>
      </c>
      <c r="AH8" s="1022">
        <v>0</v>
      </c>
      <c r="AI8" s="1022">
        <v>0</v>
      </c>
      <c r="AJ8" s="1022">
        <v>0</v>
      </c>
      <c r="AK8" s="1022">
        <v>0</v>
      </c>
      <c r="AL8" s="1017">
        <v>0</v>
      </c>
    </row>
    <row r="9" spans="2:38" ht="14.5" x14ac:dyDescent="0.35">
      <c r="B9" s="770" t="s">
        <v>472</v>
      </c>
      <c r="D9" s="317" t="s">
        <v>467</v>
      </c>
      <c r="E9" s="550">
        <v>200000</v>
      </c>
      <c r="F9" s="335">
        <f>E9/$E$5</f>
        <v>10.664391596459422</v>
      </c>
      <c r="G9" s="948"/>
      <c r="H9" s="539"/>
      <c r="I9" s="788"/>
      <c r="J9" s="789"/>
      <c r="K9" s="790"/>
      <c r="L9" s="791" t="str">
        <f t="shared" si="14"/>
        <v>Closing Costs - Buyer</v>
      </c>
      <c r="M9" s="337">
        <f t="shared" si="14"/>
        <v>80897.209999999992</v>
      </c>
      <c r="N9" s="540">
        <f>+M9/SF</f>
        <v>4.3135976325050649</v>
      </c>
      <c r="P9" s="873" t="s">
        <v>14</v>
      </c>
      <c r="Q9" s="874">
        <f>SUM(Q6:Q8)</f>
        <v>10195210.210000001</v>
      </c>
      <c r="R9" s="875">
        <f>SUM(R6:R8)</f>
        <v>543.6285704383065</v>
      </c>
      <c r="S9" s="785"/>
      <c r="T9" s="13" t="s">
        <v>674</v>
      </c>
      <c r="U9" s="602">
        <v>0</v>
      </c>
      <c r="V9" s="602">
        <v>0</v>
      </c>
      <c r="W9" s="602">
        <v>0</v>
      </c>
      <c r="X9" s="602">
        <v>0</v>
      </c>
      <c r="Y9" s="602">
        <v>0</v>
      </c>
      <c r="Z9" s="602">
        <v>0</v>
      </c>
      <c r="AA9" s="602">
        <v>0</v>
      </c>
      <c r="AB9" s="602">
        <v>0</v>
      </c>
      <c r="AC9" s="602">
        <v>2.5000000000000001E-2</v>
      </c>
      <c r="AD9" s="602">
        <v>2.5000000000000001E-2</v>
      </c>
      <c r="AE9" s="602">
        <v>2.5000000000000001E-2</v>
      </c>
      <c r="AF9" s="602">
        <v>2.5000000000000001E-2</v>
      </c>
      <c r="AG9" s="602">
        <v>2.5000000000000001E-2</v>
      </c>
      <c r="AH9" s="602">
        <v>1.2500000000000001E-2</v>
      </c>
      <c r="AI9" s="602">
        <v>1.2500000000000001E-2</v>
      </c>
      <c r="AJ9" s="602">
        <v>1.2500000000000001E-2</v>
      </c>
      <c r="AK9" s="602">
        <v>1.2500000000000001E-2</v>
      </c>
      <c r="AL9" s="555">
        <v>1.2500000000000001E-2</v>
      </c>
    </row>
    <row r="10" spans="2:38" ht="14.5" x14ac:dyDescent="0.35">
      <c r="B10" s="770" t="s">
        <v>633</v>
      </c>
      <c r="D10" s="317" t="s">
        <v>523</v>
      </c>
      <c r="E10" s="550">
        <v>68000</v>
      </c>
      <c r="F10" s="335">
        <f>E10/$E$5</f>
        <v>3.6258931427962033</v>
      </c>
      <c r="G10" s="305"/>
      <c r="H10" s="539"/>
      <c r="I10" s="788"/>
      <c r="J10" s="789"/>
      <c r="K10" s="790"/>
      <c r="L10" s="791" t="str">
        <f t="shared" si="14"/>
        <v>Closing Costs - Lender - Permanent Loan</v>
      </c>
      <c r="M10" s="337">
        <f t="shared" si="14"/>
        <v>16412</v>
      </c>
      <c r="N10" s="540">
        <f t="shared" si="4"/>
        <v>0.87511997440546019</v>
      </c>
      <c r="P10" s="323"/>
      <c r="Q10" s="340"/>
      <c r="R10" s="348"/>
      <c r="S10" s="785"/>
      <c r="T10" s="360" t="s">
        <v>675</v>
      </c>
      <c r="U10" s="1022">
        <f>(U7-U8)*U9</f>
        <v>0</v>
      </c>
      <c r="V10" s="1022">
        <f t="shared" ref="V10:AI10" si="16">(V7-V8)*V9</f>
        <v>0</v>
      </c>
      <c r="W10" s="1022">
        <f t="shared" si="16"/>
        <v>0</v>
      </c>
      <c r="X10" s="1022">
        <f t="shared" si="16"/>
        <v>0</v>
      </c>
      <c r="Y10" s="1022">
        <f t="shared" si="16"/>
        <v>0</v>
      </c>
      <c r="Z10" s="1022">
        <f t="shared" si="16"/>
        <v>0</v>
      </c>
      <c r="AA10" s="1022">
        <f t="shared" si="16"/>
        <v>0</v>
      </c>
      <c r="AB10" s="1022">
        <f t="shared" si="16"/>
        <v>0</v>
      </c>
      <c r="AC10" s="1022">
        <f t="shared" si="16"/>
        <v>1.017646686081856</v>
      </c>
      <c r="AD10" s="1022">
        <f t="shared" si="16"/>
        <v>1.0379996198034933</v>
      </c>
      <c r="AE10" s="1022">
        <f t="shared" si="16"/>
        <v>1.058759612199563</v>
      </c>
      <c r="AF10" s="1022">
        <f t="shared" si="16"/>
        <v>1.0799348044435544</v>
      </c>
      <c r="AG10" s="1022">
        <f t="shared" si="16"/>
        <v>1.1015335005324256</v>
      </c>
      <c r="AH10" s="1022">
        <f t="shared" si="16"/>
        <v>0.56178208527153706</v>
      </c>
      <c r="AI10" s="1022">
        <f t="shared" si="16"/>
        <v>0.57301772697696784</v>
      </c>
      <c r="AJ10" s="1022">
        <f t="shared" ref="AJ10:AL10" si="17">(AJ7-AJ8)*AJ9</f>
        <v>0.58447808151650715</v>
      </c>
      <c r="AK10" s="1022">
        <f t="shared" si="17"/>
        <v>0.59616764314683734</v>
      </c>
      <c r="AL10" s="1017">
        <f t="shared" si="17"/>
        <v>0.60809099600977401</v>
      </c>
    </row>
    <row r="11" spans="2:38" ht="14.5" x14ac:dyDescent="0.35">
      <c r="B11" s="770" t="s">
        <v>473</v>
      </c>
      <c r="D11" s="317" t="s">
        <v>669</v>
      </c>
      <c r="E11" s="337">
        <f>'Closing Costs '!E32+'Closing Costs '!E21</f>
        <v>80897.209999999992</v>
      </c>
      <c r="F11" s="335">
        <f>E11/$E$5</f>
        <v>4.3135976325050649</v>
      </c>
      <c r="G11" s="388"/>
      <c r="H11" s="539"/>
      <c r="I11" s="788"/>
      <c r="J11" s="789"/>
      <c r="K11" s="790"/>
      <c r="L11" s="791" t="str">
        <f>D21</f>
        <v>Lender Origination Fee - Permanent Loan</v>
      </c>
      <c r="M11" s="337">
        <f>E21</f>
        <v>32750</v>
      </c>
      <c r="N11" s="540">
        <f t="shared" si="4"/>
        <v>1.7462941239202303</v>
      </c>
      <c r="P11" s="323" t="str">
        <f>P37</f>
        <v>Construction Loan @ 0.00% LTC</v>
      </c>
      <c r="Q11" s="340">
        <f>Q37</f>
        <v>0</v>
      </c>
      <c r="R11" s="348">
        <f t="shared" ref="R11:R12" si="18">+Q11/$E$5</f>
        <v>0</v>
      </c>
      <c r="T11" s="360" t="s">
        <v>676</v>
      </c>
      <c r="U11" s="2"/>
      <c r="V11" s="2"/>
      <c r="W11" s="2"/>
      <c r="X11" s="2"/>
      <c r="Y11" s="2"/>
      <c r="Z11" s="2"/>
      <c r="AA11" s="2"/>
      <c r="AB11" s="2"/>
      <c r="AC11" s="2"/>
      <c r="AD11" s="2"/>
      <c r="AE11" s="2"/>
      <c r="AF11" s="2"/>
      <c r="AG11" s="2"/>
      <c r="AH11" s="2"/>
      <c r="AI11" s="1022"/>
      <c r="AJ11" s="2"/>
      <c r="AK11" s="2"/>
      <c r="AL11" s="1017"/>
    </row>
    <row r="12" spans="2:38" ht="14.5" outlineLevel="2" x14ac:dyDescent="0.35">
      <c r="B12" s="770" t="s">
        <v>473</v>
      </c>
      <c r="D12" s="317" t="s">
        <v>542</v>
      </c>
      <c r="E12" s="337">
        <f>'Closing Costs '!E10</f>
        <v>16412</v>
      </c>
      <c r="F12" s="335">
        <f>E12/$E$5</f>
        <v>0.87511997440546019</v>
      </c>
      <c r="G12" s="388"/>
      <c r="H12" s="541"/>
      <c r="I12" s="833"/>
      <c r="J12" s="833"/>
      <c r="K12" s="833"/>
      <c r="L12" s="791" t="str">
        <f>D13</f>
        <v>Closing Costs - Lender - Construction Loan</v>
      </c>
      <c r="M12" s="337">
        <f>E13</f>
        <v>0</v>
      </c>
      <c r="N12" s="540">
        <f t="shared" ref="N12:N13" si="19">+M12/SF</f>
        <v>0</v>
      </c>
      <c r="P12" s="323" t="str">
        <f>P38</f>
        <v>Equity Contribution @ 100.00% LTC</v>
      </c>
      <c r="Q12" s="340">
        <f>Q38</f>
        <v>200000</v>
      </c>
      <c r="R12" s="348">
        <f t="shared" si="18"/>
        <v>10.664391596459422</v>
      </c>
      <c r="T12" s="360"/>
      <c r="U12" s="2"/>
      <c r="V12" s="2"/>
      <c r="W12" s="2"/>
      <c r="X12" s="2"/>
      <c r="Y12" s="2"/>
      <c r="Z12" s="2"/>
      <c r="AA12" s="2"/>
      <c r="AB12" s="2"/>
      <c r="AC12" s="2"/>
      <c r="AD12" s="2"/>
      <c r="AE12" s="2"/>
      <c r="AF12" s="2"/>
      <c r="AG12" s="2"/>
      <c r="AH12" s="2"/>
      <c r="AI12" s="2"/>
      <c r="AJ12" s="2"/>
      <c r="AK12" s="2"/>
      <c r="AL12" s="30"/>
    </row>
    <row r="13" spans="2:38" ht="15" outlineLevel="2" thickBot="1" x14ac:dyDescent="0.4">
      <c r="B13" s="771" t="s">
        <v>473</v>
      </c>
      <c r="D13" s="317" t="s">
        <v>544</v>
      </c>
      <c r="E13" s="550">
        <v>0</v>
      </c>
      <c r="F13" s="335">
        <f t="shared" ref="F13" si="20">E13/$E$5</f>
        <v>0</v>
      </c>
      <c r="G13" s="389"/>
      <c r="H13" s="541"/>
      <c r="I13" s="833"/>
      <c r="J13" s="833"/>
      <c r="K13" s="833"/>
      <c r="L13" s="791" t="str">
        <f>D22</f>
        <v>Lender Origination Fee - Construction Loan</v>
      </c>
      <c r="M13" s="337">
        <f>E22</f>
        <v>0</v>
      </c>
      <c r="N13" s="540">
        <f t="shared" si="19"/>
        <v>0</v>
      </c>
      <c r="P13" s="876" t="s">
        <v>14</v>
      </c>
      <c r="Q13" s="877">
        <f>SUM(Q11:Q12)</f>
        <v>200000</v>
      </c>
      <c r="R13" s="878">
        <f>SUM(R11:R12)</f>
        <v>10.664391596459422</v>
      </c>
      <c r="T13" s="360" t="s">
        <v>677</v>
      </c>
      <c r="U13" s="1025">
        <f>SF</f>
        <v>18754</v>
      </c>
      <c r="V13" s="772">
        <f>U13</f>
        <v>18754</v>
      </c>
      <c r="W13" s="772">
        <f t="shared" ref="W13:AI13" si="21">V13</f>
        <v>18754</v>
      </c>
      <c r="X13" s="772">
        <f t="shared" si="21"/>
        <v>18754</v>
      </c>
      <c r="Y13" s="772">
        <f t="shared" si="21"/>
        <v>18754</v>
      </c>
      <c r="Z13" s="772">
        <f t="shared" si="21"/>
        <v>18754</v>
      </c>
      <c r="AA13" s="772">
        <f t="shared" si="21"/>
        <v>18754</v>
      </c>
      <c r="AB13" s="772">
        <f t="shared" si="21"/>
        <v>18754</v>
      </c>
      <c r="AC13" s="772">
        <f t="shared" si="21"/>
        <v>18754</v>
      </c>
      <c r="AD13" s="772">
        <f t="shared" si="21"/>
        <v>18754</v>
      </c>
      <c r="AE13" s="772">
        <f t="shared" si="21"/>
        <v>18754</v>
      </c>
      <c r="AF13" s="772">
        <f t="shared" si="21"/>
        <v>18754</v>
      </c>
      <c r="AG13" s="772">
        <f t="shared" si="21"/>
        <v>18754</v>
      </c>
      <c r="AH13" s="772">
        <f t="shared" si="21"/>
        <v>18754</v>
      </c>
      <c r="AI13" s="772">
        <f t="shared" si="21"/>
        <v>18754</v>
      </c>
      <c r="AJ13" s="772">
        <f t="shared" ref="AJ13" si="22">AI13</f>
        <v>18754</v>
      </c>
      <c r="AK13" s="772">
        <f t="shared" ref="AK13" si="23">AJ13</f>
        <v>18754</v>
      </c>
      <c r="AL13" s="598">
        <f t="shared" ref="AL13" si="24">AK13</f>
        <v>18754</v>
      </c>
    </row>
    <row r="14" spans="2:38" ht="14.5" outlineLevel="3" x14ac:dyDescent="0.35">
      <c r="D14" s="867" t="s">
        <v>546</v>
      </c>
      <c r="E14" s="338">
        <f>SUM(E8:E13)</f>
        <v>10065309.210000001</v>
      </c>
      <c r="F14" s="336">
        <f>E14/$E$5</f>
        <v>536.70199477444817</v>
      </c>
      <c r="G14" s="389"/>
      <c r="H14" s="539"/>
      <c r="I14" s="788"/>
      <c r="J14" s="789"/>
      <c r="K14" s="790"/>
      <c r="L14" s="791" t="str">
        <f>D17</f>
        <v>Construction Costs</v>
      </c>
      <c r="M14" s="337">
        <f>E17</f>
        <v>200000</v>
      </c>
      <c r="N14" s="540">
        <f>+M14/SF</f>
        <v>10.664391596459422</v>
      </c>
      <c r="T14" s="360" t="s">
        <v>678</v>
      </c>
      <c r="U14" s="772">
        <f>U10*U13</f>
        <v>0</v>
      </c>
      <c r="V14" s="772">
        <f t="shared" ref="V14:Z14" si="25">V10*V13</f>
        <v>0</v>
      </c>
      <c r="W14" s="772">
        <f t="shared" si="25"/>
        <v>0</v>
      </c>
      <c r="X14" s="772">
        <f t="shared" si="25"/>
        <v>0</v>
      </c>
      <c r="Y14" s="772">
        <f t="shared" si="25"/>
        <v>0</v>
      </c>
      <c r="Z14" s="772">
        <f t="shared" si="25"/>
        <v>0</v>
      </c>
      <c r="AA14" s="772">
        <f>AA13*AA10</f>
        <v>0</v>
      </c>
      <c r="AB14" s="772">
        <f t="shared" ref="AB14:AI14" si="26">AB13*AB10</f>
        <v>0</v>
      </c>
      <c r="AC14" s="772">
        <f t="shared" si="26"/>
        <v>19084.945950779129</v>
      </c>
      <c r="AD14" s="772">
        <f t="shared" si="26"/>
        <v>19466.644869794713</v>
      </c>
      <c r="AE14" s="772">
        <f t="shared" si="26"/>
        <v>19855.977767190605</v>
      </c>
      <c r="AF14" s="772">
        <f t="shared" si="26"/>
        <v>20253.097322534421</v>
      </c>
      <c r="AG14" s="772">
        <f t="shared" si="26"/>
        <v>20658.15926898511</v>
      </c>
      <c r="AH14" s="772">
        <f t="shared" si="26"/>
        <v>10535.661227182405</v>
      </c>
      <c r="AI14" s="772">
        <f t="shared" si="26"/>
        <v>10746.374451726055</v>
      </c>
      <c r="AJ14" s="772">
        <f t="shared" ref="AJ14:AL14" si="27">AJ13*AJ10</f>
        <v>10961.301940760575</v>
      </c>
      <c r="AK14" s="772">
        <f t="shared" si="27"/>
        <v>11180.527979575787</v>
      </c>
      <c r="AL14" s="598">
        <f t="shared" si="27"/>
        <v>11404.138539167301</v>
      </c>
    </row>
    <row r="15" spans="2:38" ht="14.5" outlineLevel="3" x14ac:dyDescent="0.35">
      <c r="D15" s="317"/>
      <c r="E15" s="337"/>
      <c r="F15" s="335"/>
      <c r="H15" s="539"/>
      <c r="I15" s="788"/>
      <c r="J15" s="789"/>
      <c r="K15" s="790"/>
      <c r="L15" s="791" t="str">
        <f>D27</f>
        <v>Leasing Legal</v>
      </c>
      <c r="M15" s="337">
        <f>E27</f>
        <v>3381</v>
      </c>
      <c r="N15" s="540">
        <f>+M15/SF</f>
        <v>0.18028153993814652</v>
      </c>
      <c r="T15" s="360"/>
      <c r="U15" s="2"/>
      <c r="V15" s="2"/>
      <c r="W15" s="2"/>
      <c r="X15" s="2"/>
      <c r="Y15" s="2"/>
      <c r="Z15" s="2"/>
      <c r="AA15" s="2"/>
      <c r="AB15" s="2"/>
      <c r="AC15" s="2"/>
      <c r="AD15" s="2"/>
      <c r="AE15" s="2"/>
      <c r="AF15" s="2"/>
      <c r="AG15" s="2"/>
      <c r="AH15" s="2"/>
      <c r="AI15" s="2"/>
      <c r="AJ15" s="2"/>
      <c r="AK15" s="2"/>
      <c r="AL15" s="30"/>
    </row>
    <row r="16" spans="2:38" ht="15" outlineLevel="3" thickBot="1" x14ac:dyDescent="0.4">
      <c r="D16" s="313" t="s">
        <v>515</v>
      </c>
      <c r="E16" s="868"/>
      <c r="F16" s="869"/>
      <c r="H16" s="539"/>
      <c r="I16" s="788"/>
      <c r="J16" s="789"/>
      <c r="K16" s="790"/>
      <c r="L16" s="791" t="str">
        <f>D28</f>
        <v>Broker Fee</v>
      </c>
      <c r="M16" s="337">
        <f>E28</f>
        <v>0</v>
      </c>
      <c r="N16" s="540">
        <f>+M16/SF</f>
        <v>0</v>
      </c>
      <c r="T16" s="765" t="s">
        <v>679</v>
      </c>
      <c r="U16" s="65"/>
      <c r="V16" s="65"/>
      <c r="W16" s="65"/>
      <c r="X16" s="65"/>
      <c r="Y16" s="65"/>
      <c r="Z16" s="65"/>
      <c r="AA16" s="65"/>
      <c r="AB16" s="65"/>
      <c r="AC16" s="65"/>
      <c r="AD16" s="65"/>
      <c r="AE16" s="65"/>
      <c r="AF16" s="65"/>
      <c r="AG16" s="65"/>
      <c r="AH16" s="65"/>
      <c r="AI16" s="65"/>
      <c r="AJ16" s="65"/>
      <c r="AK16" s="65"/>
      <c r="AL16" s="636">
        <f>SUM(U14:AL14)</f>
        <v>154146.8293176961</v>
      </c>
    </row>
    <row r="17" spans="2:38" ht="13.5" outlineLevel="1" thickBot="1" x14ac:dyDescent="0.35">
      <c r="B17" s="879" t="s">
        <v>634</v>
      </c>
      <c r="D17" s="317" t="s">
        <v>515</v>
      </c>
      <c r="E17" s="337">
        <f>'Property CF'!AO27</f>
        <v>200000</v>
      </c>
      <c r="F17" s="335">
        <f>E17/$E$5</f>
        <v>10.664391596459422</v>
      </c>
      <c r="H17" s="539"/>
      <c r="I17" s="788"/>
      <c r="J17" s="789"/>
      <c r="K17" s="790"/>
      <c r="L17" s="791"/>
      <c r="M17" s="337"/>
      <c r="N17" s="540"/>
    </row>
    <row r="18" spans="2:38" ht="15" outlineLevel="1" thickBot="1" x14ac:dyDescent="0.4">
      <c r="D18" s="867" t="s">
        <v>547</v>
      </c>
      <c r="E18" s="338">
        <f>E17</f>
        <v>200000</v>
      </c>
      <c r="F18" s="336">
        <f>F17</f>
        <v>10.664391596459422</v>
      </c>
      <c r="G18" s="784"/>
      <c r="H18" s="542" t="s">
        <v>174</v>
      </c>
      <c r="I18" s="543">
        <f>+SUBTOTAL(9,I5:I17)</f>
        <v>10395210.210000001</v>
      </c>
      <c r="J18" s="544">
        <f>+I18/SF</f>
        <v>554.29296203476599</v>
      </c>
      <c r="K18" s="545"/>
      <c r="L18" s="546" t="s">
        <v>199</v>
      </c>
      <c r="M18" s="543">
        <f>SUM(M5:M17)</f>
        <v>10395210.210000001</v>
      </c>
      <c r="N18" s="547">
        <f>+M18/SF</f>
        <v>554.29296203476599</v>
      </c>
      <c r="T18" s="1281" t="s">
        <v>672</v>
      </c>
      <c r="U18" s="1282"/>
      <c r="V18" s="1282"/>
      <c r="W18" s="1282"/>
      <c r="X18" s="1282"/>
      <c r="Y18" s="1282"/>
      <c r="Z18" s="1282"/>
      <c r="AA18" s="1282"/>
      <c r="AB18" s="1282"/>
      <c r="AC18" s="1282"/>
      <c r="AD18" s="1282"/>
      <c r="AE18" s="1282"/>
      <c r="AF18" s="1282"/>
      <c r="AG18" s="1282"/>
      <c r="AH18" s="1282"/>
      <c r="AI18" s="1282"/>
      <c r="AJ18" s="1282"/>
      <c r="AK18" s="1282"/>
      <c r="AL18" s="1283"/>
    </row>
    <row r="19" spans="2:38" ht="15" outlineLevel="1" thickBot="1" x14ac:dyDescent="0.4">
      <c r="D19" s="541"/>
      <c r="E19" s="833"/>
      <c r="F19" s="800"/>
      <c r="G19" s="784"/>
      <c r="H19" s="499"/>
      <c r="T19" s="1007"/>
      <c r="U19" s="1008">
        <f>1</f>
        <v>1</v>
      </c>
      <c r="V19" s="1008">
        <f t="shared" ref="V19" si="28">U19+1</f>
        <v>2</v>
      </c>
      <c r="W19" s="1008">
        <f t="shared" ref="W19" si="29">V19+1</f>
        <v>3</v>
      </c>
      <c r="X19" s="1008">
        <f t="shared" ref="X19" si="30">W19+1</f>
        <v>4</v>
      </c>
      <c r="Y19" s="1008">
        <f t="shared" ref="Y19" si="31">X19+1</f>
        <v>5</v>
      </c>
      <c r="Z19" s="1008">
        <f t="shared" ref="Z19" si="32">Y19+1</f>
        <v>6</v>
      </c>
      <c r="AA19" s="1008">
        <f t="shared" ref="AA19" si="33">Z19+1</f>
        <v>7</v>
      </c>
      <c r="AB19" s="1008">
        <f t="shared" ref="AB19" si="34">AA19+1</f>
        <v>8</v>
      </c>
      <c r="AC19" s="1008">
        <f t="shared" ref="AC19" si="35">AB19+1</f>
        <v>9</v>
      </c>
      <c r="AD19" s="1008">
        <f t="shared" ref="AD19" si="36">AC19+1</f>
        <v>10</v>
      </c>
      <c r="AE19" s="1008">
        <f t="shared" ref="AE19" si="37">AD19+1</f>
        <v>11</v>
      </c>
      <c r="AF19" s="1008">
        <f t="shared" ref="AF19" si="38">AE19+1</f>
        <v>12</v>
      </c>
      <c r="AG19" s="1008">
        <f t="shared" ref="AG19" si="39">AF19+1</f>
        <v>13</v>
      </c>
      <c r="AH19" s="1008">
        <f t="shared" ref="AH19" si="40">AG19+1</f>
        <v>14</v>
      </c>
      <c r="AI19" s="1008">
        <f t="shared" ref="AI19" si="41">AH19+1</f>
        <v>15</v>
      </c>
      <c r="AJ19" s="1008">
        <f t="shared" ref="AJ19" si="42">AI19+1</f>
        <v>16</v>
      </c>
      <c r="AK19" s="1008">
        <f t="shared" ref="AK19" si="43">AJ19+1</f>
        <v>17</v>
      </c>
      <c r="AL19" s="1009">
        <f t="shared" ref="AL19" si="44">AK19+1</f>
        <v>18</v>
      </c>
    </row>
    <row r="20" spans="2:38" ht="15" outlineLevel="1" thickBot="1" x14ac:dyDescent="0.4">
      <c r="B20" s="248"/>
      <c r="D20" s="313" t="s">
        <v>548</v>
      </c>
      <c r="E20" s="868"/>
      <c r="F20" s="869" t="s">
        <v>504</v>
      </c>
      <c r="H20" s="1278" t="s">
        <v>541</v>
      </c>
      <c r="I20" s="1279"/>
      <c r="J20" s="1279"/>
      <c r="K20" s="1279"/>
      <c r="L20" s="1279"/>
      <c r="M20" s="1279"/>
      <c r="N20" s="1280"/>
      <c r="P20" s="298" t="str">
        <f>P2</f>
        <v>1500 Boston Post Road, Darien</v>
      </c>
      <c r="Q20" s="299"/>
      <c r="R20" s="344"/>
      <c r="T20" s="1010"/>
      <c r="U20" s="1011"/>
      <c r="V20" s="1011"/>
      <c r="W20" s="1011"/>
      <c r="X20" s="1011"/>
      <c r="Y20" s="1011"/>
      <c r="Z20" s="1011"/>
      <c r="AA20" s="1011"/>
      <c r="AB20" s="1011"/>
      <c r="AC20" s="1011"/>
      <c r="AD20" s="1011"/>
      <c r="AE20" s="1011"/>
      <c r="AF20" s="1011"/>
      <c r="AG20" s="1011"/>
      <c r="AH20" s="1011"/>
      <c r="AI20" s="1011"/>
      <c r="AJ20" s="1011"/>
      <c r="AK20" s="1011"/>
      <c r="AL20" s="1012"/>
    </row>
    <row r="21" spans="2:38" ht="15" thickBot="1" x14ac:dyDescent="0.4">
      <c r="B21" s="769" t="s">
        <v>632</v>
      </c>
      <c r="D21" s="317" t="s">
        <v>543</v>
      </c>
      <c r="E21" s="337">
        <f>Q28</f>
        <v>32750</v>
      </c>
      <c r="F21" s="335">
        <f>E21/$E$5</f>
        <v>1.7462941239202303</v>
      </c>
      <c r="G21" s="785"/>
      <c r="H21" s="529" t="s">
        <v>207</v>
      </c>
      <c r="I21" s="530" t="s">
        <v>46</v>
      </c>
      <c r="J21" s="530" t="s">
        <v>206</v>
      </c>
      <c r="K21" s="531"/>
      <c r="L21" s="532" t="s">
        <v>208</v>
      </c>
      <c r="M21" s="530" t="s">
        <v>46</v>
      </c>
      <c r="N21" s="533" t="s">
        <v>206</v>
      </c>
      <c r="P21" s="319" t="s">
        <v>174</v>
      </c>
      <c r="Q21" s="320"/>
      <c r="R21" s="345"/>
      <c r="T21" s="1013" t="s">
        <v>31</v>
      </c>
      <c r="U21" s="1014">
        <v>45657</v>
      </c>
      <c r="V21" s="1014">
        <f>EOMONTH(U21,12)</f>
        <v>46022</v>
      </c>
      <c r="W21" s="1014">
        <f t="shared" ref="W21" si="45">EOMONTH(V21,12)</f>
        <v>46387</v>
      </c>
      <c r="X21" s="1014">
        <f t="shared" ref="X21" si="46">EOMONTH(W21,12)</f>
        <v>46752</v>
      </c>
      <c r="Y21" s="1014">
        <f t="shared" ref="Y21" si="47">EOMONTH(X21,12)</f>
        <v>47118</v>
      </c>
      <c r="Z21" s="1014">
        <f t="shared" ref="Z21" si="48">EOMONTH(Y21,12)</f>
        <v>47483</v>
      </c>
      <c r="AA21" s="1014">
        <f t="shared" ref="AA21:AB21" si="49">EOMONTH(Z21,12)</f>
        <v>47848</v>
      </c>
      <c r="AB21" s="1014">
        <f t="shared" si="49"/>
        <v>48213</v>
      </c>
      <c r="AC21" s="1014"/>
      <c r="AD21" s="1014"/>
      <c r="AE21" s="1014"/>
      <c r="AF21" s="1014"/>
      <c r="AG21" s="1014"/>
      <c r="AH21" s="1014"/>
      <c r="AI21" s="1014"/>
      <c r="AJ21" s="1014"/>
      <c r="AK21" s="1014"/>
      <c r="AL21" s="1015"/>
    </row>
    <row r="22" spans="2:38" ht="15" thickBot="1" x14ac:dyDescent="0.4">
      <c r="B22" s="771" t="s">
        <v>551</v>
      </c>
      <c r="D22" s="317" t="s">
        <v>545</v>
      </c>
      <c r="E22" s="337">
        <v>0</v>
      </c>
      <c r="F22" s="335">
        <f>E22/$E$5</f>
        <v>0</v>
      </c>
      <c r="H22" s="534"/>
      <c r="I22" s="535"/>
      <c r="J22" s="535"/>
      <c r="K22" s="536"/>
      <c r="L22" s="537"/>
      <c r="M22" s="535"/>
      <c r="N22" s="538"/>
      <c r="P22" s="309"/>
      <c r="Q22" s="321"/>
      <c r="R22" s="346"/>
      <c r="T22" s="360"/>
      <c r="U22" s="1021"/>
      <c r="V22" s="1021"/>
      <c r="W22" s="1021"/>
      <c r="X22" s="1021"/>
      <c r="Y22" s="1021"/>
      <c r="Z22" s="1021"/>
      <c r="AA22" s="1021"/>
      <c r="AB22" s="1021"/>
      <c r="AC22" s="1021"/>
      <c r="AD22" s="1021"/>
      <c r="AE22" s="1021"/>
      <c r="AF22" s="1021"/>
      <c r="AG22" s="1021"/>
      <c r="AH22" s="1021"/>
      <c r="AI22" s="1021"/>
      <c r="AJ22" s="1021"/>
      <c r="AK22" s="1021"/>
      <c r="AL22" s="1016"/>
    </row>
    <row r="23" spans="2:38" ht="14.5" x14ac:dyDescent="0.35">
      <c r="D23" s="867" t="s">
        <v>549</v>
      </c>
      <c r="E23" s="338">
        <f>SUM(E21:E22)</f>
        <v>32750</v>
      </c>
      <c r="F23" s="336">
        <f>SUM(F21:F22)</f>
        <v>1.7462941239202303</v>
      </c>
      <c r="G23" s="785"/>
      <c r="H23" s="539" t="str">
        <f>P24</f>
        <v>Permanent Loan @ 64.25% LTC</v>
      </c>
      <c r="I23" s="788">
        <f>Q24</f>
        <v>6550000</v>
      </c>
      <c r="J23" s="789">
        <f>+I23/SF</f>
        <v>349.25882478404606</v>
      </c>
      <c r="K23" s="790"/>
      <c r="L23" s="791" t="str">
        <f t="shared" ref="L23:M29" si="50">L5</f>
        <v>Occupied Building</v>
      </c>
      <c r="M23" s="337">
        <f t="shared" si="50"/>
        <v>9700000</v>
      </c>
      <c r="N23" s="540">
        <f t="shared" ref="N23" si="51">+M23/SF</f>
        <v>517.22299242828194</v>
      </c>
      <c r="P23" s="322" t="s">
        <v>175</v>
      </c>
      <c r="Q23" s="339">
        <f>SUM(E8:E12)+E21+E26+E27</f>
        <v>10195210.210000001</v>
      </c>
      <c r="R23" s="347">
        <f>Q23/SF</f>
        <v>543.6285704383065</v>
      </c>
      <c r="T23" s="360" t="s">
        <v>264</v>
      </c>
      <c r="U23" s="1023">
        <f>29.07*1.1</f>
        <v>31.977000000000004</v>
      </c>
      <c r="V23" s="1023">
        <f>U23</f>
        <v>31.977000000000004</v>
      </c>
      <c r="W23" s="1023">
        <f t="shared" ref="W23:Y23" si="52">V23</f>
        <v>31.977000000000004</v>
      </c>
      <c r="X23" s="1023">
        <f t="shared" si="52"/>
        <v>31.977000000000004</v>
      </c>
      <c r="Y23" s="1023">
        <f t="shared" si="52"/>
        <v>31.977000000000004</v>
      </c>
      <c r="Z23" s="1023">
        <f>Y23*1.1</f>
        <v>35.174700000000009</v>
      </c>
      <c r="AA23" s="1023">
        <f>Z23</f>
        <v>35.174700000000009</v>
      </c>
      <c r="AB23" s="1023">
        <f>AA23</f>
        <v>35.174700000000009</v>
      </c>
      <c r="AC23" s="1022"/>
      <c r="AD23" s="1022"/>
      <c r="AE23" s="1022"/>
      <c r="AF23" s="1022"/>
      <c r="AG23" s="1022"/>
      <c r="AH23" s="1022"/>
      <c r="AI23" s="1022"/>
      <c r="AJ23" s="1022"/>
      <c r="AK23" s="1022"/>
      <c r="AL23" s="1017"/>
    </row>
    <row r="24" spans="2:38" ht="14.5" x14ac:dyDescent="0.35">
      <c r="B24" s="248"/>
      <c r="D24" s="317"/>
      <c r="E24" s="337"/>
      <c r="F24" s="335"/>
      <c r="H24" s="539" t="str">
        <f>P25</f>
        <v>Equity Contribution @ 35.75% LTC</v>
      </c>
      <c r="I24" s="788">
        <f>Q25</f>
        <v>3551440.2100000009</v>
      </c>
      <c r="J24" s="789">
        <f>+I24/SF</f>
        <v>189.36974565426047</v>
      </c>
      <c r="K24" s="790"/>
      <c r="L24" s="791" t="str">
        <f t="shared" si="50"/>
        <v>Acquisition &amp; Development Fee</v>
      </c>
      <c r="M24" s="337">
        <f t="shared" si="50"/>
        <v>200000</v>
      </c>
      <c r="N24" s="540">
        <f>+M24/SF</f>
        <v>10.664391596459422</v>
      </c>
      <c r="P24" s="323" t="str">
        <f>+"Permanent Loan @ "&amp;(TEXT(S24,"0.00% LTC"))</f>
        <v>Permanent Loan @ 64.25% LTC</v>
      </c>
      <c r="Q24" s="838">
        <v>6550000</v>
      </c>
      <c r="R24" s="348">
        <f>+Q24/$E$5</f>
        <v>349.25882478404606</v>
      </c>
      <c r="S24" s="862">
        <f>Q24/Q23</f>
        <v>0.64245855309343336</v>
      </c>
      <c r="T24" s="360" t="s">
        <v>200</v>
      </c>
      <c r="U24" s="1023">
        <v>15</v>
      </c>
      <c r="V24" s="1024">
        <f>U24*1.02</f>
        <v>15.3</v>
      </c>
      <c r="W24" s="1024">
        <f t="shared" ref="W24:AB24" si="53">V24*1.02</f>
        <v>15.606000000000002</v>
      </c>
      <c r="X24" s="1024">
        <f t="shared" si="53"/>
        <v>15.918120000000002</v>
      </c>
      <c r="Y24" s="1024">
        <f t="shared" si="53"/>
        <v>16.236482400000003</v>
      </c>
      <c r="Z24" s="1024">
        <f t="shared" si="53"/>
        <v>16.561212048000005</v>
      </c>
      <c r="AA24" s="1024">
        <f t="shared" si="53"/>
        <v>16.892436288960006</v>
      </c>
      <c r="AB24" s="1024">
        <f t="shared" si="53"/>
        <v>17.230285014739206</v>
      </c>
      <c r="AC24" s="1022"/>
      <c r="AD24" s="1022"/>
      <c r="AE24" s="1022"/>
      <c r="AF24" s="1022"/>
      <c r="AG24" s="1022"/>
      <c r="AH24" s="1022"/>
      <c r="AI24" s="1022"/>
      <c r="AJ24" s="1022"/>
      <c r="AK24" s="1022"/>
      <c r="AL24" s="1017"/>
    </row>
    <row r="25" spans="2:38" ht="15" thickBot="1" x14ac:dyDescent="0.4">
      <c r="D25" s="313" t="s">
        <v>550</v>
      </c>
      <c r="E25" s="868"/>
      <c r="F25" s="869" t="s">
        <v>504</v>
      </c>
      <c r="H25" s="539" t="s">
        <v>568</v>
      </c>
      <c r="I25" s="788">
        <f>Q26</f>
        <v>93770</v>
      </c>
      <c r="J25" s="789">
        <f>+I25/SF</f>
        <v>5</v>
      </c>
      <c r="K25" s="790"/>
      <c r="L25" s="791" t="str">
        <f t="shared" si="50"/>
        <v>Tenant Capital Reimbursement</v>
      </c>
      <c r="M25" s="337">
        <f t="shared" si="50"/>
        <v>93770</v>
      </c>
      <c r="N25" s="540">
        <f>+M25/SF</f>
        <v>5</v>
      </c>
      <c r="P25" s="323" t="str">
        <f>+"Equity Contribution @ "&amp;(TEXT(S25,"0.00% LTC"))</f>
        <v>Equity Contribution @ 35.75% LTC</v>
      </c>
      <c r="Q25" s="340">
        <f>Q23-Q24-Q26</f>
        <v>3551440.2100000009</v>
      </c>
      <c r="R25" s="348">
        <f>+Q25/$E$5</f>
        <v>189.36974565426047</v>
      </c>
      <c r="S25" s="786">
        <f>1-S24</f>
        <v>0.35754144690656664</v>
      </c>
      <c r="T25" s="13" t="s">
        <v>674</v>
      </c>
      <c r="U25" s="602">
        <v>2.5000000000000001E-2</v>
      </c>
      <c r="V25" s="602">
        <v>2.5000000000000001E-2</v>
      </c>
      <c r="W25" s="602">
        <v>2.5000000000000001E-2</v>
      </c>
      <c r="X25" s="602">
        <v>2.5000000000000001E-2</v>
      </c>
      <c r="Y25" s="602">
        <v>2.5000000000000001E-2</v>
      </c>
      <c r="Z25" s="602">
        <v>1.2500000000000001E-2</v>
      </c>
      <c r="AA25" s="602">
        <v>1.2500000000000001E-2</v>
      </c>
      <c r="AB25" s="602">
        <v>1.2500000000000001E-2</v>
      </c>
      <c r="AC25" s="602"/>
      <c r="AD25" s="602"/>
      <c r="AE25" s="602"/>
      <c r="AF25" s="602"/>
      <c r="AG25" s="602"/>
      <c r="AH25" s="602"/>
      <c r="AI25" s="602"/>
      <c r="AJ25" s="602"/>
      <c r="AK25" s="602"/>
      <c r="AL25" s="555"/>
    </row>
    <row r="26" spans="2:38" ht="14.5" x14ac:dyDescent="0.35">
      <c r="B26" s="769" t="s">
        <v>521</v>
      </c>
      <c r="D26" s="317" t="s">
        <v>522</v>
      </c>
      <c r="E26" s="550">
        <v>93770</v>
      </c>
      <c r="F26" s="335">
        <f>E26/$E$5</f>
        <v>5</v>
      </c>
      <c r="H26" s="539"/>
      <c r="I26" s="788"/>
      <c r="J26" s="789"/>
      <c r="K26" s="790"/>
      <c r="L26" s="791" t="str">
        <f t="shared" si="50"/>
        <v>Lender Rent Escrow</v>
      </c>
      <c r="M26" s="337">
        <f t="shared" si="50"/>
        <v>68000</v>
      </c>
      <c r="N26" s="540">
        <f>+M26/SF</f>
        <v>3.6258931427962033</v>
      </c>
      <c r="P26" s="323" t="s">
        <v>295</v>
      </c>
      <c r="Q26" s="340">
        <f>E26</f>
        <v>93770</v>
      </c>
      <c r="R26" s="348">
        <f>+Q26/$E$5</f>
        <v>5</v>
      </c>
      <c r="S26" s="785"/>
      <c r="T26" s="360" t="s">
        <v>675</v>
      </c>
      <c r="U26" s="1022">
        <f>(U23+U24)*U25</f>
        <v>1.1744250000000001</v>
      </c>
      <c r="V26" s="1022">
        <f t="shared" ref="V26:AB26" si="54">(V23+V24)*V25</f>
        <v>1.1819250000000001</v>
      </c>
      <c r="W26" s="1022">
        <f t="shared" si="54"/>
        <v>1.1895750000000003</v>
      </c>
      <c r="X26" s="1022">
        <f t="shared" si="54"/>
        <v>1.1973780000000003</v>
      </c>
      <c r="Y26" s="1022">
        <f t="shared" si="54"/>
        <v>1.2053370600000002</v>
      </c>
      <c r="Z26" s="1022">
        <f t="shared" si="54"/>
        <v>0.64669890060000024</v>
      </c>
      <c r="AA26" s="1022">
        <f t="shared" si="54"/>
        <v>0.65083920361200021</v>
      </c>
      <c r="AB26" s="1022">
        <f t="shared" si="54"/>
        <v>0.6550623126842402</v>
      </c>
      <c r="AC26" s="1022"/>
      <c r="AD26" s="1022"/>
      <c r="AE26" s="1022"/>
      <c r="AF26" s="1022"/>
      <c r="AG26" s="1022"/>
      <c r="AH26" s="1022"/>
      <c r="AI26" s="1022"/>
      <c r="AJ26" s="1022"/>
      <c r="AK26" s="1022"/>
      <c r="AL26" s="1017"/>
    </row>
    <row r="27" spans="2:38" ht="14.5" x14ac:dyDescent="0.35">
      <c r="B27" s="770" t="s">
        <v>736</v>
      </c>
      <c r="D27" s="317" t="s">
        <v>517</v>
      </c>
      <c r="E27" s="550">
        <v>3381</v>
      </c>
      <c r="F27" s="335">
        <f t="shared" ref="F27:F28" si="55">E27/$E$5</f>
        <v>0.18028153993814652</v>
      </c>
      <c r="H27" s="539"/>
      <c r="I27" s="788"/>
      <c r="J27" s="789"/>
      <c r="K27" s="790"/>
      <c r="L27" s="791" t="str">
        <f t="shared" si="50"/>
        <v>Closing Costs - Buyer</v>
      </c>
      <c r="M27" s="337">
        <f t="shared" si="50"/>
        <v>80897.209999999992</v>
      </c>
      <c r="N27" s="540">
        <f>+M27/SF</f>
        <v>4.3135976325050649</v>
      </c>
      <c r="P27" s="324"/>
      <c r="Q27" s="341"/>
      <c r="R27" s="349"/>
      <c r="S27" s="785"/>
      <c r="T27" s="360" t="s">
        <v>676</v>
      </c>
      <c r="U27" s="2"/>
      <c r="V27" s="2"/>
      <c r="W27" s="2"/>
      <c r="X27" s="2"/>
      <c r="Y27" s="2"/>
      <c r="Z27" s="2"/>
      <c r="AA27" s="2"/>
      <c r="AB27" s="2"/>
      <c r="AC27" s="2"/>
      <c r="AD27" s="2"/>
      <c r="AE27" s="2"/>
      <c r="AF27" s="2"/>
      <c r="AG27" s="2"/>
      <c r="AH27" s="2"/>
      <c r="AI27" s="1022"/>
      <c r="AJ27" s="2"/>
      <c r="AK27" s="2"/>
      <c r="AL27" s="1017"/>
    </row>
    <row r="28" spans="2:38" ht="15" thickBot="1" x14ac:dyDescent="0.4">
      <c r="B28" s="771" t="s">
        <v>519</v>
      </c>
      <c r="D28" s="317" t="s">
        <v>516</v>
      </c>
      <c r="E28" s="337">
        <v>0</v>
      </c>
      <c r="F28" s="335">
        <f t="shared" si="55"/>
        <v>0</v>
      </c>
      <c r="H28" s="539"/>
      <c r="I28" s="788"/>
      <c r="J28" s="789"/>
      <c r="K28" s="790"/>
      <c r="L28" s="791" t="str">
        <f t="shared" si="50"/>
        <v>Closing Costs - Lender - Permanent Loan</v>
      </c>
      <c r="M28" s="337">
        <f t="shared" si="50"/>
        <v>16412</v>
      </c>
      <c r="N28" s="540">
        <f t="shared" ref="N28:N29" si="56">+M28/SF</f>
        <v>0.87511997440546019</v>
      </c>
      <c r="P28" s="325" t="s">
        <v>19</v>
      </c>
      <c r="Q28" s="342">
        <f>+Q24*S28</f>
        <v>32750</v>
      </c>
      <c r="R28" s="350">
        <f>+Q28/$E$5</f>
        <v>1.7462941239202303</v>
      </c>
      <c r="S28" s="787">
        <v>5.0000000000000001E-3</v>
      </c>
      <c r="T28" s="360"/>
      <c r="U28" s="2"/>
      <c r="V28" s="2"/>
      <c r="W28" s="2"/>
      <c r="X28" s="2"/>
      <c r="Y28" s="2"/>
      <c r="Z28" s="2"/>
      <c r="AA28" s="2"/>
      <c r="AB28" s="2"/>
      <c r="AC28" s="2"/>
      <c r="AD28" s="2"/>
      <c r="AE28" s="2"/>
      <c r="AF28" s="2"/>
      <c r="AG28" s="2"/>
      <c r="AH28" s="2"/>
      <c r="AI28" s="2"/>
      <c r="AJ28" s="2"/>
      <c r="AK28" s="2"/>
      <c r="AL28" s="30"/>
    </row>
    <row r="29" spans="2:38" ht="14.5" x14ac:dyDescent="0.35">
      <c r="D29" s="867" t="s">
        <v>549</v>
      </c>
      <c r="E29" s="338">
        <f>SUM(E26:E28)</f>
        <v>97151</v>
      </c>
      <c r="F29" s="336">
        <f>SUM(F26:F28)</f>
        <v>5.1802815399381466</v>
      </c>
      <c r="H29" s="539"/>
      <c r="I29" s="788"/>
      <c r="J29" s="789"/>
      <c r="K29" s="790"/>
      <c r="L29" s="791" t="str">
        <f t="shared" si="50"/>
        <v>Lender Origination Fee - Permanent Loan</v>
      </c>
      <c r="M29" s="337">
        <f t="shared" si="50"/>
        <v>32750</v>
      </c>
      <c r="N29" s="540">
        <f t="shared" si="56"/>
        <v>1.7462941239202303</v>
      </c>
      <c r="T29" s="360" t="s">
        <v>677</v>
      </c>
      <c r="U29" s="1025">
        <f>SF</f>
        <v>18754</v>
      </c>
      <c r="V29" s="772">
        <f>U29</f>
        <v>18754</v>
      </c>
      <c r="W29" s="772">
        <f t="shared" ref="W29" si="57">V29</f>
        <v>18754</v>
      </c>
      <c r="X29" s="772">
        <f t="shared" ref="X29" si="58">W29</f>
        <v>18754</v>
      </c>
      <c r="Y29" s="772">
        <f t="shared" ref="Y29" si="59">X29</f>
        <v>18754</v>
      </c>
      <c r="Z29" s="772">
        <f t="shared" ref="Z29" si="60">Y29</f>
        <v>18754</v>
      </c>
      <c r="AA29" s="772">
        <f t="shared" ref="AA29" si="61">Z29</f>
        <v>18754</v>
      </c>
      <c r="AB29" s="772">
        <f>AA29/3</f>
        <v>6251.333333333333</v>
      </c>
      <c r="AC29" s="772"/>
      <c r="AD29" s="772"/>
      <c r="AE29" s="772"/>
      <c r="AF29" s="772"/>
      <c r="AG29" s="772"/>
      <c r="AH29" s="772"/>
      <c r="AI29" s="772"/>
      <c r="AJ29" s="772"/>
      <c r="AK29" s="772"/>
      <c r="AL29" s="598"/>
    </row>
    <row r="30" spans="2:38" ht="14.5" x14ac:dyDescent="0.35">
      <c r="D30" s="317"/>
      <c r="E30" s="337"/>
      <c r="F30" s="335"/>
      <c r="G30" s="785"/>
      <c r="H30" s="539"/>
      <c r="I30" s="788"/>
      <c r="J30" s="789"/>
      <c r="K30" s="790"/>
      <c r="L30" s="791" t="str">
        <f>L15</f>
        <v>Leasing Legal</v>
      </c>
      <c r="M30" s="337">
        <f>M15</f>
        <v>3381</v>
      </c>
      <c r="N30" s="540">
        <f>+M30/SF</f>
        <v>0.18028153993814652</v>
      </c>
      <c r="T30" s="360" t="s">
        <v>678</v>
      </c>
      <c r="U30" s="772">
        <f>U26*U29</f>
        <v>22025.166450000001</v>
      </c>
      <c r="V30" s="772">
        <f t="shared" ref="V30:Z30" si="62">V26*V29</f>
        <v>22165.821450000003</v>
      </c>
      <c r="W30" s="772">
        <f t="shared" si="62"/>
        <v>22309.289550000005</v>
      </c>
      <c r="X30" s="772">
        <f t="shared" si="62"/>
        <v>22455.627012000004</v>
      </c>
      <c r="Y30" s="772">
        <f t="shared" si="62"/>
        <v>22604.891223240003</v>
      </c>
      <c r="Z30" s="772">
        <f t="shared" si="62"/>
        <v>12128.191181852404</v>
      </c>
      <c r="AA30" s="772">
        <f>AA29*AA26</f>
        <v>12205.838424539452</v>
      </c>
      <c r="AB30" s="772">
        <f>AB29*AB26</f>
        <v>4095.0128706934133</v>
      </c>
      <c r="AC30" s="772"/>
      <c r="AD30" s="772"/>
      <c r="AE30" s="772"/>
      <c r="AF30" s="772"/>
      <c r="AG30" s="772"/>
      <c r="AH30" s="772"/>
      <c r="AI30" s="772"/>
      <c r="AJ30" s="772"/>
      <c r="AK30" s="772"/>
      <c r="AL30" s="598"/>
    </row>
    <row r="31" spans="2:38" ht="14.5" x14ac:dyDescent="0.35">
      <c r="B31" s="1061"/>
      <c r="D31" s="318" t="s">
        <v>173</v>
      </c>
      <c r="E31" s="338">
        <f>E14+E18+E23+E29</f>
        <v>10395210.210000001</v>
      </c>
      <c r="F31" s="336">
        <f>+E31/$E$5</f>
        <v>554.29296203476599</v>
      </c>
      <c r="G31" s="784">
        <f>E33/E31</f>
        <v>6.3931728633113083E-2</v>
      </c>
      <c r="H31" s="539"/>
      <c r="I31" s="788"/>
      <c r="J31" s="789"/>
      <c r="K31" s="790"/>
      <c r="L31" s="791"/>
      <c r="M31" s="337"/>
      <c r="N31" s="540"/>
      <c r="T31" s="360"/>
      <c r="U31" s="2"/>
      <c r="V31" s="2"/>
      <c r="W31" s="2"/>
      <c r="X31" s="2"/>
      <c r="Y31" s="2"/>
      <c r="Z31" s="2"/>
      <c r="AA31" s="2"/>
      <c r="AB31" s="2"/>
      <c r="AC31" s="2"/>
      <c r="AD31" s="2"/>
      <c r="AE31" s="2"/>
      <c r="AF31" s="2"/>
      <c r="AG31" s="2"/>
      <c r="AH31" s="2"/>
      <c r="AI31" s="2"/>
      <c r="AJ31" s="2"/>
      <c r="AK31" s="2"/>
      <c r="AL31" s="30"/>
    </row>
    <row r="32" spans="2:38" ht="15" thickBot="1" x14ac:dyDescent="0.4">
      <c r="B32" s="1061"/>
      <c r="D32" s="311"/>
      <c r="E32" s="337"/>
      <c r="F32" s="335"/>
      <c r="H32" s="542" t="s">
        <v>174</v>
      </c>
      <c r="I32" s="543">
        <f>+SUBTOTAL(9,I23:I31)</f>
        <v>10195210.210000001</v>
      </c>
      <c r="J32" s="544">
        <f>+I32/SF</f>
        <v>543.6285704383065</v>
      </c>
      <c r="K32" s="545"/>
      <c r="L32" s="546" t="s">
        <v>199</v>
      </c>
      <c r="M32" s="543">
        <f>SUM(M23:M31)</f>
        <v>10195210.210000001</v>
      </c>
      <c r="N32" s="547">
        <f>+M32/SF</f>
        <v>543.6285704383065</v>
      </c>
      <c r="T32" s="765" t="s">
        <v>679</v>
      </c>
      <c r="U32" s="65"/>
      <c r="V32" s="65"/>
      <c r="W32" s="65"/>
      <c r="X32" s="65"/>
      <c r="Y32" s="65"/>
      <c r="Z32" s="65"/>
      <c r="AA32" s="65"/>
      <c r="AB32" s="65"/>
      <c r="AC32" s="65"/>
      <c r="AD32" s="65"/>
      <c r="AE32" s="65"/>
      <c r="AF32" s="65"/>
      <c r="AG32" s="65"/>
      <c r="AH32" s="65"/>
      <c r="AI32" s="65"/>
      <c r="AJ32" s="65"/>
      <c r="AK32" s="65"/>
      <c r="AL32" s="636">
        <f>SUM(U30:AL30)</f>
        <v>139989.83816232526</v>
      </c>
    </row>
    <row r="33" spans="4:19" ht="13.5" thickBot="1" x14ac:dyDescent="0.35">
      <c r="D33" s="1045" t="s">
        <v>518</v>
      </c>
      <c r="E33" s="1046">
        <f>'Offering Memorandum'!BA14</f>
        <v>664583.75822988653</v>
      </c>
      <c r="F33" s="1047">
        <f>E33/SF</f>
        <v>35.436907232051112</v>
      </c>
      <c r="G33" s="784">
        <f>E33/E31</f>
        <v>6.3931728633113083E-2</v>
      </c>
      <c r="H33" s="523"/>
      <c r="L33" s="737"/>
      <c r="P33" s="298" t="str">
        <f>P20</f>
        <v>1500 Boston Post Road, Darien</v>
      </c>
      <c r="Q33" s="299"/>
      <c r="R33" s="344"/>
    </row>
    <row r="34" spans="4:19" ht="13.5" thickBot="1" x14ac:dyDescent="0.35">
      <c r="F34" s="343"/>
      <c r="G34" s="343"/>
      <c r="H34" s="1278" t="s">
        <v>738</v>
      </c>
      <c r="I34" s="1279"/>
      <c r="J34" s="1279"/>
      <c r="K34" s="1279"/>
      <c r="L34" s="1279"/>
      <c r="M34" s="1279"/>
      <c r="N34" s="1280"/>
      <c r="P34" s="319" t="s">
        <v>174</v>
      </c>
      <c r="Q34" s="320"/>
      <c r="R34" s="345"/>
    </row>
    <row r="35" spans="4:19" ht="13.5" thickBot="1" x14ac:dyDescent="0.35">
      <c r="G35" s="523"/>
      <c r="H35" s="529" t="s">
        <v>207</v>
      </c>
      <c r="I35" s="530" t="s">
        <v>46</v>
      </c>
      <c r="J35" s="530" t="s">
        <v>206</v>
      </c>
      <c r="K35" s="531"/>
      <c r="L35" s="532" t="s">
        <v>208</v>
      </c>
      <c r="M35" s="530" t="s">
        <v>46</v>
      </c>
      <c r="N35" s="533" t="s">
        <v>206</v>
      </c>
      <c r="P35" s="309"/>
      <c r="Q35" s="321"/>
      <c r="R35" s="346"/>
    </row>
    <row r="36" spans="4:19" x14ac:dyDescent="0.3">
      <c r="E36" s="523"/>
      <c r="H36" s="534"/>
      <c r="I36" s="535"/>
      <c r="J36" s="535"/>
      <c r="K36" s="536"/>
      <c r="L36" s="537"/>
      <c r="M36" s="535"/>
      <c r="N36" s="538"/>
      <c r="P36" s="322" t="s">
        <v>175</v>
      </c>
      <c r="Q36" s="339">
        <f>E17+E13+E22</f>
        <v>200000</v>
      </c>
      <c r="R36" s="347">
        <f>Q36/SF</f>
        <v>10.664391596459422</v>
      </c>
    </row>
    <row r="37" spans="4:19" x14ac:dyDescent="0.3">
      <c r="H37" s="539" t="str">
        <f>P37</f>
        <v>Construction Loan @ 0.00% LTC</v>
      </c>
      <c r="I37" s="788">
        <f>Q37</f>
        <v>0</v>
      </c>
      <c r="J37" s="789">
        <f>+I37/SF</f>
        <v>0</v>
      </c>
      <c r="K37" s="790"/>
      <c r="L37" s="791" t="str">
        <f>L14</f>
        <v>Construction Costs</v>
      </c>
      <c r="M37" s="337">
        <f>M14</f>
        <v>200000</v>
      </c>
      <c r="N37" s="540">
        <f t="shared" ref="N37" si="63">+M37/SF</f>
        <v>10.664391596459422</v>
      </c>
      <c r="P37" s="323" t="str">
        <f>+"Construction Loan @ "&amp;(TEXT(S37,"0.00% LTC"))</f>
        <v>Construction Loan @ 0.00% LTC</v>
      </c>
      <c r="Q37" s="340">
        <f>Q36*S37</f>
        <v>0</v>
      </c>
      <c r="R37" s="348">
        <f>+Q37/$E$5</f>
        <v>0</v>
      </c>
      <c r="S37" s="866">
        <v>0</v>
      </c>
    </row>
    <row r="38" spans="4:19" x14ac:dyDescent="0.3">
      <c r="H38" s="539" t="str">
        <f>P38</f>
        <v>Equity Contribution @ 100.00% LTC</v>
      </c>
      <c r="I38" s="788">
        <f>Q38</f>
        <v>200000</v>
      </c>
      <c r="J38" s="789">
        <f>+I38/SF</f>
        <v>10.664391596459422</v>
      </c>
      <c r="K38" s="790"/>
      <c r="L38" s="791" t="str">
        <f>L16</f>
        <v>Broker Fee</v>
      </c>
      <c r="M38" s="337">
        <f>M16</f>
        <v>0</v>
      </c>
      <c r="N38" s="540">
        <f>+M38/SF</f>
        <v>0</v>
      </c>
      <c r="P38" s="323" t="str">
        <f>+"Equity Contribution @ "&amp;(TEXT(S38,"0.00% LTC"))</f>
        <v>Equity Contribution @ 100.00% LTC</v>
      </c>
      <c r="Q38" s="340">
        <f>Q36-Q37</f>
        <v>200000</v>
      </c>
      <c r="R38" s="348">
        <f>+Q38/$E$5</f>
        <v>10.664391596459422</v>
      </c>
      <c r="S38" s="786">
        <f>1-S37</f>
        <v>1</v>
      </c>
    </row>
    <row r="39" spans="4:19" x14ac:dyDescent="0.3">
      <c r="H39" s="539"/>
      <c r="I39" s="788"/>
      <c r="J39" s="789"/>
      <c r="K39" s="790"/>
      <c r="L39" s="791" t="str">
        <f>L12</f>
        <v>Closing Costs - Lender - Construction Loan</v>
      </c>
      <c r="M39" s="337">
        <f>M12</f>
        <v>0</v>
      </c>
      <c r="N39" s="540">
        <f>+M39/SF</f>
        <v>0</v>
      </c>
      <c r="P39" s="323" t="s">
        <v>295</v>
      </c>
      <c r="Q39" s="340">
        <f>Q36-SUM(Q37:Q38)</f>
        <v>0</v>
      </c>
      <c r="R39" s="348">
        <f>+Q39/$E$5</f>
        <v>0</v>
      </c>
      <c r="S39" s="785"/>
    </row>
    <row r="40" spans="4:19" x14ac:dyDescent="0.3">
      <c r="H40" s="539"/>
      <c r="I40" s="788"/>
      <c r="J40" s="789"/>
      <c r="K40" s="790"/>
      <c r="L40" s="791" t="str">
        <f>L13</f>
        <v>Lender Origination Fee - Construction Loan</v>
      </c>
      <c r="M40" s="337">
        <f>M13</f>
        <v>0</v>
      </c>
      <c r="N40" s="540">
        <f>+M40/SF</f>
        <v>0</v>
      </c>
      <c r="P40" s="324"/>
      <c r="Q40" s="341"/>
      <c r="R40" s="349"/>
      <c r="S40" s="785"/>
    </row>
    <row r="41" spans="4:19" ht="12.65" customHeight="1" thickBot="1" x14ac:dyDescent="0.35">
      <c r="H41" s="539"/>
      <c r="I41" s="788"/>
      <c r="J41" s="789"/>
      <c r="K41" s="790"/>
      <c r="L41" s="791"/>
      <c r="M41" s="337"/>
      <c r="N41" s="540"/>
      <c r="P41" s="325" t="s">
        <v>19</v>
      </c>
      <c r="Q41" s="342">
        <f>+Q37*S41</f>
        <v>0</v>
      </c>
      <c r="R41" s="350">
        <f>+Q41/$E$5</f>
        <v>0</v>
      </c>
      <c r="S41" s="787">
        <v>0.01</v>
      </c>
    </row>
    <row r="42" spans="4:19" x14ac:dyDescent="0.3">
      <c r="H42" s="539"/>
      <c r="I42" s="788"/>
      <c r="J42" s="788"/>
      <c r="K42" s="788"/>
      <c r="L42" s="788"/>
      <c r="M42" s="788"/>
      <c r="N42" s="1228"/>
    </row>
    <row r="43" spans="4:19" ht="13.5" thickBot="1" x14ac:dyDescent="0.35">
      <c r="G43" s="938"/>
      <c r="H43" s="542" t="s">
        <v>174</v>
      </c>
      <c r="I43" s="543">
        <f>+SUBTOTAL(9,I37:I42)</f>
        <v>200000</v>
      </c>
      <c r="J43" s="544">
        <f>+I43/SF</f>
        <v>10.664391596459422</v>
      </c>
      <c r="K43" s="545"/>
      <c r="L43" s="546" t="s">
        <v>199</v>
      </c>
      <c r="M43" s="543">
        <f>SUM(M37:M41)</f>
        <v>200000</v>
      </c>
      <c r="N43" s="547">
        <f>+M43/SF</f>
        <v>10.664391596459422</v>
      </c>
    </row>
    <row r="44" spans="4:19" x14ac:dyDescent="0.3">
      <c r="G44" s="523"/>
    </row>
    <row r="45" spans="4:19" x14ac:dyDescent="0.3">
      <c r="H45" s="504"/>
    </row>
    <row r="46" spans="4:19" x14ac:dyDescent="0.3">
      <c r="H46" s="523"/>
    </row>
    <row r="47" spans="4:19" x14ac:dyDescent="0.3">
      <c r="E47" s="523"/>
      <c r="I47" s="514"/>
      <c r="J47" s="514"/>
    </row>
    <row r="48" spans="4:19" x14ac:dyDescent="0.3">
      <c r="H48" s="779"/>
      <c r="I48" s="504"/>
    </row>
    <row r="49" spans="5:12" x14ac:dyDescent="0.3">
      <c r="E49" s="523"/>
      <c r="H49" s="523"/>
    </row>
    <row r="50" spans="5:12" x14ac:dyDescent="0.3">
      <c r="H50" s="558"/>
    </row>
    <row r="52" spans="5:12" x14ac:dyDescent="0.3">
      <c r="H52" s="514"/>
    </row>
    <row r="53" spans="5:12" x14ac:dyDescent="0.3">
      <c r="G53" s="514"/>
      <c r="H53" s="504"/>
    </row>
    <row r="54" spans="5:12" x14ac:dyDescent="0.3">
      <c r="G54" s="514"/>
    </row>
    <row r="59" spans="5:12" x14ac:dyDescent="0.3">
      <c r="H59" s="504"/>
    </row>
    <row r="62" spans="5:12" x14ac:dyDescent="0.3">
      <c r="H62" s="504"/>
    </row>
    <row r="63" spans="5:12" x14ac:dyDescent="0.3">
      <c r="L63" s="570"/>
    </row>
    <row r="72" spans="8:8" x14ac:dyDescent="0.3">
      <c r="H72" s="514"/>
    </row>
    <row r="73" spans="8:8" ht="15" customHeight="1" x14ac:dyDescent="0.3">
      <c r="H73" s="603"/>
    </row>
    <row r="74" spans="8:8" ht="15" customHeight="1" x14ac:dyDescent="0.3"/>
    <row r="76" spans="8:8" x14ac:dyDescent="0.3">
      <c r="H76" s="504"/>
    </row>
    <row r="81" spans="8:8" x14ac:dyDescent="0.3">
      <c r="H81" s="738"/>
    </row>
    <row r="86" spans="8:8" x14ac:dyDescent="0.3">
      <c r="H86" s="514"/>
    </row>
    <row r="87" spans="8:8" x14ac:dyDescent="0.3">
      <c r="H87" s="523"/>
    </row>
    <row r="88" spans="8:8" x14ac:dyDescent="0.3">
      <c r="H88" s="737"/>
    </row>
    <row r="89" spans="8:8" x14ac:dyDescent="0.3">
      <c r="H89" s="514"/>
    </row>
    <row r="93" spans="8:8" x14ac:dyDescent="0.3">
      <c r="H93" s="504"/>
    </row>
    <row r="94" spans="8:8" x14ac:dyDescent="0.3">
      <c r="H94" s="523"/>
    </row>
    <row r="99" spans="8:8" ht="15" customHeight="1" x14ac:dyDescent="0.3"/>
    <row r="100" spans="8:8" ht="15" customHeight="1" x14ac:dyDescent="0.3"/>
    <row r="104" spans="8:8" x14ac:dyDescent="0.3">
      <c r="H104" s="504"/>
    </row>
    <row r="110" spans="8:8" x14ac:dyDescent="0.3">
      <c r="H110" s="504"/>
    </row>
    <row r="111" spans="8:8" x14ac:dyDescent="0.3">
      <c r="H111" s="504"/>
    </row>
    <row r="112" spans="8:8" x14ac:dyDescent="0.3">
      <c r="H112" s="504"/>
    </row>
    <row r="113" spans="8:8" x14ac:dyDescent="0.3">
      <c r="H113" s="504"/>
    </row>
  </sheetData>
  <mergeCells count="5">
    <mergeCell ref="H34:N34"/>
    <mergeCell ref="H20:N20"/>
    <mergeCell ref="T2:AL2"/>
    <mergeCell ref="H2:N2"/>
    <mergeCell ref="T18:AL18"/>
  </mergeCells>
  <phoneticPr fontId="43" type="noConversion"/>
  <pageMargins left="0.7" right="0.7" top="0.75" bottom="0.75" header="0.3" footer="0.3"/>
  <pageSetup scale="53" orientation="landscape" r:id="rId1"/>
  <ignoredErrors>
    <ignoredError sqref="AA8 Z23:AB23"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9F56-3467-43AA-B2E7-55B65D57971D}">
  <sheetPr codeName="Sheet2">
    <tabColor theme="5" tint="-0.249977111117893"/>
  </sheetPr>
  <dimension ref="B3:BX186"/>
  <sheetViews>
    <sheetView topLeftCell="AJ77" zoomScale="60" zoomScaleNormal="60" workbookViewId="0">
      <selection activeCell="AN104" sqref="AN104"/>
    </sheetView>
  </sheetViews>
  <sheetFormatPr defaultColWidth="8.7265625" defaultRowHeight="14.5" x14ac:dyDescent="0.35"/>
  <cols>
    <col min="1" max="1" width="4.54296875" style="1" customWidth="1"/>
    <col min="2" max="2" width="43.453125" style="1" customWidth="1"/>
    <col min="3" max="3" width="19.26953125" style="1" customWidth="1"/>
    <col min="4" max="4" width="8.26953125" style="1" bestFit="1" customWidth="1"/>
    <col min="5" max="5" width="67.54296875" style="5" customWidth="1"/>
    <col min="6" max="40" width="13.54296875" style="4" customWidth="1"/>
    <col min="41" max="41" width="14.453125" style="3" bestFit="1" customWidth="1"/>
    <col min="42" max="42" width="13.54296875" style="1" customWidth="1"/>
    <col min="43" max="43" width="4.54296875" style="1" customWidth="1"/>
    <col min="44" max="44" width="51" style="1" bestFit="1" customWidth="1"/>
    <col min="45" max="45" width="19.26953125" style="1" customWidth="1"/>
    <col min="46" max="46" width="4.54296875" style="1" customWidth="1"/>
    <col min="47" max="47" width="35.453125" style="1" bestFit="1" customWidth="1"/>
    <col min="48" max="48" width="12.6328125" style="1" customWidth="1"/>
    <col min="49" max="59" width="12.54296875" style="1" customWidth="1"/>
    <col min="60" max="60" width="4.54296875" style="1" customWidth="1"/>
    <col min="61" max="61" width="26.453125" style="1" customWidth="1"/>
    <col min="62" max="63" width="12.54296875" style="1" customWidth="1"/>
    <col min="64" max="64" width="4.7265625" style="1" customWidth="1"/>
    <col min="65" max="65" width="29.1796875" style="1" customWidth="1"/>
    <col min="66" max="67" width="12.54296875" style="1" customWidth="1"/>
    <col min="68" max="68" width="4.7265625" style="1" customWidth="1"/>
    <col min="69" max="69" width="34.81640625" style="1" bestFit="1" customWidth="1"/>
    <col min="70" max="75" width="14.1796875" style="1" customWidth="1"/>
    <col min="76" max="76" width="4.54296875" style="1" customWidth="1"/>
    <col min="77" max="16384" width="8.7265625" style="1"/>
  </cols>
  <sheetData>
    <row r="3" spans="2:75" ht="15" thickBot="1" x14ac:dyDescent="0.4">
      <c r="E3" s="1100"/>
      <c r="F3" s="1100"/>
      <c r="H3" s="1101"/>
      <c r="N3" s="1064"/>
      <c r="O3" s="1065"/>
      <c r="P3" s="154"/>
      <c r="T3" s="741"/>
      <c r="AV3" s="484"/>
      <c r="AW3" s="482"/>
      <c r="AX3" s="482"/>
    </row>
    <row r="4" spans="2:75" ht="15" thickBot="1" x14ac:dyDescent="0.4">
      <c r="B4" s="153" t="s">
        <v>740</v>
      </c>
      <c r="C4" s="152"/>
      <c r="E4" s="1287" t="s">
        <v>103</v>
      </c>
      <c r="F4" s="1288"/>
      <c r="G4" s="1288"/>
      <c r="H4" s="1288"/>
      <c r="I4" s="1288"/>
      <c r="J4" s="1288"/>
      <c r="K4" s="1288"/>
      <c r="L4" s="1288"/>
      <c r="M4" s="1288"/>
      <c r="N4" s="1288"/>
      <c r="O4" s="1288"/>
      <c r="P4" s="1288"/>
      <c r="Q4" s="1288"/>
      <c r="R4" s="1288"/>
      <c r="S4" s="1288"/>
      <c r="T4" s="1288"/>
      <c r="U4" s="1288"/>
      <c r="V4" s="1288"/>
      <c r="W4" s="1288"/>
      <c r="X4" s="1288"/>
      <c r="Y4" s="1288"/>
      <c r="Z4" s="1288"/>
      <c r="AA4" s="1288"/>
      <c r="AB4" s="1288"/>
      <c r="AC4" s="1288"/>
      <c r="AD4" s="1288"/>
      <c r="AE4" s="1288"/>
      <c r="AF4" s="1288"/>
      <c r="AG4" s="1288"/>
      <c r="AH4" s="1288"/>
      <c r="AI4" s="1288"/>
      <c r="AJ4" s="1288"/>
      <c r="AK4" s="1288"/>
      <c r="AL4" s="1288"/>
      <c r="AM4" s="1288"/>
      <c r="AN4" s="1288"/>
      <c r="AO4" s="1288"/>
      <c r="AP4" s="1289"/>
      <c r="AR4" s="153" t="s">
        <v>102</v>
      </c>
      <c r="AS4" s="152"/>
      <c r="AU4" s="1303" t="s">
        <v>35</v>
      </c>
      <c r="AV4" s="1304"/>
      <c r="AW4" s="1304"/>
      <c r="AX4" s="1304"/>
      <c r="AY4" s="1304"/>
      <c r="AZ4" s="1304"/>
      <c r="BA4" s="1304"/>
      <c r="BB4" s="1304"/>
      <c r="BC4" s="1304"/>
      <c r="BD4" s="1304"/>
      <c r="BE4" s="1304"/>
      <c r="BF4" s="1304"/>
      <c r="BG4" s="1305"/>
      <c r="BI4" s="1284" t="s">
        <v>223</v>
      </c>
      <c r="BJ4" s="1285"/>
      <c r="BK4" s="1286"/>
      <c r="BM4" s="1284" t="s">
        <v>224</v>
      </c>
      <c r="BN4" s="1285"/>
      <c r="BO4" s="1286"/>
      <c r="BQ4" s="1292" t="s">
        <v>230</v>
      </c>
      <c r="BR4" s="1293"/>
      <c r="BS4" s="1293"/>
      <c r="BT4" s="1293"/>
      <c r="BU4" s="1293"/>
      <c r="BV4" s="1293"/>
      <c r="BW4" s="1294"/>
    </row>
    <row r="5" spans="2:75" ht="15" thickBot="1" x14ac:dyDescent="0.4">
      <c r="B5" s="112" t="s">
        <v>98</v>
      </c>
      <c r="C5" s="151"/>
      <c r="E5" s="42"/>
      <c r="F5" s="41" t="s">
        <v>100</v>
      </c>
      <c r="G5" s="41" t="s">
        <v>99</v>
      </c>
      <c r="H5" s="40">
        <f>0</f>
        <v>0</v>
      </c>
      <c r="I5" s="40">
        <f t="shared" ref="I5:Z5" si="0">H5+1</f>
        <v>1</v>
      </c>
      <c r="J5" s="40">
        <f t="shared" si="0"/>
        <v>2</v>
      </c>
      <c r="K5" s="21">
        <f t="shared" si="0"/>
        <v>3</v>
      </c>
      <c r="L5" s="40">
        <f t="shared" si="0"/>
        <v>4</v>
      </c>
      <c r="M5" s="40">
        <f t="shared" si="0"/>
        <v>5</v>
      </c>
      <c r="N5" s="40">
        <f t="shared" si="0"/>
        <v>6</v>
      </c>
      <c r="O5" s="40">
        <f t="shared" si="0"/>
        <v>7</v>
      </c>
      <c r="P5" s="40">
        <f t="shared" si="0"/>
        <v>8</v>
      </c>
      <c r="Q5" s="40">
        <f t="shared" si="0"/>
        <v>9</v>
      </c>
      <c r="R5" s="40">
        <f t="shared" si="0"/>
        <v>10</v>
      </c>
      <c r="S5" s="40">
        <f t="shared" si="0"/>
        <v>11</v>
      </c>
      <c r="T5" s="40">
        <f t="shared" si="0"/>
        <v>12</v>
      </c>
      <c r="U5" s="40">
        <f t="shared" si="0"/>
        <v>13</v>
      </c>
      <c r="V5" s="40">
        <f t="shared" si="0"/>
        <v>14</v>
      </c>
      <c r="W5" s="40">
        <f t="shared" si="0"/>
        <v>15</v>
      </c>
      <c r="X5" s="40">
        <f t="shared" si="0"/>
        <v>16</v>
      </c>
      <c r="Y5" s="40">
        <f t="shared" si="0"/>
        <v>17</v>
      </c>
      <c r="Z5" s="40">
        <f t="shared" si="0"/>
        <v>18</v>
      </c>
      <c r="AA5" s="40">
        <f t="shared" ref="AA5:AK5" si="1">Z5+1</f>
        <v>19</v>
      </c>
      <c r="AB5" s="40">
        <f t="shared" si="1"/>
        <v>20</v>
      </c>
      <c r="AC5" s="40">
        <f t="shared" si="1"/>
        <v>21</v>
      </c>
      <c r="AD5" s="40">
        <f t="shared" si="1"/>
        <v>22</v>
      </c>
      <c r="AE5" s="40">
        <f t="shared" si="1"/>
        <v>23</v>
      </c>
      <c r="AF5" s="40">
        <f t="shared" si="1"/>
        <v>24</v>
      </c>
      <c r="AG5" s="40">
        <f t="shared" si="1"/>
        <v>25</v>
      </c>
      <c r="AH5" s="40">
        <f t="shared" si="1"/>
        <v>26</v>
      </c>
      <c r="AI5" s="40">
        <f t="shared" si="1"/>
        <v>27</v>
      </c>
      <c r="AJ5" s="40">
        <f t="shared" si="1"/>
        <v>28</v>
      </c>
      <c r="AK5" s="40">
        <f t="shared" si="1"/>
        <v>29</v>
      </c>
      <c r="AL5" s="40">
        <f t="shared" ref="AL5" si="2">AK5+1</f>
        <v>30</v>
      </c>
      <c r="AM5" s="40">
        <f t="shared" ref="AM5" si="3">AL5+1</f>
        <v>31</v>
      </c>
      <c r="AN5" s="40">
        <f t="shared" ref="AN5" si="4">AM5+1</f>
        <v>32</v>
      </c>
      <c r="AO5" s="39" t="s">
        <v>14</v>
      </c>
      <c r="AP5" s="38" t="s">
        <v>13</v>
      </c>
      <c r="AR5" s="112" t="s">
        <v>98</v>
      </c>
      <c r="AS5" s="151"/>
      <c r="AU5" s="78" t="str">
        <f>Budget!D2</f>
        <v>1500 Boston Post Road, Darien</v>
      </c>
      <c r="AV5" s="77"/>
      <c r="AW5" s="77"/>
      <c r="AX5" s="77"/>
      <c r="AY5" s="77"/>
      <c r="AZ5" s="77"/>
      <c r="BA5" s="77"/>
      <c r="BB5" s="77"/>
      <c r="BC5" s="77"/>
      <c r="BD5" s="77"/>
      <c r="BE5" s="77"/>
      <c r="BF5" s="77"/>
      <c r="BG5" s="76"/>
      <c r="BI5" s="95" t="s">
        <v>190</v>
      </c>
      <c r="BJ5" s="94" t="s">
        <v>40</v>
      </c>
      <c r="BK5" s="93" t="s">
        <v>39</v>
      </c>
      <c r="BM5" s="95" t="s">
        <v>219</v>
      </c>
      <c r="BN5" s="107" t="s">
        <v>46</v>
      </c>
      <c r="BO5" s="106" t="s">
        <v>45</v>
      </c>
      <c r="BQ5" s="1295" t="s">
        <v>245</v>
      </c>
      <c r="BR5" s="1296"/>
      <c r="BS5" s="1296"/>
      <c r="BT5" s="1296"/>
      <c r="BU5" s="1296"/>
      <c r="BV5" s="1296"/>
      <c r="BW5" s="1297"/>
    </row>
    <row r="6" spans="2:75" x14ac:dyDescent="0.35">
      <c r="B6" s="9" t="s">
        <v>741</v>
      </c>
      <c r="C6" s="115">
        <f>Budget!E31</f>
        <v>10395210.210000001</v>
      </c>
      <c r="E6" s="150"/>
      <c r="F6" s="18"/>
      <c r="G6" s="18"/>
      <c r="H6" s="1102"/>
      <c r="I6" s="1102"/>
      <c r="J6" s="1102"/>
      <c r="K6" s="1102"/>
      <c r="L6" s="1102"/>
      <c r="M6" s="1102"/>
      <c r="N6" s="1102"/>
      <c r="O6" s="1102"/>
      <c r="P6" s="1102"/>
      <c r="Q6" s="1102"/>
      <c r="R6" s="1102"/>
      <c r="S6" s="1102"/>
      <c r="T6" s="1102"/>
      <c r="U6" s="604"/>
      <c r="V6" s="1102"/>
      <c r="W6" s="1102"/>
      <c r="X6" s="1102"/>
      <c r="Y6" s="1102"/>
      <c r="Z6" s="1102"/>
      <c r="AA6" s="1102"/>
      <c r="AB6" s="1102"/>
      <c r="AC6" s="1102"/>
      <c r="AD6" s="604"/>
      <c r="AE6" s="604"/>
      <c r="AF6" s="1102"/>
      <c r="AG6" s="604"/>
      <c r="AH6" s="1102"/>
      <c r="AI6" s="1102"/>
      <c r="AJ6" s="1102"/>
      <c r="AK6" s="1102"/>
      <c r="AL6" s="1102"/>
      <c r="AM6" s="1102"/>
      <c r="AN6" s="1102"/>
      <c r="AO6" s="149"/>
      <c r="AP6" s="148"/>
      <c r="AR6" s="103" t="s">
        <v>97</v>
      </c>
      <c r="AS6" s="386">
        <f>SF</f>
        <v>18754</v>
      </c>
      <c r="AU6" s="75"/>
      <c r="AV6" s="74"/>
      <c r="AW6" s="74"/>
      <c r="AX6" s="74"/>
      <c r="AY6" s="74"/>
      <c r="AZ6" s="74"/>
      <c r="BA6" s="74"/>
      <c r="BB6" s="74"/>
      <c r="BC6" s="74"/>
      <c r="BD6" s="74"/>
      <c r="BE6" s="74"/>
      <c r="BF6" s="74"/>
      <c r="BG6" s="73"/>
      <c r="BI6" s="9" t="s">
        <v>38</v>
      </c>
      <c r="BJ6" s="89">
        <f>SUMIF(H144:AN145,"&gt;0")</f>
        <v>4696380.1500000004</v>
      </c>
      <c r="BK6" s="1103">
        <f>BJ6/SF</f>
        <v>250.42018502719421</v>
      </c>
      <c r="BM6" s="103" t="s">
        <v>38</v>
      </c>
      <c r="BN6" s="140">
        <f ca="1">SUM(BB81:BB85)</f>
        <v>6423201.0917514274</v>
      </c>
      <c r="BO6" s="1104">
        <f ca="1">BN6/$AS$6</f>
        <v>342.49765872621452</v>
      </c>
      <c r="BQ6" s="753"/>
      <c r="BR6" s="754"/>
      <c r="BS6" s="754"/>
      <c r="BT6" s="754"/>
      <c r="BU6" s="754"/>
      <c r="BV6" s="754"/>
      <c r="BW6" s="755"/>
    </row>
    <row r="7" spans="2:75" ht="15" thickBot="1" x14ac:dyDescent="0.4">
      <c r="B7" s="9"/>
      <c r="C7" s="141"/>
      <c r="E7" s="16" t="s">
        <v>5</v>
      </c>
      <c r="F7" s="15"/>
      <c r="G7" s="15"/>
      <c r="H7" s="749">
        <v>45120</v>
      </c>
      <c r="I7" s="14">
        <f>EOMONTH(H7,0)</f>
        <v>45138</v>
      </c>
      <c r="J7" s="14">
        <f t="shared" ref="J7:AF7" si="5">EOMONTH(I7,1)</f>
        <v>45169</v>
      </c>
      <c r="K7" s="14">
        <f t="shared" si="5"/>
        <v>45199</v>
      </c>
      <c r="L7" s="14">
        <f t="shared" si="5"/>
        <v>45230</v>
      </c>
      <c r="M7" s="14">
        <f t="shared" si="5"/>
        <v>45260</v>
      </c>
      <c r="N7" s="14">
        <f t="shared" si="5"/>
        <v>45291</v>
      </c>
      <c r="O7" s="14">
        <f t="shared" si="5"/>
        <v>45322</v>
      </c>
      <c r="P7" s="14">
        <f t="shared" si="5"/>
        <v>45351</v>
      </c>
      <c r="Q7" s="14">
        <f t="shared" si="5"/>
        <v>45382</v>
      </c>
      <c r="R7" s="14">
        <f t="shared" si="5"/>
        <v>45412</v>
      </c>
      <c r="S7" s="14">
        <f t="shared" si="5"/>
        <v>45443</v>
      </c>
      <c r="T7" s="14">
        <f t="shared" si="5"/>
        <v>45473</v>
      </c>
      <c r="U7" s="14">
        <f t="shared" si="5"/>
        <v>45504</v>
      </c>
      <c r="V7" s="14">
        <f t="shared" si="5"/>
        <v>45535</v>
      </c>
      <c r="W7" s="14">
        <f t="shared" si="5"/>
        <v>45565</v>
      </c>
      <c r="X7" s="14">
        <f t="shared" si="5"/>
        <v>45596</v>
      </c>
      <c r="Y7" s="14">
        <f t="shared" si="5"/>
        <v>45626</v>
      </c>
      <c r="Z7" s="14">
        <f t="shared" si="5"/>
        <v>45657</v>
      </c>
      <c r="AA7" s="14">
        <f t="shared" si="5"/>
        <v>45688</v>
      </c>
      <c r="AB7" s="14">
        <f t="shared" si="5"/>
        <v>45716</v>
      </c>
      <c r="AC7" s="14">
        <f t="shared" si="5"/>
        <v>45747</v>
      </c>
      <c r="AD7" s="14">
        <f t="shared" si="5"/>
        <v>45777</v>
      </c>
      <c r="AE7" s="14">
        <f t="shared" si="5"/>
        <v>45808</v>
      </c>
      <c r="AF7" s="14">
        <f t="shared" si="5"/>
        <v>45838</v>
      </c>
      <c r="AG7" s="14">
        <f t="shared" ref="AG7:AK7" si="6">EOMONTH(AF7,1)</f>
        <v>45869</v>
      </c>
      <c r="AH7" s="14">
        <f t="shared" si="6"/>
        <v>45900</v>
      </c>
      <c r="AI7" s="14">
        <f t="shared" si="6"/>
        <v>45930</v>
      </c>
      <c r="AJ7" s="14">
        <f t="shared" si="6"/>
        <v>45961</v>
      </c>
      <c r="AK7" s="14">
        <f t="shared" si="6"/>
        <v>45991</v>
      </c>
      <c r="AL7" s="14">
        <f t="shared" ref="AL7" si="7">EOMONTH(AK7,1)</f>
        <v>46022</v>
      </c>
      <c r="AM7" s="14">
        <f t="shared" ref="AM7" si="8">EOMONTH(AL7,1)</f>
        <v>46053</v>
      </c>
      <c r="AN7" s="14">
        <f t="shared" ref="AN7" si="9">EOMONTH(AM7,1)</f>
        <v>46081</v>
      </c>
      <c r="AO7" s="36"/>
      <c r="AP7" s="35"/>
      <c r="AR7" s="9" t="s">
        <v>96</v>
      </c>
      <c r="AS7" s="378">
        <f>AW12/AS6</f>
        <v>36.930005881366348</v>
      </c>
      <c r="AU7" s="332"/>
      <c r="AV7" s="1105">
        <v>0</v>
      </c>
      <c r="AW7" s="1105">
        <f>AV7+1</f>
        <v>1</v>
      </c>
      <c r="AX7" s="1105"/>
      <c r="AY7" s="1105">
        <f>AW7+1</f>
        <v>2</v>
      </c>
      <c r="AZ7" s="1105">
        <f t="shared" ref="AZ7:BG7" si="10">AY7+1</f>
        <v>3</v>
      </c>
      <c r="BA7" s="1105">
        <f t="shared" si="10"/>
        <v>4</v>
      </c>
      <c r="BB7" s="1105">
        <f t="shared" si="10"/>
        <v>5</v>
      </c>
      <c r="BC7" s="1105">
        <f t="shared" si="10"/>
        <v>6</v>
      </c>
      <c r="BD7" s="1105">
        <f t="shared" si="10"/>
        <v>7</v>
      </c>
      <c r="BE7" s="1105">
        <f t="shared" si="10"/>
        <v>8</v>
      </c>
      <c r="BF7" s="1105">
        <f t="shared" si="10"/>
        <v>9</v>
      </c>
      <c r="BG7" s="1106">
        <f t="shared" si="10"/>
        <v>10</v>
      </c>
      <c r="BI7" s="9" t="s">
        <v>36</v>
      </c>
      <c r="BJ7" s="1107">
        <f>SUMIF(H144:AN145,"&lt;0")</f>
        <v>-3895347.290000001</v>
      </c>
      <c r="BK7" s="1103">
        <f>-BJ7/SF</f>
        <v>207.70754452383497</v>
      </c>
      <c r="BM7" s="9" t="s">
        <v>36</v>
      </c>
      <c r="BN7" s="89">
        <f ca="1">AV44</f>
        <v>-4154538.4556194451</v>
      </c>
      <c r="BO7" s="1103">
        <f ca="1">BN7/-$AS$6</f>
        <v>221.52812496637759</v>
      </c>
      <c r="BQ7" s="756"/>
      <c r="BR7" s="757">
        <f>0</f>
        <v>0</v>
      </c>
      <c r="BS7" s="757">
        <f>BR7+1</f>
        <v>1</v>
      </c>
      <c r="BT7" s="757">
        <f>BS7+1</f>
        <v>2</v>
      </c>
      <c r="BU7" s="757">
        <f>BT7+1</f>
        <v>3</v>
      </c>
      <c r="BV7" s="757">
        <f>BU7+1</f>
        <v>4</v>
      </c>
      <c r="BW7" s="758">
        <f>BV7+1</f>
        <v>5</v>
      </c>
    </row>
    <row r="8" spans="2:75" ht="15" thickBot="1" x14ac:dyDescent="0.4">
      <c r="B8" s="112" t="s">
        <v>82</v>
      </c>
      <c r="C8" s="111"/>
      <c r="E8" s="145"/>
      <c r="F8" s="357"/>
      <c r="G8" s="357"/>
      <c r="H8" s="524"/>
      <c r="I8" s="524"/>
      <c r="J8" s="331"/>
      <c r="K8" s="331"/>
      <c r="L8" s="331"/>
      <c r="M8" s="331"/>
      <c r="N8" s="928"/>
      <c r="O8" s="524"/>
      <c r="P8" s="331"/>
      <c r="Q8" s="331"/>
      <c r="R8" s="331"/>
      <c r="S8" s="331"/>
      <c r="T8" s="331"/>
      <c r="U8" s="524"/>
      <c r="V8" s="331"/>
      <c r="W8" s="331"/>
      <c r="X8" s="331"/>
      <c r="Y8" s="331"/>
      <c r="Z8" s="331"/>
      <c r="AA8" s="331"/>
      <c r="AB8" s="331"/>
      <c r="AC8" s="331"/>
      <c r="AD8" s="331"/>
      <c r="AE8" s="331"/>
      <c r="AF8" s="331"/>
      <c r="AG8" s="331"/>
      <c r="AH8" s="331"/>
      <c r="AI8" s="331"/>
      <c r="AJ8" s="331"/>
      <c r="AK8" s="331"/>
      <c r="AL8" s="331"/>
      <c r="AM8" s="331"/>
      <c r="AN8" s="331"/>
      <c r="AO8" s="144"/>
      <c r="AP8" s="143"/>
      <c r="AR8" s="360" t="s">
        <v>228</v>
      </c>
      <c r="AS8" s="115">
        <f ca="1">AS71</f>
        <v>11870109.873198416</v>
      </c>
      <c r="AU8" s="1108" t="s">
        <v>31</v>
      </c>
      <c r="AV8" s="1109">
        <f>AL7</f>
        <v>46022</v>
      </c>
      <c r="AW8" s="1109">
        <f>EOMONTH(AV8,12)</f>
        <v>46387</v>
      </c>
      <c r="AX8" s="1109"/>
      <c r="AY8" s="1109">
        <f>EOMONTH(AW8,12)</f>
        <v>46752</v>
      </c>
      <c r="AZ8" s="1109">
        <f t="shared" ref="AZ8:BG8" si="11">EOMONTH(AY8,12)</f>
        <v>47118</v>
      </c>
      <c r="BA8" s="1109">
        <f t="shared" si="11"/>
        <v>47483</v>
      </c>
      <c r="BB8" s="1109">
        <f t="shared" si="11"/>
        <v>47848</v>
      </c>
      <c r="BC8" s="1109">
        <f t="shared" si="11"/>
        <v>48213</v>
      </c>
      <c r="BD8" s="1109">
        <f t="shared" si="11"/>
        <v>48579</v>
      </c>
      <c r="BE8" s="1109">
        <f t="shared" si="11"/>
        <v>48944</v>
      </c>
      <c r="BF8" s="1109">
        <f t="shared" si="11"/>
        <v>49309</v>
      </c>
      <c r="BG8" s="1110">
        <f t="shared" si="11"/>
        <v>49674</v>
      </c>
      <c r="BI8" s="9" t="s">
        <v>34</v>
      </c>
      <c r="BJ8" s="1111">
        <f>BJ6+BJ7</f>
        <v>801032.8599999994</v>
      </c>
      <c r="BK8" s="1103">
        <f>BJ8/SF</f>
        <v>42.712640503359253</v>
      </c>
      <c r="BM8" s="9" t="s">
        <v>34</v>
      </c>
      <c r="BN8" s="89">
        <f ca="1">BN6+BN7</f>
        <v>2268662.6361319823</v>
      </c>
      <c r="BO8" s="1103">
        <f ca="1">BN8/$AS$6</f>
        <v>120.96953375983696</v>
      </c>
      <c r="BQ8" s="759" t="s">
        <v>31</v>
      </c>
      <c r="BR8" s="760">
        <f>AN7</f>
        <v>46081</v>
      </c>
      <c r="BS8" s="760">
        <f>EOMONTH(BR8,12)</f>
        <v>46446</v>
      </c>
      <c r="BT8" s="760">
        <f>EOMONTH(BS8,12)</f>
        <v>46812</v>
      </c>
      <c r="BU8" s="760">
        <f>EOMONTH(BT8,12)</f>
        <v>47177</v>
      </c>
      <c r="BV8" s="760">
        <f>EOMONTH(BU8,12)</f>
        <v>47542</v>
      </c>
      <c r="BW8" s="761">
        <f>EOMONTH(BV8,12)</f>
        <v>47907</v>
      </c>
    </row>
    <row r="9" spans="2:75" x14ac:dyDescent="0.35">
      <c r="B9" s="103" t="s">
        <v>553</v>
      </c>
      <c r="C9" s="580">
        <f>Budget!S24</f>
        <v>0.64245855309343336</v>
      </c>
      <c r="E9" s="145"/>
      <c r="F9" s="357"/>
      <c r="G9" s="357"/>
      <c r="H9" s="524"/>
      <c r="I9" s="524"/>
      <c r="J9" s="331"/>
      <c r="K9" s="331"/>
      <c r="L9" s="928"/>
      <c r="M9" s="331"/>
      <c r="N9" s="331"/>
      <c r="O9" s="524"/>
      <c r="P9" s="331"/>
      <c r="Q9" s="331"/>
      <c r="R9" s="331"/>
      <c r="S9" s="331"/>
      <c r="T9" s="331"/>
      <c r="U9" s="524"/>
      <c r="V9" s="331"/>
      <c r="W9" s="331"/>
      <c r="X9" s="331"/>
      <c r="Y9" s="331"/>
      <c r="Z9" s="331"/>
      <c r="AA9" s="331"/>
      <c r="AB9" s="331"/>
      <c r="AC9" s="331"/>
      <c r="AD9" s="331"/>
      <c r="AE9" s="331"/>
      <c r="AF9" s="331"/>
      <c r="AG9" s="331"/>
      <c r="AH9" s="331"/>
      <c r="AI9" s="331"/>
      <c r="AJ9" s="331"/>
      <c r="AK9" s="331"/>
      <c r="AL9" s="331"/>
      <c r="AM9" s="331"/>
      <c r="AN9" s="331"/>
      <c r="AO9" s="144"/>
      <c r="AP9" s="143"/>
      <c r="AR9" s="360" t="s">
        <v>462</v>
      </c>
      <c r="AS9" s="378">
        <f ca="1">AS8/AS6</f>
        <v>632.93749990393599</v>
      </c>
      <c r="AU9" s="1112"/>
      <c r="AV9" s="1113"/>
      <c r="AW9" s="1113"/>
      <c r="AX9" s="1113"/>
      <c r="AY9" s="1113"/>
      <c r="AZ9" s="1113"/>
      <c r="BA9" s="1113"/>
      <c r="BB9" s="1113"/>
      <c r="BC9" s="1113"/>
      <c r="BD9" s="1113"/>
      <c r="BE9" s="1113"/>
      <c r="BF9" s="1113"/>
      <c r="BG9" s="1114"/>
      <c r="BI9" s="9"/>
      <c r="BJ9" s="2"/>
      <c r="BK9" s="30"/>
      <c r="BM9" s="9"/>
      <c r="BN9" s="89"/>
      <c r="BO9" s="1103"/>
      <c r="BQ9" s="360"/>
      <c r="BR9" s="739"/>
      <c r="BS9" s="739"/>
      <c r="BT9" s="739"/>
      <c r="BU9" s="739"/>
      <c r="BV9" s="739"/>
      <c r="BW9" s="762"/>
    </row>
    <row r="10" spans="2:75" x14ac:dyDescent="0.35">
      <c r="B10" s="9" t="s">
        <v>739</v>
      </c>
      <c r="C10" s="390">
        <f>'Offering Memorandum'!BG4+'Offering Memorandum'!BH4+'Offering Memorandum'!BI4+'Offering Memorandum'!BJ4</f>
        <v>2.2599999999999999E-2</v>
      </c>
      <c r="E10" s="1112" t="s">
        <v>189</v>
      </c>
      <c r="F10" s="357"/>
      <c r="G10" s="357"/>
      <c r="H10" s="524"/>
      <c r="I10" s="793">
        <f t="shared" ref="I10:AL10" si="12">I12+I11</f>
        <v>52850.495268817205</v>
      </c>
      <c r="J10" s="793">
        <f t="shared" si="12"/>
        <v>70436.91333333333</v>
      </c>
      <c r="K10" s="793">
        <f t="shared" si="12"/>
        <v>70436.91333333333</v>
      </c>
      <c r="L10" s="793">
        <f t="shared" si="12"/>
        <v>70436.91333333333</v>
      </c>
      <c r="M10" s="793">
        <f t="shared" si="12"/>
        <v>70436.91333333333</v>
      </c>
      <c r="N10" s="793">
        <f t="shared" si="12"/>
        <v>25005.333333333332</v>
      </c>
      <c r="O10" s="793">
        <f t="shared" si="12"/>
        <v>25005.333333333332</v>
      </c>
      <c r="P10" s="793">
        <f t="shared" si="12"/>
        <v>80387.313185823878</v>
      </c>
      <c r="Q10" s="793">
        <f t="shared" si="12"/>
        <v>80387.313185823878</v>
      </c>
      <c r="R10" s="793">
        <f t="shared" si="12"/>
        <v>80387.313185823878</v>
      </c>
      <c r="S10" s="793">
        <f t="shared" si="12"/>
        <v>80387.313185823878</v>
      </c>
      <c r="T10" s="793">
        <f t="shared" si="12"/>
        <v>80387.313185823878</v>
      </c>
      <c r="U10" s="793">
        <f t="shared" si="12"/>
        <v>80387.313185823878</v>
      </c>
      <c r="V10" s="793">
        <f t="shared" si="12"/>
        <v>80887.419852490537</v>
      </c>
      <c r="W10" s="793">
        <f t="shared" si="12"/>
        <v>80887.419852490537</v>
      </c>
      <c r="X10" s="793">
        <f t="shared" si="12"/>
        <v>80887.419852490537</v>
      </c>
      <c r="Y10" s="793">
        <f t="shared" si="12"/>
        <v>80887.419852490537</v>
      </c>
      <c r="Z10" s="793">
        <f t="shared" si="12"/>
        <v>25505.439999999999</v>
      </c>
      <c r="AA10" s="793">
        <f t="shared" si="12"/>
        <v>81995.059449540349</v>
      </c>
      <c r="AB10" s="793">
        <f t="shared" si="12"/>
        <v>81995.059449540349</v>
      </c>
      <c r="AC10" s="793">
        <f t="shared" si="12"/>
        <v>81995.059449540349</v>
      </c>
      <c r="AD10" s="793">
        <f t="shared" si="12"/>
        <v>81995.059449540349</v>
      </c>
      <c r="AE10" s="793">
        <f t="shared" si="12"/>
        <v>81995.059449540349</v>
      </c>
      <c r="AF10" s="793">
        <f t="shared" si="12"/>
        <v>81995.059449540349</v>
      </c>
      <c r="AG10" s="793">
        <f t="shared" si="12"/>
        <v>81995.059449540349</v>
      </c>
      <c r="AH10" s="793">
        <f t="shared" si="12"/>
        <v>82505.168249540351</v>
      </c>
      <c r="AI10" s="793">
        <f t="shared" si="12"/>
        <v>82505.168249540351</v>
      </c>
      <c r="AJ10" s="793">
        <f t="shared" si="12"/>
        <v>82505.168249540351</v>
      </c>
      <c r="AK10" s="793">
        <f t="shared" si="12"/>
        <v>82505.168249540351</v>
      </c>
      <c r="AL10" s="793">
        <f t="shared" si="12"/>
        <v>26015.5488</v>
      </c>
      <c r="AM10" s="795">
        <v>0</v>
      </c>
      <c r="AN10" s="795">
        <v>0</v>
      </c>
      <c r="AO10" s="31">
        <f t="shared" ref="AO10:AO13" si="13">SUM(H10:AN10)</f>
        <v>2145989.4517386667</v>
      </c>
      <c r="AP10" s="32">
        <f t="shared" ref="AP10:AP13" si="14">+AO10/SF</f>
        <v>114.42835937606201</v>
      </c>
      <c r="AR10" s="360" t="s">
        <v>191</v>
      </c>
      <c r="AS10" s="863">
        <v>15.25</v>
      </c>
      <c r="AU10" s="34" t="s">
        <v>189</v>
      </c>
      <c r="AV10" s="1113"/>
      <c r="AW10" s="364">
        <f>AW12+AW11</f>
        <v>992649.33029914449</v>
      </c>
      <c r="AX10" s="364"/>
      <c r="AY10" s="364">
        <f t="shared" ref="AY10:BG10" si="15">AY12+AY11</f>
        <v>1012502.3169051274</v>
      </c>
      <c r="AZ10" s="364">
        <f t="shared" si="15"/>
        <v>1032752.3632432299</v>
      </c>
      <c r="BA10" s="364">
        <f t="shared" si="15"/>
        <v>1053407.4105080946</v>
      </c>
      <c r="BB10" s="364">
        <f t="shared" si="15"/>
        <v>1074475.5587182564</v>
      </c>
      <c r="BC10" s="364">
        <f t="shared" si="15"/>
        <v>1095965.0698926216</v>
      </c>
      <c r="BD10" s="364">
        <f t="shared" si="15"/>
        <v>1117884.371290474</v>
      </c>
      <c r="BE10" s="364">
        <f t="shared" si="15"/>
        <v>1140242.0587162834</v>
      </c>
      <c r="BF10" s="364">
        <f t="shared" si="15"/>
        <v>1163046.8998906091</v>
      </c>
      <c r="BG10" s="365">
        <f t="shared" si="15"/>
        <v>1186307.8378884213</v>
      </c>
      <c r="BI10" s="9" t="s">
        <v>32</v>
      </c>
      <c r="BJ10" s="72">
        <f>F61</f>
        <v>8.9599493145942719E-2</v>
      </c>
      <c r="BK10" s="1103"/>
      <c r="BM10" s="9" t="s">
        <v>32</v>
      </c>
      <c r="BN10" s="72">
        <f ca="1">BB49</f>
        <v>0.10594725198855337</v>
      </c>
      <c r="BO10" s="30"/>
      <c r="BQ10" s="360" t="s">
        <v>467</v>
      </c>
      <c r="BR10" s="763">
        <f>BR24</f>
        <v>200000</v>
      </c>
      <c r="BS10" s="739"/>
      <c r="BT10" s="739"/>
      <c r="BU10" s="739"/>
      <c r="BV10" s="739"/>
      <c r="BW10" s="762"/>
    </row>
    <row r="11" spans="2:75" ht="15" thickBot="1" x14ac:dyDescent="0.4">
      <c r="B11" s="9" t="s">
        <v>742</v>
      </c>
      <c r="C11" s="67">
        <f>'Offering Memorandum'!BM4</f>
        <v>4.1099999999999998E-2</v>
      </c>
      <c r="E11" s="1112" t="s">
        <v>200</v>
      </c>
      <c r="F11" s="357"/>
      <c r="G11" s="357"/>
      <c r="H11" s="524"/>
      <c r="I11" s="793">
        <f>AS19*SF/12</f>
        <v>25005.333333333332</v>
      </c>
      <c r="J11" s="793">
        <f>I11</f>
        <v>25005.333333333332</v>
      </c>
      <c r="K11" s="793">
        <f t="shared" ref="K11:U12" si="16">J11</f>
        <v>25005.333333333332</v>
      </c>
      <c r="L11" s="793">
        <f t="shared" si="16"/>
        <v>25005.333333333332</v>
      </c>
      <c r="M11" s="793">
        <f t="shared" si="16"/>
        <v>25005.333333333332</v>
      </c>
      <c r="N11" s="793">
        <f t="shared" si="16"/>
        <v>25005.333333333332</v>
      </c>
      <c r="O11" s="793">
        <f t="shared" si="16"/>
        <v>25005.333333333332</v>
      </c>
      <c r="P11" s="793">
        <f t="shared" si="16"/>
        <v>25005.333333333332</v>
      </c>
      <c r="Q11" s="793">
        <f t="shared" si="16"/>
        <v>25005.333333333332</v>
      </c>
      <c r="R11" s="793">
        <f t="shared" si="16"/>
        <v>25005.333333333332</v>
      </c>
      <c r="S11" s="793">
        <f t="shared" si="16"/>
        <v>25005.333333333332</v>
      </c>
      <c r="T11" s="793">
        <f t="shared" si="16"/>
        <v>25005.333333333332</v>
      </c>
      <c r="U11" s="793">
        <f t="shared" si="16"/>
        <v>25005.333333333332</v>
      </c>
      <c r="V11" s="793">
        <f>J11*1.02</f>
        <v>25505.439999999999</v>
      </c>
      <c r="W11" s="793">
        <f t="shared" ref="W11:AL11" si="17">K11*1.02</f>
        <v>25505.439999999999</v>
      </c>
      <c r="X11" s="793">
        <f t="shared" si="17"/>
        <v>25505.439999999999</v>
      </c>
      <c r="Y11" s="793">
        <f t="shared" si="17"/>
        <v>25505.439999999999</v>
      </c>
      <c r="Z11" s="793">
        <f t="shared" si="17"/>
        <v>25505.439999999999</v>
      </c>
      <c r="AA11" s="793">
        <f t="shared" si="17"/>
        <v>25505.439999999999</v>
      </c>
      <c r="AB11" s="793">
        <f t="shared" si="17"/>
        <v>25505.439999999999</v>
      </c>
      <c r="AC11" s="793">
        <f t="shared" si="17"/>
        <v>25505.439999999999</v>
      </c>
      <c r="AD11" s="793">
        <f t="shared" si="17"/>
        <v>25505.439999999999</v>
      </c>
      <c r="AE11" s="793">
        <f t="shared" si="17"/>
        <v>25505.439999999999</v>
      </c>
      <c r="AF11" s="793">
        <f t="shared" si="17"/>
        <v>25505.439999999999</v>
      </c>
      <c r="AG11" s="793">
        <f t="shared" si="17"/>
        <v>25505.439999999999</v>
      </c>
      <c r="AH11" s="793">
        <f t="shared" si="17"/>
        <v>26015.5488</v>
      </c>
      <c r="AI11" s="793">
        <f t="shared" si="17"/>
        <v>26015.5488</v>
      </c>
      <c r="AJ11" s="793">
        <f t="shared" si="17"/>
        <v>26015.5488</v>
      </c>
      <c r="AK11" s="793">
        <f t="shared" si="17"/>
        <v>26015.5488</v>
      </c>
      <c r="AL11" s="793">
        <f t="shared" si="17"/>
        <v>26015.5488</v>
      </c>
      <c r="AM11" s="795">
        <v>0</v>
      </c>
      <c r="AN11" s="795">
        <v>0</v>
      </c>
      <c r="AO11" s="31">
        <f t="shared" si="13"/>
        <v>761212.357333333</v>
      </c>
      <c r="AP11" s="32">
        <f t="shared" si="14"/>
        <v>40.589333333333315</v>
      </c>
      <c r="AR11" s="9" t="s">
        <v>229</v>
      </c>
      <c r="AS11" s="555">
        <v>2.5000000000000001E-3</v>
      </c>
      <c r="AU11" s="34" t="s">
        <v>200</v>
      </c>
      <c r="AV11" s="1113"/>
      <c r="AW11" s="364">
        <f>AS19*AS6</f>
        <v>300064</v>
      </c>
      <c r="AX11" s="364"/>
      <c r="AY11" s="364">
        <f>AW11*(1+$AS$20)</f>
        <v>306065.28000000003</v>
      </c>
      <c r="AZ11" s="364">
        <f t="shared" ref="AZ11:BG11" si="18">AY11*(1+$AS$20)</f>
        <v>312186.58560000005</v>
      </c>
      <c r="BA11" s="364">
        <f t="shared" si="18"/>
        <v>318430.31731200003</v>
      </c>
      <c r="BB11" s="364">
        <f t="shared" si="18"/>
        <v>324798.92365824006</v>
      </c>
      <c r="BC11" s="364">
        <f t="shared" si="18"/>
        <v>331294.90213140484</v>
      </c>
      <c r="BD11" s="364">
        <f t="shared" si="18"/>
        <v>337920.80017403292</v>
      </c>
      <c r="BE11" s="364">
        <f t="shared" si="18"/>
        <v>344679.21617751359</v>
      </c>
      <c r="BF11" s="364">
        <f t="shared" si="18"/>
        <v>351572.80050106387</v>
      </c>
      <c r="BG11" s="365">
        <f t="shared" si="18"/>
        <v>358604.25651108514</v>
      </c>
      <c r="BI11" s="71" t="s">
        <v>29</v>
      </c>
      <c r="BJ11" s="1115">
        <f>BJ8/-BJ7+1</f>
        <v>1.2056383681260932</v>
      </c>
      <c r="BK11" s="1116"/>
      <c r="BM11" s="9" t="s">
        <v>37</v>
      </c>
      <c r="BN11" s="1117">
        <f ca="1">BN8/-BN7+1</f>
        <v>1.5460685128725624</v>
      </c>
      <c r="BO11" s="30"/>
      <c r="BQ11" s="360" t="s">
        <v>231</v>
      </c>
      <c r="BR11" s="763">
        <f ca="1">'Property CF'!$AS$8*$BR$25</f>
        <v>237402.19746396833</v>
      </c>
      <c r="BS11" s="763">
        <v>0</v>
      </c>
      <c r="BT11" s="763">
        <v>0</v>
      </c>
      <c r="BU11" s="763">
        <v>0</v>
      </c>
      <c r="BV11" s="763">
        <v>0</v>
      </c>
      <c r="BW11" s="115">
        <v>0</v>
      </c>
    </row>
    <row r="12" spans="2:75" ht="15" thickBot="1" x14ac:dyDescent="0.4">
      <c r="B12" s="9" t="s">
        <v>330</v>
      </c>
      <c r="C12" s="67">
        <f>C10+C11</f>
        <v>6.3699999999999993E-2</v>
      </c>
      <c r="E12" s="145" t="s">
        <v>262</v>
      </c>
      <c r="F12" s="357"/>
      <c r="G12" s="357"/>
      <c r="H12" s="524"/>
      <c r="I12" s="795">
        <f>'Offering Memorandum'!BA5/12*(((_xlfn.DAYS(I7,H7-1))/_xlfn.DAYS(I7,EOMONTH(I7,-1))))</f>
        <v>27845.161935483869</v>
      </c>
      <c r="J12" s="793">
        <f>'Offering Memorandum'!BA5/12</f>
        <v>45431.579999999994</v>
      </c>
      <c r="K12" s="793">
        <f t="shared" ref="K12:M12" si="19">J12</f>
        <v>45431.579999999994</v>
      </c>
      <c r="L12" s="793">
        <f t="shared" si="19"/>
        <v>45431.579999999994</v>
      </c>
      <c r="M12" s="793">
        <f t="shared" si="19"/>
        <v>45431.579999999994</v>
      </c>
      <c r="N12" s="1195">
        <v>0</v>
      </c>
      <c r="O12" s="1195">
        <f t="shared" si="16"/>
        <v>0</v>
      </c>
      <c r="P12" s="793">
        <f>Budget!E33/12</f>
        <v>55381.979852490542</v>
      </c>
      <c r="Q12" s="793">
        <f>P12</f>
        <v>55381.979852490542</v>
      </c>
      <c r="R12" s="793">
        <f t="shared" si="16"/>
        <v>55381.979852490542</v>
      </c>
      <c r="S12" s="793">
        <f t="shared" si="16"/>
        <v>55381.979852490542</v>
      </c>
      <c r="T12" s="793">
        <f t="shared" si="16"/>
        <v>55381.979852490542</v>
      </c>
      <c r="U12" s="793">
        <f>T12</f>
        <v>55381.979852490542</v>
      </c>
      <c r="V12" s="793">
        <f t="shared" ref="V12:Y12" si="20">U12</f>
        <v>55381.979852490542</v>
      </c>
      <c r="W12" s="793">
        <f t="shared" si="20"/>
        <v>55381.979852490542</v>
      </c>
      <c r="X12" s="793">
        <f t="shared" si="20"/>
        <v>55381.979852490542</v>
      </c>
      <c r="Y12" s="793">
        <f t="shared" si="20"/>
        <v>55381.979852490542</v>
      </c>
      <c r="Z12" s="1195">
        <v>0</v>
      </c>
      <c r="AA12" s="793">
        <f>(Y12)*(1+$AS$13)</f>
        <v>56489.619449540354</v>
      </c>
      <c r="AB12" s="793">
        <f>AA12</f>
        <v>56489.619449540354</v>
      </c>
      <c r="AC12" s="793">
        <f t="shared" ref="AC12:AK12" si="21">AB12</f>
        <v>56489.619449540354</v>
      </c>
      <c r="AD12" s="793">
        <f t="shared" si="21"/>
        <v>56489.619449540354</v>
      </c>
      <c r="AE12" s="793">
        <f t="shared" si="21"/>
        <v>56489.619449540354</v>
      </c>
      <c r="AF12" s="793">
        <f t="shared" si="21"/>
        <v>56489.619449540354</v>
      </c>
      <c r="AG12" s="793">
        <f t="shared" si="21"/>
        <v>56489.619449540354</v>
      </c>
      <c r="AH12" s="793">
        <f t="shared" si="21"/>
        <v>56489.619449540354</v>
      </c>
      <c r="AI12" s="793">
        <f t="shared" si="21"/>
        <v>56489.619449540354</v>
      </c>
      <c r="AJ12" s="793">
        <f t="shared" si="21"/>
        <v>56489.619449540354</v>
      </c>
      <c r="AK12" s="793">
        <f t="shared" si="21"/>
        <v>56489.619449540354</v>
      </c>
      <c r="AL12" s="1195">
        <v>0</v>
      </c>
      <c r="AM12" s="795">
        <v>0</v>
      </c>
      <c r="AN12" s="795">
        <v>0</v>
      </c>
      <c r="AO12" s="31">
        <f t="shared" si="13"/>
        <v>1384777.094405333</v>
      </c>
      <c r="AP12" s="32">
        <f t="shared" si="14"/>
        <v>73.839026042728648</v>
      </c>
      <c r="AR12" s="9" t="s">
        <v>94</v>
      </c>
      <c r="AS12" s="146">
        <v>0</v>
      </c>
      <c r="AU12" s="101" t="s">
        <v>95</v>
      </c>
      <c r="AV12" s="812"/>
      <c r="AW12" s="813">
        <f>(SUM(AA12:AL12)*(1+$AS$13))+(AK12*(1+$AS$13))*(1+$AS$13)</f>
        <v>692585.33029914449</v>
      </c>
      <c r="AX12" s="813"/>
      <c r="AY12" s="813">
        <f>AW12*(1+$AS$13)</f>
        <v>706437.03690512734</v>
      </c>
      <c r="AZ12" s="813">
        <f t="shared" ref="AZ12:BG12" si="22">AY12*(1+$AS$13)</f>
        <v>720565.77764322993</v>
      </c>
      <c r="BA12" s="813">
        <f t="shared" si="22"/>
        <v>734977.0931960945</v>
      </c>
      <c r="BB12" s="813">
        <f t="shared" si="22"/>
        <v>749676.63506001642</v>
      </c>
      <c r="BC12" s="813">
        <f t="shared" si="22"/>
        <v>764670.16776121676</v>
      </c>
      <c r="BD12" s="813">
        <f t="shared" si="22"/>
        <v>779963.57111644105</v>
      </c>
      <c r="BE12" s="813">
        <f t="shared" si="22"/>
        <v>795562.84253876982</v>
      </c>
      <c r="BF12" s="813">
        <f t="shared" si="22"/>
        <v>811474.09938954527</v>
      </c>
      <c r="BG12" s="814">
        <f t="shared" si="22"/>
        <v>827703.58137733617</v>
      </c>
      <c r="BM12" s="71" t="s">
        <v>220</v>
      </c>
      <c r="BN12" s="371">
        <f ca="1">BB47</f>
        <v>9.5691193488764537E-2</v>
      </c>
      <c r="BO12" s="1118"/>
      <c r="BQ12" s="360" t="s">
        <v>232</v>
      </c>
      <c r="BR12" s="763">
        <v>0</v>
      </c>
      <c r="BS12" s="763">
        <f>'Property CF'!AW10*$BR$26</f>
        <v>0</v>
      </c>
      <c r="BT12" s="763">
        <f>'Property CF'!AY10*$BR$26</f>
        <v>0</v>
      </c>
      <c r="BU12" s="763">
        <f>'Property CF'!AZ10*$BR$26</f>
        <v>0</v>
      </c>
      <c r="BV12" s="763">
        <f>'Property CF'!BA10*$BR$26</f>
        <v>0</v>
      </c>
      <c r="BW12" s="115">
        <f>'Property CF'!BB10*$BR$26</f>
        <v>0</v>
      </c>
    </row>
    <row r="13" spans="2:75" ht="15" thickBot="1" x14ac:dyDescent="0.4">
      <c r="B13" s="9" t="s">
        <v>74</v>
      </c>
      <c r="C13" s="115">
        <f>Budget!Q24</f>
        <v>6550000</v>
      </c>
      <c r="E13" s="145" t="s">
        <v>194</v>
      </c>
      <c r="F13" s="937" t="s">
        <v>644</v>
      </c>
      <c r="G13" s="937" t="s">
        <v>167</v>
      </c>
      <c r="H13" s="524"/>
      <c r="I13" s="795">
        <f t="shared" ref="I13:AL13" si="23">I10*$BR$27</f>
        <v>1057.009905376344</v>
      </c>
      <c r="J13" s="795">
        <f t="shared" si="23"/>
        <v>1408.7382666666667</v>
      </c>
      <c r="K13" s="795">
        <f t="shared" si="23"/>
        <v>1408.7382666666667</v>
      </c>
      <c r="L13" s="795">
        <f t="shared" si="23"/>
        <v>1408.7382666666667</v>
      </c>
      <c r="M13" s="795">
        <f t="shared" si="23"/>
        <v>1408.7382666666667</v>
      </c>
      <c r="N13" s="795">
        <f t="shared" si="23"/>
        <v>500.10666666666663</v>
      </c>
      <c r="O13" s="795">
        <f t="shared" si="23"/>
        <v>500.10666666666663</v>
      </c>
      <c r="P13" s="795">
        <f t="shared" si="23"/>
        <v>1607.7462637164776</v>
      </c>
      <c r="Q13" s="795">
        <f t="shared" si="23"/>
        <v>1607.7462637164776</v>
      </c>
      <c r="R13" s="795">
        <f t="shared" si="23"/>
        <v>1607.7462637164776</v>
      </c>
      <c r="S13" s="795">
        <f t="shared" si="23"/>
        <v>1607.7462637164776</v>
      </c>
      <c r="T13" s="795">
        <f t="shared" si="23"/>
        <v>1607.7462637164776</v>
      </c>
      <c r="U13" s="795">
        <f t="shared" si="23"/>
        <v>1607.7462637164776</v>
      </c>
      <c r="V13" s="795">
        <f t="shared" si="23"/>
        <v>1617.7483970498108</v>
      </c>
      <c r="W13" s="795">
        <f t="shared" si="23"/>
        <v>1617.7483970498108</v>
      </c>
      <c r="X13" s="795">
        <f t="shared" si="23"/>
        <v>1617.7483970498108</v>
      </c>
      <c r="Y13" s="795">
        <f t="shared" si="23"/>
        <v>1617.7483970498108</v>
      </c>
      <c r="Z13" s="795">
        <f t="shared" si="23"/>
        <v>510.10879999999997</v>
      </c>
      <c r="AA13" s="795">
        <f t="shared" si="23"/>
        <v>1639.901188990807</v>
      </c>
      <c r="AB13" s="795">
        <f t="shared" si="23"/>
        <v>1639.901188990807</v>
      </c>
      <c r="AC13" s="795">
        <f t="shared" si="23"/>
        <v>1639.901188990807</v>
      </c>
      <c r="AD13" s="795">
        <f t="shared" si="23"/>
        <v>1639.901188990807</v>
      </c>
      <c r="AE13" s="795">
        <f t="shared" si="23"/>
        <v>1639.901188990807</v>
      </c>
      <c r="AF13" s="795">
        <f t="shared" si="23"/>
        <v>1639.901188990807</v>
      </c>
      <c r="AG13" s="795">
        <f t="shared" si="23"/>
        <v>1639.901188990807</v>
      </c>
      <c r="AH13" s="795">
        <f t="shared" si="23"/>
        <v>1650.103364990807</v>
      </c>
      <c r="AI13" s="795">
        <f t="shared" si="23"/>
        <v>1650.103364990807</v>
      </c>
      <c r="AJ13" s="795">
        <f t="shared" si="23"/>
        <v>1650.103364990807</v>
      </c>
      <c r="AK13" s="795">
        <f t="shared" si="23"/>
        <v>1650.103364990807</v>
      </c>
      <c r="AL13" s="795">
        <f t="shared" si="23"/>
        <v>520.31097599999998</v>
      </c>
      <c r="AM13" s="795">
        <v>0</v>
      </c>
      <c r="AN13" s="795">
        <v>0</v>
      </c>
      <c r="AO13" s="31">
        <f t="shared" si="13"/>
        <v>42919.789034773326</v>
      </c>
      <c r="AP13" s="32">
        <f t="shared" si="14"/>
        <v>2.2885671875212394</v>
      </c>
      <c r="AR13" s="9" t="s">
        <v>670</v>
      </c>
      <c r="AS13" s="555">
        <v>0.02</v>
      </c>
      <c r="AU13" s="557" t="s">
        <v>287</v>
      </c>
      <c r="AV13" s="815"/>
      <c r="AW13" s="816">
        <f t="shared" ref="AW13:BG13" si="24">AW12/SF</f>
        <v>36.930005881366348</v>
      </c>
      <c r="AX13" s="816"/>
      <c r="AY13" s="816">
        <f t="shared" si="24"/>
        <v>37.668605998993677</v>
      </c>
      <c r="AZ13" s="816">
        <f t="shared" si="24"/>
        <v>38.421978118973549</v>
      </c>
      <c r="BA13" s="816">
        <f t="shared" si="24"/>
        <v>39.190417681353019</v>
      </c>
      <c r="BB13" s="816">
        <f t="shared" si="24"/>
        <v>39.974226034980077</v>
      </c>
      <c r="BC13" s="816">
        <f t="shared" si="24"/>
        <v>40.773710555679685</v>
      </c>
      <c r="BD13" s="816">
        <f t="shared" si="24"/>
        <v>41.589184766793274</v>
      </c>
      <c r="BE13" s="816">
        <f t="shared" si="24"/>
        <v>42.420968462129139</v>
      </c>
      <c r="BF13" s="816">
        <f t="shared" si="24"/>
        <v>43.269387831371724</v>
      </c>
      <c r="BG13" s="817">
        <f t="shared" si="24"/>
        <v>44.134775587999158</v>
      </c>
      <c r="BI13" s="1284" t="s">
        <v>223</v>
      </c>
      <c r="BJ13" s="1285"/>
      <c r="BK13" s="1286"/>
      <c r="BQ13" s="360" t="s">
        <v>194</v>
      </c>
      <c r="BR13" s="763">
        <f>SUM(AO13)</f>
        <v>42919.789034773326</v>
      </c>
      <c r="BS13" s="763">
        <f ca="1">-'Property CF'!AW43</f>
        <v>10386.346139048614</v>
      </c>
      <c r="BT13" s="763">
        <f ca="1">-'Property CF'!AY43</f>
        <v>10386.346139048614</v>
      </c>
      <c r="BU13" s="763">
        <f ca="1">-'Property CF'!AZ43</f>
        <v>10386.346139048614</v>
      </c>
      <c r="BV13" s="763">
        <f ca="1">-'Property CF'!BA43</f>
        <v>10386.346139048614</v>
      </c>
      <c r="BW13" s="115">
        <f ca="1">-'Property CF'!BB43</f>
        <v>10386.346139048614</v>
      </c>
    </row>
    <row r="14" spans="2:75" ht="15" thickBot="1" x14ac:dyDescent="0.4">
      <c r="B14" s="71"/>
      <c r="C14" s="1229"/>
      <c r="E14" s="145" t="s">
        <v>540</v>
      </c>
      <c r="F14" s="357"/>
      <c r="G14" s="597" t="s">
        <v>167</v>
      </c>
      <c r="H14" s="524"/>
      <c r="I14" s="795">
        <v>0</v>
      </c>
      <c r="J14" s="795">
        <v>0</v>
      </c>
      <c r="K14" s="795">
        <v>0</v>
      </c>
      <c r="L14" s="795">
        <v>0</v>
      </c>
      <c r="M14" s="795">
        <v>0</v>
      </c>
      <c r="N14" s="795">
        <f>H19</f>
        <v>68000</v>
      </c>
      <c r="O14" s="795">
        <v>0</v>
      </c>
      <c r="P14" s="795">
        <v>0</v>
      </c>
      <c r="Q14" s="795">
        <v>0</v>
      </c>
      <c r="R14" s="795">
        <v>0</v>
      </c>
      <c r="S14" s="795">
        <v>0</v>
      </c>
      <c r="T14" s="795">
        <v>0</v>
      </c>
      <c r="U14" s="795">
        <v>0</v>
      </c>
      <c r="V14" s="795">
        <v>0</v>
      </c>
      <c r="W14" s="795">
        <v>0</v>
      </c>
      <c r="X14" s="795">
        <v>0</v>
      </c>
      <c r="Y14" s="795">
        <v>0</v>
      </c>
      <c r="Z14" s="795">
        <v>0</v>
      </c>
      <c r="AA14" s="795">
        <v>0</v>
      </c>
      <c r="AB14" s="795">
        <v>0</v>
      </c>
      <c r="AC14" s="795">
        <v>0</v>
      </c>
      <c r="AD14" s="795">
        <v>0</v>
      </c>
      <c r="AE14" s="795">
        <v>0</v>
      </c>
      <c r="AF14" s="795">
        <v>0</v>
      </c>
      <c r="AG14" s="795">
        <v>0</v>
      </c>
      <c r="AH14" s="795">
        <v>0</v>
      </c>
      <c r="AI14" s="795">
        <v>0</v>
      </c>
      <c r="AJ14" s="795">
        <v>0</v>
      </c>
      <c r="AK14" s="795">
        <v>0</v>
      </c>
      <c r="AL14" s="795">
        <v>0</v>
      </c>
      <c r="AM14" s="795">
        <v>0</v>
      </c>
      <c r="AN14" s="795">
        <v>0</v>
      </c>
      <c r="AO14" s="31">
        <f t="shared" ref="AO14" si="25">SUM(H14:AN14)</f>
        <v>68000</v>
      </c>
      <c r="AP14" s="32">
        <f t="shared" ref="AP14" si="26">+AO14/SF</f>
        <v>3.6258931427962033</v>
      </c>
      <c r="AR14" s="9" t="s">
        <v>188</v>
      </c>
      <c r="AS14" s="555">
        <v>5.9499999999999997E-2</v>
      </c>
      <c r="AU14" s="105" t="s">
        <v>93</v>
      </c>
      <c r="AV14" s="812"/>
      <c r="AW14" s="91">
        <f>AS12*AS6</f>
        <v>0</v>
      </c>
      <c r="AX14" s="91"/>
      <c r="AY14" s="91">
        <f>AW14</f>
        <v>0</v>
      </c>
      <c r="AZ14" s="91">
        <f t="shared" ref="AZ14:BG14" si="27">AY14</f>
        <v>0</v>
      </c>
      <c r="BA14" s="91">
        <f t="shared" si="27"/>
        <v>0</v>
      </c>
      <c r="BB14" s="91">
        <f t="shared" si="27"/>
        <v>0</v>
      </c>
      <c r="BC14" s="91">
        <f t="shared" si="27"/>
        <v>0</v>
      </c>
      <c r="BD14" s="91">
        <f t="shared" si="27"/>
        <v>0</v>
      </c>
      <c r="BE14" s="91">
        <f t="shared" si="27"/>
        <v>0</v>
      </c>
      <c r="BF14" s="91">
        <f t="shared" si="27"/>
        <v>0</v>
      </c>
      <c r="BG14" s="90">
        <f t="shared" si="27"/>
        <v>0</v>
      </c>
      <c r="BI14" s="95" t="s">
        <v>178</v>
      </c>
      <c r="BJ14" s="94" t="s">
        <v>40</v>
      </c>
      <c r="BK14" s="93" t="s">
        <v>39</v>
      </c>
      <c r="BM14" s="1284" t="s">
        <v>224</v>
      </c>
      <c r="BN14" s="1285"/>
      <c r="BO14" s="1286"/>
      <c r="BQ14" s="360"/>
      <c r="BR14" s="739"/>
      <c r="BS14" s="739"/>
      <c r="BT14" s="739"/>
      <c r="BU14" s="739"/>
      <c r="BV14" s="739"/>
      <c r="BW14" s="762"/>
    </row>
    <row r="15" spans="2:75" ht="15" thickBot="1" x14ac:dyDescent="0.4">
      <c r="B15" s="112" t="s">
        <v>59</v>
      </c>
      <c r="C15" s="111"/>
      <c r="D15" s="128"/>
      <c r="E15" s="145"/>
      <c r="F15" s="357"/>
      <c r="G15" s="597" t="s">
        <v>458</v>
      </c>
      <c r="H15" s="524"/>
      <c r="I15" s="524"/>
      <c r="J15" s="331"/>
      <c r="K15" s="331"/>
      <c r="L15" s="331"/>
      <c r="M15" s="331"/>
      <c r="N15" s="331"/>
      <c r="O15" s="524"/>
      <c r="P15" s="331"/>
      <c r="Q15" s="331"/>
      <c r="R15" s="331"/>
      <c r="S15" s="331"/>
      <c r="T15" s="331"/>
      <c r="U15" s="524"/>
      <c r="V15" s="331"/>
      <c r="W15" s="331"/>
      <c r="X15" s="331"/>
      <c r="Y15" s="331"/>
      <c r="Z15" s="331"/>
      <c r="AA15" s="331"/>
      <c r="AB15" s="331"/>
      <c r="AC15" s="331"/>
      <c r="AD15" s="331"/>
      <c r="AE15" s="331"/>
      <c r="AF15" s="331"/>
      <c r="AG15" s="331"/>
      <c r="AH15" s="331"/>
      <c r="AI15" s="331"/>
      <c r="AJ15" s="331"/>
      <c r="AK15" s="331"/>
      <c r="AL15" s="331"/>
      <c r="AM15" s="331"/>
      <c r="AN15" s="331"/>
      <c r="AO15" s="144"/>
      <c r="AP15" s="143"/>
      <c r="AR15" s="9" t="s">
        <v>638</v>
      </c>
      <c r="AS15" s="555">
        <v>5.8500000000000003E-2</v>
      </c>
      <c r="AU15" s="105" t="s">
        <v>505</v>
      </c>
      <c r="AV15" s="812"/>
      <c r="AW15" s="91">
        <v>0</v>
      </c>
      <c r="AX15" s="91"/>
      <c r="AY15" s="91">
        <v>0</v>
      </c>
      <c r="AZ15" s="91">
        <v>0</v>
      </c>
      <c r="BA15" s="91">
        <v>0</v>
      </c>
      <c r="BB15" s="91">
        <v>0</v>
      </c>
      <c r="BC15" s="91">
        <v>0</v>
      </c>
      <c r="BD15" s="91">
        <v>0</v>
      </c>
      <c r="BE15" s="91">
        <v>0</v>
      </c>
      <c r="BF15" s="91">
        <v>0</v>
      </c>
      <c r="BG15" s="90">
        <v>0</v>
      </c>
      <c r="BI15" s="9" t="s">
        <v>38</v>
      </c>
      <c r="BJ15" s="89">
        <f>SUM(I105:AN105)</f>
        <v>0</v>
      </c>
      <c r="BK15" s="1103">
        <f>BJ15/SF</f>
        <v>0</v>
      </c>
      <c r="BM15" s="95" t="s">
        <v>88</v>
      </c>
      <c r="BN15" s="107" t="s">
        <v>46</v>
      </c>
      <c r="BO15" s="106" t="s">
        <v>45</v>
      </c>
      <c r="BQ15" s="11" t="s">
        <v>233</v>
      </c>
      <c r="BR15" s="764">
        <f t="shared" ref="BR15:BW15" ca="1" si="28">SUM(BR10:BR13)</f>
        <v>480321.98649874161</v>
      </c>
      <c r="BS15" s="764">
        <f t="shared" ca="1" si="28"/>
        <v>10386.346139048614</v>
      </c>
      <c r="BT15" s="764">
        <f t="shared" ca="1" si="28"/>
        <v>10386.346139048614</v>
      </c>
      <c r="BU15" s="764">
        <f t="shared" ca="1" si="28"/>
        <v>10386.346139048614</v>
      </c>
      <c r="BV15" s="764">
        <f t="shared" ca="1" si="28"/>
        <v>10386.346139048614</v>
      </c>
      <c r="BW15" s="625">
        <f t="shared" ca="1" si="28"/>
        <v>10386.346139048614</v>
      </c>
    </row>
    <row r="16" spans="2:75" x14ac:dyDescent="0.35">
      <c r="B16" s="103" t="s">
        <v>70</v>
      </c>
      <c r="C16" s="109">
        <f>Budget!Q25</f>
        <v>3551440.2100000009</v>
      </c>
      <c r="E16" s="1112" t="str">
        <f>Budget!D7</f>
        <v>Site Acquisition Costs</v>
      </c>
      <c r="F16" s="358"/>
      <c r="G16" s="358"/>
      <c r="H16" s="127"/>
      <c r="I16" s="63"/>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85"/>
      <c r="AP16" s="32"/>
      <c r="AR16" s="9" t="s">
        <v>680</v>
      </c>
      <c r="AS16" s="555">
        <v>5.0000000000000001E-4</v>
      </c>
      <c r="AU16" s="105" t="s">
        <v>91</v>
      </c>
      <c r="AV16" s="812"/>
      <c r="AW16" s="91">
        <f>AW12-SUM(AW14:AW15)</f>
        <v>692585.33029914449</v>
      </c>
      <c r="AX16" s="91"/>
      <c r="AY16" s="91">
        <f t="shared" ref="AY16:BG16" si="29">AY12-SUM(AY14:AY15)</f>
        <v>706437.03690512734</v>
      </c>
      <c r="AZ16" s="91">
        <f t="shared" si="29"/>
        <v>720565.77764322993</v>
      </c>
      <c r="BA16" s="91">
        <f t="shared" si="29"/>
        <v>734977.0931960945</v>
      </c>
      <c r="BB16" s="91">
        <f t="shared" si="29"/>
        <v>749676.63506001642</v>
      </c>
      <c r="BC16" s="91">
        <f t="shared" si="29"/>
        <v>764670.16776121676</v>
      </c>
      <c r="BD16" s="91">
        <f t="shared" si="29"/>
        <v>779963.57111644105</v>
      </c>
      <c r="BE16" s="91">
        <f t="shared" si="29"/>
        <v>795562.84253876982</v>
      </c>
      <c r="BF16" s="91">
        <f t="shared" si="29"/>
        <v>811474.09938954527</v>
      </c>
      <c r="BG16" s="90">
        <f t="shared" si="29"/>
        <v>827703.58137733617</v>
      </c>
      <c r="BI16" s="9" t="s">
        <v>36</v>
      </c>
      <c r="BJ16" s="752">
        <f>H105</f>
        <v>0</v>
      </c>
      <c r="BK16" s="1103">
        <f>-BJ16/SF</f>
        <v>0</v>
      </c>
      <c r="BM16" s="103" t="s">
        <v>38</v>
      </c>
      <c r="BN16" s="140">
        <f ca="1">'JV Waterfall'!T36</f>
        <v>642320.10917514283</v>
      </c>
      <c r="BO16" s="1104">
        <f ca="1">BN16/$AS$6</f>
        <v>34.24976587262146</v>
      </c>
      <c r="BQ16" s="360"/>
      <c r="BR16" s="739"/>
      <c r="BS16" s="739"/>
      <c r="BT16" s="739"/>
      <c r="BU16" s="739"/>
      <c r="BV16" s="739"/>
      <c r="BW16" s="762"/>
    </row>
    <row r="17" spans="2:76" x14ac:dyDescent="0.35">
      <c r="B17" s="582" t="s">
        <v>555</v>
      </c>
      <c r="C17" s="104">
        <f>Budget!Q8</f>
        <v>93770</v>
      </c>
      <c r="E17" s="69" t="str">
        <f>Budget!D8</f>
        <v>Occupied Building</v>
      </c>
      <c r="F17" s="358">
        <v>0</v>
      </c>
      <c r="G17" s="358">
        <v>0</v>
      </c>
      <c r="H17" s="64">
        <f t="shared" ref="H17:Q18" si="30">IF(AND(H$5&gt;=$F17,H$5&lt;=$G17),$AO17/($G17-$F17+1),0)</f>
        <v>9700000</v>
      </c>
      <c r="I17" s="600">
        <f t="shared" si="30"/>
        <v>0</v>
      </c>
      <c r="J17" s="63">
        <f t="shared" si="30"/>
        <v>0</v>
      </c>
      <c r="K17" s="63">
        <f t="shared" si="30"/>
        <v>0</v>
      </c>
      <c r="L17" s="63">
        <f t="shared" si="30"/>
        <v>0</v>
      </c>
      <c r="M17" s="63">
        <f t="shared" si="30"/>
        <v>0</v>
      </c>
      <c r="N17" s="63">
        <f t="shared" si="30"/>
        <v>0</v>
      </c>
      <c r="O17" s="63">
        <f t="shared" si="30"/>
        <v>0</v>
      </c>
      <c r="P17" s="63">
        <f t="shared" si="30"/>
        <v>0</v>
      </c>
      <c r="Q17" s="63">
        <f t="shared" si="30"/>
        <v>0</v>
      </c>
      <c r="R17" s="63">
        <f t="shared" ref="R17:AA18" si="31">IF(AND(R$5&gt;=$F17,R$5&lt;=$G17),$AO17/($G17-$F17+1),0)</f>
        <v>0</v>
      </c>
      <c r="S17" s="63">
        <f t="shared" si="31"/>
        <v>0</v>
      </c>
      <c r="T17" s="63">
        <f t="shared" si="31"/>
        <v>0</v>
      </c>
      <c r="U17" s="63">
        <f t="shared" si="31"/>
        <v>0</v>
      </c>
      <c r="V17" s="63">
        <f t="shared" si="31"/>
        <v>0</v>
      </c>
      <c r="W17" s="63">
        <f t="shared" si="31"/>
        <v>0</v>
      </c>
      <c r="X17" s="63">
        <f t="shared" si="31"/>
        <v>0</v>
      </c>
      <c r="Y17" s="63">
        <f t="shared" si="31"/>
        <v>0</v>
      </c>
      <c r="Z17" s="63">
        <f t="shared" si="31"/>
        <v>0</v>
      </c>
      <c r="AA17" s="63">
        <f t="shared" si="31"/>
        <v>0</v>
      </c>
      <c r="AB17" s="63">
        <f t="shared" ref="AB17:AK18" si="32">IF(AND(AB$5&gt;=$F17,AB$5&lt;=$G17),$AO17/($G17-$F17+1),0)</f>
        <v>0</v>
      </c>
      <c r="AC17" s="63">
        <f t="shared" si="32"/>
        <v>0</v>
      </c>
      <c r="AD17" s="63">
        <f t="shared" si="32"/>
        <v>0</v>
      </c>
      <c r="AE17" s="63">
        <f t="shared" si="32"/>
        <v>0</v>
      </c>
      <c r="AF17" s="63">
        <f t="shared" si="32"/>
        <v>0</v>
      </c>
      <c r="AG17" s="63">
        <f t="shared" si="32"/>
        <v>0</v>
      </c>
      <c r="AH17" s="63">
        <f t="shared" si="32"/>
        <v>0</v>
      </c>
      <c r="AI17" s="63">
        <f t="shared" si="32"/>
        <v>0</v>
      </c>
      <c r="AJ17" s="63">
        <f t="shared" si="32"/>
        <v>0</v>
      </c>
      <c r="AK17" s="63">
        <f t="shared" si="32"/>
        <v>0</v>
      </c>
      <c r="AL17" s="63">
        <f t="shared" ref="AL17:AN18" si="33">IF(AND(AL$5&gt;=$F17,AL$5&lt;=$G17),$AO17/($G17-$F17+1),0)</f>
        <v>0</v>
      </c>
      <c r="AM17" s="63">
        <f t="shared" si="33"/>
        <v>0</v>
      </c>
      <c r="AN17" s="63">
        <f t="shared" si="33"/>
        <v>0</v>
      </c>
      <c r="AO17" s="85">
        <f>Budget!E8</f>
        <v>9700000</v>
      </c>
      <c r="AP17" s="32">
        <f t="shared" ref="AP17:AP18" si="34">+AO17/SF</f>
        <v>517.22299242828194</v>
      </c>
      <c r="AR17" s="9" t="s">
        <v>639</v>
      </c>
      <c r="AS17" s="575">
        <v>15</v>
      </c>
      <c r="AU17" s="818" t="s">
        <v>90</v>
      </c>
      <c r="AV17" s="819">
        <f ca="1">-AS8</f>
        <v>-11870109.873198416</v>
      </c>
      <c r="AW17" s="813">
        <f>AW16</f>
        <v>692585.33029914449</v>
      </c>
      <c r="AX17" s="813"/>
      <c r="AY17" s="813">
        <f t="shared" ref="AY17:BG17" si="35">AY16</f>
        <v>706437.03690512734</v>
      </c>
      <c r="AZ17" s="813">
        <f t="shared" si="35"/>
        <v>720565.77764322993</v>
      </c>
      <c r="BA17" s="813">
        <f t="shared" si="35"/>
        <v>734977.0931960945</v>
      </c>
      <c r="BB17" s="813">
        <f t="shared" si="35"/>
        <v>749676.63506001642</v>
      </c>
      <c r="BC17" s="813">
        <f t="shared" si="35"/>
        <v>764670.16776121676</v>
      </c>
      <c r="BD17" s="813">
        <f t="shared" si="35"/>
        <v>779963.57111644105</v>
      </c>
      <c r="BE17" s="813">
        <f t="shared" si="35"/>
        <v>795562.84253876982</v>
      </c>
      <c r="BF17" s="813">
        <f t="shared" si="35"/>
        <v>811474.09938954527</v>
      </c>
      <c r="BG17" s="814">
        <f t="shared" si="35"/>
        <v>827703.58137733617</v>
      </c>
      <c r="BI17" s="9" t="s">
        <v>34</v>
      </c>
      <c r="BJ17" s="752">
        <f>BJ15+BJ16</f>
        <v>0</v>
      </c>
      <c r="BK17" s="1103">
        <f>BJ17/SF</f>
        <v>0</v>
      </c>
      <c r="BM17" s="9" t="s">
        <v>79</v>
      </c>
      <c r="BN17" s="89">
        <f ca="1">'JV Waterfall'!T37</f>
        <v>51931.730695243066</v>
      </c>
      <c r="BO17" s="1103">
        <f ca="1">BN17/$AS$6</f>
        <v>2.7691015620797197</v>
      </c>
      <c r="BQ17" s="11" t="s">
        <v>234</v>
      </c>
      <c r="BR17" s="764">
        <f ca="1">SUM(BR15:BW15)</f>
        <v>532253.71719398478</v>
      </c>
      <c r="BS17" s="739"/>
      <c r="BT17" s="739"/>
      <c r="BU17" s="739"/>
      <c r="BV17" s="739"/>
      <c r="BW17" s="762"/>
    </row>
    <row r="18" spans="2:76" x14ac:dyDescent="0.35">
      <c r="B18" s="582" t="s">
        <v>556</v>
      </c>
      <c r="C18" s="104">
        <f>Budget!Q38</f>
        <v>200000</v>
      </c>
      <c r="E18" s="69" t="str">
        <f>Budget!D9</f>
        <v>Acquisition &amp; Development Fee</v>
      </c>
      <c r="F18" s="358">
        <v>0</v>
      </c>
      <c r="G18" s="358">
        <v>0</v>
      </c>
      <c r="H18" s="64">
        <f t="shared" si="30"/>
        <v>200000</v>
      </c>
      <c r="I18" s="600">
        <f t="shared" si="30"/>
        <v>0</v>
      </c>
      <c r="J18" s="63">
        <f t="shared" si="30"/>
        <v>0</v>
      </c>
      <c r="K18" s="63">
        <f t="shared" si="30"/>
        <v>0</v>
      </c>
      <c r="L18" s="63">
        <f t="shared" si="30"/>
        <v>0</v>
      </c>
      <c r="M18" s="63">
        <f t="shared" si="30"/>
        <v>0</v>
      </c>
      <c r="N18" s="63">
        <f t="shared" si="30"/>
        <v>0</v>
      </c>
      <c r="O18" s="63">
        <f t="shared" si="30"/>
        <v>0</v>
      </c>
      <c r="P18" s="63">
        <f t="shared" si="30"/>
        <v>0</v>
      </c>
      <c r="Q18" s="63">
        <f t="shared" si="30"/>
        <v>0</v>
      </c>
      <c r="R18" s="63">
        <f t="shared" si="31"/>
        <v>0</v>
      </c>
      <c r="S18" s="63">
        <f t="shared" si="31"/>
        <v>0</v>
      </c>
      <c r="T18" s="63">
        <f t="shared" si="31"/>
        <v>0</v>
      </c>
      <c r="U18" s="63">
        <f t="shared" si="31"/>
        <v>0</v>
      </c>
      <c r="V18" s="63">
        <f t="shared" si="31"/>
        <v>0</v>
      </c>
      <c r="W18" s="63">
        <f t="shared" si="31"/>
        <v>0</v>
      </c>
      <c r="X18" s="63">
        <f t="shared" si="31"/>
        <v>0</v>
      </c>
      <c r="Y18" s="63">
        <f t="shared" si="31"/>
        <v>0</v>
      </c>
      <c r="Z18" s="63">
        <f t="shared" si="31"/>
        <v>0</v>
      </c>
      <c r="AA18" s="63">
        <f t="shared" si="31"/>
        <v>0</v>
      </c>
      <c r="AB18" s="63">
        <f t="shared" si="32"/>
        <v>0</v>
      </c>
      <c r="AC18" s="63">
        <f t="shared" si="32"/>
        <v>0</v>
      </c>
      <c r="AD18" s="63">
        <f t="shared" si="32"/>
        <v>0</v>
      </c>
      <c r="AE18" s="63">
        <f t="shared" si="32"/>
        <v>0</v>
      </c>
      <c r="AF18" s="63">
        <f t="shared" si="32"/>
        <v>0</v>
      </c>
      <c r="AG18" s="63">
        <f t="shared" si="32"/>
        <v>0</v>
      </c>
      <c r="AH18" s="63">
        <f t="shared" si="32"/>
        <v>0</v>
      </c>
      <c r="AI18" s="63">
        <f t="shared" si="32"/>
        <v>0</v>
      </c>
      <c r="AJ18" s="63">
        <f t="shared" si="32"/>
        <v>0</v>
      </c>
      <c r="AK18" s="63">
        <f t="shared" si="32"/>
        <v>0</v>
      </c>
      <c r="AL18" s="63">
        <f t="shared" si="33"/>
        <v>0</v>
      </c>
      <c r="AM18" s="63">
        <f t="shared" si="33"/>
        <v>0</v>
      </c>
      <c r="AN18" s="63">
        <f t="shared" si="33"/>
        <v>0</v>
      </c>
      <c r="AO18" s="85">
        <f>Budget!E9</f>
        <v>200000</v>
      </c>
      <c r="AP18" s="32">
        <f t="shared" si="34"/>
        <v>10.664391596459422</v>
      </c>
      <c r="AR18" s="9" t="s">
        <v>640</v>
      </c>
      <c r="AS18" s="575">
        <v>5</v>
      </c>
      <c r="AU18" s="9"/>
      <c r="AV18" s="88"/>
      <c r="AW18" s="91"/>
      <c r="AX18" s="91"/>
      <c r="AY18" s="91"/>
      <c r="AZ18" s="91"/>
      <c r="BA18" s="91"/>
      <c r="BB18" s="91"/>
      <c r="BC18" s="91"/>
      <c r="BD18" s="91"/>
      <c r="BE18" s="91"/>
      <c r="BF18" s="91"/>
      <c r="BG18" s="90"/>
      <c r="BI18" s="9"/>
      <c r="BJ18" s="2"/>
      <c r="BK18" s="30"/>
      <c r="BM18" s="9" t="s">
        <v>36</v>
      </c>
      <c r="BN18" s="89">
        <f ca="1">BN47</f>
        <v>-415453.84556194453</v>
      </c>
      <c r="BO18" s="1103">
        <f ca="1">BN18/-$AS$6</f>
        <v>22.152812496637758</v>
      </c>
      <c r="BQ18" s="360"/>
      <c r="BR18" s="739"/>
      <c r="BS18" s="739"/>
      <c r="BT18" s="739"/>
      <c r="BU18" s="739"/>
      <c r="BV18" s="739"/>
      <c r="BW18" s="762"/>
    </row>
    <row r="19" spans="2:76" x14ac:dyDescent="0.35">
      <c r="B19" s="9" t="s">
        <v>296</v>
      </c>
      <c r="C19" s="142">
        <f>C16+C17+C18</f>
        <v>3845210.2100000009</v>
      </c>
      <c r="E19" s="69" t="str">
        <f>Budget!D10</f>
        <v>Lender Rent Escrow</v>
      </c>
      <c r="F19" s="358">
        <v>0</v>
      </c>
      <c r="G19" s="358">
        <v>0</v>
      </c>
      <c r="H19" s="64">
        <f t="shared" ref="H19:Q22" si="36">IF(AND(H$5&gt;=$F19,H$5&lt;=$G19),$AO19/($G19-$F19+1),0)</f>
        <v>68000</v>
      </c>
      <c r="I19" s="600">
        <f t="shared" si="36"/>
        <v>0</v>
      </c>
      <c r="J19" s="63">
        <f t="shared" si="36"/>
        <v>0</v>
      </c>
      <c r="K19" s="63">
        <f t="shared" si="36"/>
        <v>0</v>
      </c>
      <c r="L19" s="63">
        <f t="shared" si="36"/>
        <v>0</v>
      </c>
      <c r="M19" s="63">
        <f t="shared" si="36"/>
        <v>0</v>
      </c>
      <c r="N19" s="63">
        <f t="shared" si="36"/>
        <v>0</v>
      </c>
      <c r="O19" s="63">
        <f t="shared" si="36"/>
        <v>0</v>
      </c>
      <c r="P19" s="63">
        <f t="shared" si="36"/>
        <v>0</v>
      </c>
      <c r="Q19" s="63">
        <f t="shared" si="36"/>
        <v>0</v>
      </c>
      <c r="R19" s="63">
        <f t="shared" ref="R19:AA22" si="37">IF(AND(R$5&gt;=$F19,R$5&lt;=$G19),$AO19/($G19-$F19+1),0)</f>
        <v>0</v>
      </c>
      <c r="S19" s="63">
        <f t="shared" si="37"/>
        <v>0</v>
      </c>
      <c r="T19" s="63">
        <f t="shared" si="37"/>
        <v>0</v>
      </c>
      <c r="U19" s="63">
        <f t="shared" si="37"/>
        <v>0</v>
      </c>
      <c r="V19" s="63">
        <f t="shared" si="37"/>
        <v>0</v>
      </c>
      <c r="W19" s="63">
        <f t="shared" si="37"/>
        <v>0</v>
      </c>
      <c r="X19" s="63">
        <f t="shared" si="37"/>
        <v>0</v>
      </c>
      <c r="Y19" s="63">
        <f t="shared" si="37"/>
        <v>0</v>
      </c>
      <c r="Z19" s="63">
        <f t="shared" si="37"/>
        <v>0</v>
      </c>
      <c r="AA19" s="63">
        <f t="shared" si="37"/>
        <v>0</v>
      </c>
      <c r="AB19" s="63">
        <f t="shared" ref="AB19:AN22" si="38">IF(AND(AB$5&gt;=$F19,AB$5&lt;=$G19),$AO19/($G19-$F19+1),0)</f>
        <v>0</v>
      </c>
      <c r="AC19" s="63">
        <f t="shared" si="38"/>
        <v>0</v>
      </c>
      <c r="AD19" s="63">
        <f t="shared" si="38"/>
        <v>0</v>
      </c>
      <c r="AE19" s="63">
        <f t="shared" si="38"/>
        <v>0</v>
      </c>
      <c r="AF19" s="63">
        <f t="shared" si="38"/>
        <v>0</v>
      </c>
      <c r="AG19" s="63">
        <f t="shared" si="38"/>
        <v>0</v>
      </c>
      <c r="AH19" s="63">
        <f t="shared" si="38"/>
        <v>0</v>
      </c>
      <c r="AI19" s="63">
        <f t="shared" si="38"/>
        <v>0</v>
      </c>
      <c r="AJ19" s="63">
        <f t="shared" si="38"/>
        <v>0</v>
      </c>
      <c r="AK19" s="63">
        <f t="shared" si="38"/>
        <v>0</v>
      </c>
      <c r="AL19" s="63">
        <f t="shared" si="38"/>
        <v>0</v>
      </c>
      <c r="AM19" s="63">
        <f t="shared" si="38"/>
        <v>0</v>
      </c>
      <c r="AN19" s="63">
        <f t="shared" si="38"/>
        <v>0</v>
      </c>
      <c r="AO19" s="85">
        <f>Budget!E10</f>
        <v>68000</v>
      </c>
      <c r="AP19" s="32">
        <f>+AO19/SF</f>
        <v>3.6258931427962033</v>
      </c>
      <c r="AR19" s="9" t="s">
        <v>186</v>
      </c>
      <c r="AS19" s="575">
        <v>16</v>
      </c>
      <c r="AU19" s="34" t="s">
        <v>192</v>
      </c>
      <c r="AV19" s="88"/>
      <c r="AW19" s="368">
        <f>$AS$10-AW7</f>
        <v>14.25</v>
      </c>
      <c r="AX19" s="368"/>
      <c r="AY19" s="368">
        <f>$AS$10-AY7</f>
        <v>13.25</v>
      </c>
      <c r="AZ19" s="368">
        <f>$AS$10-AZ7</f>
        <v>12.25</v>
      </c>
      <c r="BA19" s="368">
        <f>$AS$10-BA7</f>
        <v>11.25</v>
      </c>
      <c r="BB19" s="368">
        <f t="shared" ref="BB19" si="39">$AS$10-BB7</f>
        <v>10.25</v>
      </c>
      <c r="BC19" s="368">
        <f>$AS$10-BC7</f>
        <v>9.25</v>
      </c>
      <c r="BD19" s="368">
        <f t="shared" ref="BD19:BG19" si="40">$AS$10-BD7</f>
        <v>8.25</v>
      </c>
      <c r="BE19" s="368">
        <f t="shared" si="40"/>
        <v>7.25</v>
      </c>
      <c r="BF19" s="368">
        <f t="shared" si="40"/>
        <v>6.25</v>
      </c>
      <c r="BG19" s="369">
        <f t="shared" si="40"/>
        <v>5.25</v>
      </c>
      <c r="BI19" s="9" t="s">
        <v>32</v>
      </c>
      <c r="BJ19" s="72">
        <f>IFERROR(F105,0)</f>
        <v>0</v>
      </c>
      <c r="BK19" s="1103"/>
      <c r="BM19" s="9" t="s">
        <v>43</v>
      </c>
      <c r="BN19" s="89">
        <f ca="1">BN16+BN17+BN18</f>
        <v>278797.99430844141</v>
      </c>
      <c r="BO19" s="1103">
        <f ca="1">BN19/$AS$6</f>
        <v>14.866054938063423</v>
      </c>
      <c r="BQ19" s="11" t="s">
        <v>235</v>
      </c>
      <c r="BR19" s="763">
        <f ca="1">BN66</f>
        <v>226866.26361319836</v>
      </c>
      <c r="BS19" s="739"/>
      <c r="BT19" s="739"/>
      <c r="BU19" s="739"/>
      <c r="BV19" s="739"/>
      <c r="BW19" s="762"/>
    </row>
    <row r="20" spans="2:76" ht="15" thickBot="1" x14ac:dyDescent="0.4">
      <c r="B20" s="9"/>
      <c r="C20" s="30"/>
      <c r="E20" s="69" t="str">
        <f>Budget!D11</f>
        <v>Closing Costs - Buyer</v>
      </c>
      <c r="F20" s="358">
        <v>0</v>
      </c>
      <c r="G20" s="358">
        <v>0</v>
      </c>
      <c r="H20" s="64">
        <f t="shared" si="36"/>
        <v>80897.209999999992</v>
      </c>
      <c r="I20" s="600">
        <f t="shared" si="36"/>
        <v>0</v>
      </c>
      <c r="J20" s="63">
        <f t="shared" si="36"/>
        <v>0</v>
      </c>
      <c r="K20" s="63">
        <f t="shared" si="36"/>
        <v>0</v>
      </c>
      <c r="L20" s="63">
        <f t="shared" si="36"/>
        <v>0</v>
      </c>
      <c r="M20" s="63">
        <f t="shared" si="36"/>
        <v>0</v>
      </c>
      <c r="N20" s="63">
        <f t="shared" si="36"/>
        <v>0</v>
      </c>
      <c r="O20" s="63">
        <f t="shared" si="36"/>
        <v>0</v>
      </c>
      <c r="P20" s="63">
        <f t="shared" si="36"/>
        <v>0</v>
      </c>
      <c r="Q20" s="63">
        <f t="shared" si="36"/>
        <v>0</v>
      </c>
      <c r="R20" s="63">
        <f t="shared" si="37"/>
        <v>0</v>
      </c>
      <c r="S20" s="63">
        <f t="shared" si="37"/>
        <v>0</v>
      </c>
      <c r="T20" s="63">
        <f t="shared" si="37"/>
        <v>0</v>
      </c>
      <c r="U20" s="63">
        <f t="shared" si="37"/>
        <v>0</v>
      </c>
      <c r="V20" s="63">
        <f t="shared" si="37"/>
        <v>0</v>
      </c>
      <c r="W20" s="63">
        <f t="shared" si="37"/>
        <v>0</v>
      </c>
      <c r="X20" s="63">
        <f t="shared" si="37"/>
        <v>0</v>
      </c>
      <c r="Y20" s="63">
        <f t="shared" si="37"/>
        <v>0</v>
      </c>
      <c r="Z20" s="63">
        <f t="shared" si="37"/>
        <v>0</v>
      </c>
      <c r="AA20" s="63">
        <f t="shared" si="37"/>
        <v>0</v>
      </c>
      <c r="AB20" s="63">
        <f t="shared" si="38"/>
        <v>0</v>
      </c>
      <c r="AC20" s="63">
        <f t="shared" si="38"/>
        <v>0</v>
      </c>
      <c r="AD20" s="63">
        <f t="shared" si="38"/>
        <v>0</v>
      </c>
      <c r="AE20" s="63">
        <f t="shared" si="38"/>
        <v>0</v>
      </c>
      <c r="AF20" s="63">
        <f t="shared" si="38"/>
        <v>0</v>
      </c>
      <c r="AG20" s="63">
        <f t="shared" si="38"/>
        <v>0</v>
      </c>
      <c r="AH20" s="63">
        <f t="shared" si="38"/>
        <v>0</v>
      </c>
      <c r="AI20" s="63">
        <f t="shared" si="38"/>
        <v>0</v>
      </c>
      <c r="AJ20" s="63">
        <f t="shared" si="38"/>
        <v>0</v>
      </c>
      <c r="AK20" s="63">
        <f t="shared" si="38"/>
        <v>0</v>
      </c>
      <c r="AL20" s="63">
        <f t="shared" si="38"/>
        <v>0</v>
      </c>
      <c r="AM20" s="63">
        <f t="shared" si="38"/>
        <v>0</v>
      </c>
      <c r="AN20" s="63">
        <f t="shared" si="38"/>
        <v>0</v>
      </c>
      <c r="AO20" s="85">
        <f>Budget!E11</f>
        <v>80897.209999999992</v>
      </c>
      <c r="AP20" s="32">
        <f>+AO20/SF</f>
        <v>4.3135976325050649</v>
      </c>
      <c r="AR20" s="9" t="s">
        <v>187</v>
      </c>
      <c r="AS20" s="555">
        <v>0.02</v>
      </c>
      <c r="AU20" s="9"/>
      <c r="AV20" s="88"/>
      <c r="AW20" s="91"/>
      <c r="AX20" s="91"/>
      <c r="AY20" s="91"/>
      <c r="AZ20" s="91"/>
      <c r="BA20" s="91"/>
      <c r="BB20" s="91"/>
      <c r="BC20" s="91"/>
      <c r="BD20" s="91"/>
      <c r="BE20" s="91"/>
      <c r="BF20" s="91"/>
      <c r="BG20" s="90"/>
      <c r="BI20" s="71" t="s">
        <v>29</v>
      </c>
      <c r="BJ20" s="1115">
        <f>IFERROR(BJ17/-BJ16,0)</f>
        <v>0</v>
      </c>
      <c r="BK20" s="1116"/>
      <c r="BM20" s="9"/>
      <c r="BN20" s="89"/>
      <c r="BO20" s="1103"/>
      <c r="BQ20" s="765" t="s">
        <v>236</v>
      </c>
      <c r="BR20" s="766">
        <f ca="1">BR17+BR19</f>
        <v>759119.98080718308</v>
      </c>
      <c r="BS20" s="767"/>
      <c r="BT20" s="767"/>
      <c r="BU20" s="767"/>
      <c r="BV20" s="767"/>
      <c r="BW20" s="768"/>
    </row>
    <row r="21" spans="2:76" ht="15" thickBot="1" x14ac:dyDescent="0.4">
      <c r="B21" s="9" t="s">
        <v>67</v>
      </c>
      <c r="C21" s="560">
        <v>1</v>
      </c>
      <c r="E21" s="69" t="str">
        <f>Budget!D12</f>
        <v>Closing Costs - Lender - Permanent Loan</v>
      </c>
      <c r="F21" s="358">
        <v>0</v>
      </c>
      <c r="G21" s="358">
        <v>0</v>
      </c>
      <c r="H21" s="64">
        <f t="shared" si="36"/>
        <v>16412</v>
      </c>
      <c r="I21" s="600">
        <f t="shared" si="36"/>
        <v>0</v>
      </c>
      <c r="J21" s="63">
        <f t="shared" si="36"/>
        <v>0</v>
      </c>
      <c r="K21" s="63">
        <f t="shared" si="36"/>
        <v>0</v>
      </c>
      <c r="L21" s="63">
        <f t="shared" si="36"/>
        <v>0</v>
      </c>
      <c r="M21" s="63">
        <f t="shared" si="36"/>
        <v>0</v>
      </c>
      <c r="N21" s="63">
        <f t="shared" si="36"/>
        <v>0</v>
      </c>
      <c r="O21" s="63">
        <f t="shared" si="36"/>
        <v>0</v>
      </c>
      <c r="P21" s="63">
        <f t="shared" si="36"/>
        <v>0</v>
      </c>
      <c r="Q21" s="63">
        <f t="shared" si="36"/>
        <v>0</v>
      </c>
      <c r="R21" s="63">
        <f t="shared" si="37"/>
        <v>0</v>
      </c>
      <c r="S21" s="63">
        <f t="shared" si="37"/>
        <v>0</v>
      </c>
      <c r="T21" s="63">
        <f t="shared" si="37"/>
        <v>0</v>
      </c>
      <c r="U21" s="63">
        <f t="shared" si="37"/>
        <v>0</v>
      </c>
      <c r="V21" s="63">
        <f t="shared" si="37"/>
        <v>0</v>
      </c>
      <c r="W21" s="63">
        <f t="shared" si="37"/>
        <v>0</v>
      </c>
      <c r="X21" s="63">
        <f t="shared" si="37"/>
        <v>0</v>
      </c>
      <c r="Y21" s="63">
        <f t="shared" si="37"/>
        <v>0</v>
      </c>
      <c r="Z21" s="63">
        <f t="shared" si="37"/>
        <v>0</v>
      </c>
      <c r="AA21" s="63">
        <f t="shared" si="37"/>
        <v>0</v>
      </c>
      <c r="AB21" s="63">
        <f t="shared" si="38"/>
        <v>0</v>
      </c>
      <c r="AC21" s="63">
        <f t="shared" si="38"/>
        <v>0</v>
      </c>
      <c r="AD21" s="63">
        <f t="shared" si="38"/>
        <v>0</v>
      </c>
      <c r="AE21" s="63">
        <f t="shared" si="38"/>
        <v>0</v>
      </c>
      <c r="AF21" s="63">
        <f t="shared" si="38"/>
        <v>0</v>
      </c>
      <c r="AG21" s="63">
        <f t="shared" si="38"/>
        <v>0</v>
      </c>
      <c r="AH21" s="63">
        <f t="shared" si="38"/>
        <v>0</v>
      </c>
      <c r="AI21" s="63">
        <f t="shared" si="38"/>
        <v>0</v>
      </c>
      <c r="AJ21" s="63">
        <f t="shared" si="38"/>
        <v>0</v>
      </c>
      <c r="AK21" s="63">
        <f t="shared" si="38"/>
        <v>0</v>
      </c>
      <c r="AL21" s="63">
        <f t="shared" si="38"/>
        <v>0</v>
      </c>
      <c r="AM21" s="63">
        <f t="shared" si="38"/>
        <v>0</v>
      </c>
      <c r="AN21" s="63">
        <f t="shared" si="38"/>
        <v>0</v>
      </c>
      <c r="AO21" s="85">
        <f>Budget!E12</f>
        <v>16412</v>
      </c>
      <c r="AP21" s="32">
        <f>+AO21/SF</f>
        <v>0.87511997440546019</v>
      </c>
      <c r="AR21" s="9"/>
      <c r="AS21" s="30"/>
      <c r="AU21" s="68" t="s">
        <v>86</v>
      </c>
      <c r="AV21" s="126"/>
      <c r="AW21" s="126">
        <f>IF(AW7&lt;=$AY$7,$AS$15,$AS$15+((AW7-$AY$7)*$AS$16))</f>
        <v>5.8500000000000003E-2</v>
      </c>
      <c r="AX21" s="126"/>
      <c r="AY21" s="126">
        <f t="shared" ref="AY21:BG21" si="41">IF(AY7&lt;=$AY$7,$AS$15,$AS$15+((AY7-$AY$7)*$AS$16))</f>
        <v>5.8500000000000003E-2</v>
      </c>
      <c r="AZ21" s="126">
        <f t="shared" si="41"/>
        <v>5.9000000000000004E-2</v>
      </c>
      <c r="BA21" s="126">
        <f t="shared" si="41"/>
        <v>5.9500000000000004E-2</v>
      </c>
      <c r="BB21" s="126">
        <f t="shared" si="41"/>
        <v>6.0000000000000005E-2</v>
      </c>
      <c r="BC21" s="126">
        <f t="shared" si="41"/>
        <v>6.0500000000000005E-2</v>
      </c>
      <c r="BD21" s="126">
        <f t="shared" si="41"/>
        <v>6.1000000000000006E-2</v>
      </c>
      <c r="BE21" s="126">
        <f t="shared" si="41"/>
        <v>6.1500000000000006E-2</v>
      </c>
      <c r="BF21" s="126">
        <f t="shared" si="41"/>
        <v>6.2000000000000006E-2</v>
      </c>
      <c r="BG21" s="125">
        <f t="shared" si="41"/>
        <v>6.25E-2</v>
      </c>
      <c r="BM21" s="9" t="s">
        <v>32</v>
      </c>
      <c r="BN21" s="72">
        <f ca="1">'JV Waterfall'!T40</f>
        <v>0.13028360554211682</v>
      </c>
      <c r="BO21" s="30"/>
    </row>
    <row r="22" spans="2:76" ht="15" thickBot="1" x14ac:dyDescent="0.4">
      <c r="B22" s="9" t="s">
        <v>83</v>
      </c>
      <c r="C22" s="120">
        <f>1-C21</f>
        <v>0</v>
      </c>
      <c r="E22" s="69" t="str">
        <f>Budget!D13</f>
        <v>Closing Costs - Lender - Construction Loan</v>
      </c>
      <c r="F22" s="358">
        <v>9</v>
      </c>
      <c r="G22" s="358">
        <v>9</v>
      </c>
      <c r="H22" s="64">
        <f t="shared" si="36"/>
        <v>0</v>
      </c>
      <c r="I22" s="600">
        <f t="shared" si="36"/>
        <v>0</v>
      </c>
      <c r="J22" s="63">
        <f t="shared" si="36"/>
        <v>0</v>
      </c>
      <c r="K22" s="63">
        <f t="shared" si="36"/>
        <v>0</v>
      </c>
      <c r="L22" s="63">
        <f t="shared" si="36"/>
        <v>0</v>
      </c>
      <c r="M22" s="63">
        <f t="shared" si="36"/>
        <v>0</v>
      </c>
      <c r="N22" s="63">
        <f t="shared" si="36"/>
        <v>0</v>
      </c>
      <c r="O22" s="63">
        <f t="shared" si="36"/>
        <v>0</v>
      </c>
      <c r="P22" s="63">
        <f t="shared" si="36"/>
        <v>0</v>
      </c>
      <c r="Q22" s="63">
        <f t="shared" si="36"/>
        <v>0</v>
      </c>
      <c r="R22" s="63">
        <f t="shared" si="37"/>
        <v>0</v>
      </c>
      <c r="S22" s="63">
        <f t="shared" si="37"/>
        <v>0</v>
      </c>
      <c r="T22" s="63">
        <f t="shared" si="37"/>
        <v>0</v>
      </c>
      <c r="U22" s="63">
        <f t="shared" si="37"/>
        <v>0</v>
      </c>
      <c r="V22" s="63">
        <f t="shared" si="37"/>
        <v>0</v>
      </c>
      <c r="W22" s="63">
        <f t="shared" si="37"/>
        <v>0</v>
      </c>
      <c r="X22" s="63">
        <f t="shared" si="37"/>
        <v>0</v>
      </c>
      <c r="Y22" s="63">
        <f t="shared" si="37"/>
        <v>0</v>
      </c>
      <c r="Z22" s="63">
        <f t="shared" si="37"/>
        <v>0</v>
      </c>
      <c r="AA22" s="63">
        <f t="shared" si="37"/>
        <v>0</v>
      </c>
      <c r="AB22" s="63">
        <f t="shared" si="38"/>
        <v>0</v>
      </c>
      <c r="AC22" s="63">
        <f t="shared" si="38"/>
        <v>0</v>
      </c>
      <c r="AD22" s="63">
        <f t="shared" si="38"/>
        <v>0</v>
      </c>
      <c r="AE22" s="63">
        <f t="shared" si="38"/>
        <v>0</v>
      </c>
      <c r="AF22" s="63">
        <f t="shared" si="38"/>
        <v>0</v>
      </c>
      <c r="AG22" s="63">
        <f t="shared" si="38"/>
        <v>0</v>
      </c>
      <c r="AH22" s="63">
        <f t="shared" si="38"/>
        <v>0</v>
      </c>
      <c r="AI22" s="63">
        <f t="shared" si="38"/>
        <v>0</v>
      </c>
      <c r="AJ22" s="63">
        <f t="shared" si="38"/>
        <v>0</v>
      </c>
      <c r="AK22" s="63">
        <f t="shared" si="38"/>
        <v>0</v>
      </c>
      <c r="AL22" s="63">
        <f t="shared" si="38"/>
        <v>0</v>
      </c>
      <c r="AM22" s="63">
        <f t="shared" si="38"/>
        <v>0</v>
      </c>
      <c r="AN22" s="63">
        <f t="shared" si="38"/>
        <v>0</v>
      </c>
      <c r="AO22" s="85">
        <f>Budget!E13</f>
        <v>0</v>
      </c>
      <c r="AP22" s="32">
        <f>+AO22/SF</f>
        <v>0</v>
      </c>
      <c r="AR22" s="112" t="s">
        <v>240</v>
      </c>
      <c r="AS22" s="387"/>
      <c r="AU22" s="34" t="s">
        <v>81</v>
      </c>
      <c r="AV22" s="88"/>
      <c r="AW22" s="72">
        <f t="shared" ref="AW22:BG22" si="42">(AW12/$AW$26)*(1-$AS$34)</f>
        <v>5.6891250000000004E-2</v>
      </c>
      <c r="AX22" s="72"/>
      <c r="AY22" s="72">
        <f t="shared" si="42"/>
        <v>5.8029074999999992E-2</v>
      </c>
      <c r="AZ22" s="72">
        <f t="shared" si="42"/>
        <v>5.91896565E-2</v>
      </c>
      <c r="BA22" s="72">
        <f t="shared" si="42"/>
        <v>6.0373449629999999E-2</v>
      </c>
      <c r="BB22" s="72">
        <f t="shared" si="42"/>
        <v>6.1580918622599998E-2</v>
      </c>
      <c r="BC22" s="72">
        <f t="shared" si="42"/>
        <v>6.2812536995052001E-2</v>
      </c>
      <c r="BD22" s="72">
        <f t="shared" si="42"/>
        <v>6.4068787734953045E-2</v>
      </c>
      <c r="BE22" s="72">
        <f t="shared" si="42"/>
        <v>6.5350163489652099E-2</v>
      </c>
      <c r="BF22" s="72">
        <f t="shared" si="42"/>
        <v>6.6657166759445136E-2</v>
      </c>
      <c r="BG22" s="108">
        <f t="shared" si="42"/>
        <v>6.7990310094634049E-2</v>
      </c>
      <c r="BI22" s="1284" t="s">
        <v>223</v>
      </c>
      <c r="BJ22" s="1285"/>
      <c r="BK22" s="1286"/>
      <c r="BM22" s="71" t="s">
        <v>37</v>
      </c>
      <c r="BN22" s="1115">
        <f ca="1">'JV Waterfall'!T41</f>
        <v>1.5460685128725624</v>
      </c>
      <c r="BO22" s="1118"/>
      <c r="BQ22" s="1284" t="s">
        <v>237</v>
      </c>
      <c r="BR22" s="1286"/>
    </row>
    <row r="23" spans="2:76" ht="15" thickBot="1" x14ac:dyDescent="0.4">
      <c r="B23" s="9"/>
      <c r="C23" s="120"/>
      <c r="E23" s="69"/>
      <c r="F23" s="358"/>
      <c r="G23" s="358"/>
      <c r="H23" s="64"/>
      <c r="I23" s="63"/>
      <c r="J23" s="63"/>
      <c r="K23" s="63"/>
      <c r="L23" s="63"/>
      <c r="M23" s="63"/>
      <c r="N23" s="63"/>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c r="AO23" s="85"/>
      <c r="AP23" s="32"/>
      <c r="AR23" s="360" t="s">
        <v>246</v>
      </c>
      <c r="AS23" s="391">
        <f>AS25+AS24</f>
        <v>0.02</v>
      </c>
      <c r="AU23" s="68" t="s">
        <v>78</v>
      </c>
      <c r="AV23" s="126"/>
      <c r="AW23" s="126">
        <f t="shared" ref="AW23:BG23" si="43">AW22-AW21</f>
        <v>-1.6087499999999991E-3</v>
      </c>
      <c r="AX23" s="126"/>
      <c r="AY23" s="126">
        <f t="shared" si="43"/>
        <v>-4.7092500000001092E-4</v>
      </c>
      <c r="AZ23" s="126">
        <f t="shared" si="43"/>
        <v>1.8965649999999612E-4</v>
      </c>
      <c r="BA23" s="126">
        <f t="shared" si="43"/>
        <v>8.7344962999999498E-4</v>
      </c>
      <c r="BB23" s="126">
        <f t="shared" si="43"/>
        <v>1.580918622599993E-3</v>
      </c>
      <c r="BC23" s="126">
        <f t="shared" si="43"/>
        <v>2.3125369950519961E-3</v>
      </c>
      <c r="BD23" s="126">
        <f t="shared" si="43"/>
        <v>3.0687877349530393E-3</v>
      </c>
      <c r="BE23" s="126">
        <f t="shared" si="43"/>
        <v>3.8501634896520934E-3</v>
      </c>
      <c r="BF23" s="126">
        <f t="shared" si="43"/>
        <v>4.6571667594451291E-3</v>
      </c>
      <c r="BG23" s="125">
        <f t="shared" si="43"/>
        <v>5.4903100946340488E-3</v>
      </c>
      <c r="BI23" s="95" t="s">
        <v>612</v>
      </c>
      <c r="BJ23" s="94" t="s">
        <v>40</v>
      </c>
      <c r="BK23" s="93" t="s">
        <v>39</v>
      </c>
      <c r="BQ23" s="1295" t="s">
        <v>245</v>
      </c>
      <c r="BR23" s="1297"/>
    </row>
    <row r="24" spans="2:76" ht="15" thickBot="1" x14ac:dyDescent="0.4">
      <c r="B24" s="9" t="s">
        <v>61</v>
      </c>
      <c r="C24" s="115">
        <f>C16*C21</f>
        <v>3551440.2100000009</v>
      </c>
      <c r="E24" s="1112" t="s">
        <v>172</v>
      </c>
      <c r="F24" s="1119"/>
      <c r="G24" s="1119"/>
      <c r="H24" s="56">
        <f>+SUBTOTAL(9,H16:H22)</f>
        <v>10065309.210000001</v>
      </c>
      <c r="I24" s="52">
        <f>+SUBTOTAL(9,I16:I22)</f>
        <v>0</v>
      </c>
      <c r="J24" s="52">
        <f>+SUBTOTAL(9,J16:J22)</f>
        <v>0</v>
      </c>
      <c r="K24" s="52">
        <f t="shared" ref="K24:AN24" si="44">+SUBTOTAL(9,K16:K22)</f>
        <v>0</v>
      </c>
      <c r="L24" s="52">
        <f t="shared" si="44"/>
        <v>0</v>
      </c>
      <c r="M24" s="52">
        <f t="shared" si="44"/>
        <v>0</v>
      </c>
      <c r="N24" s="52">
        <f t="shared" si="44"/>
        <v>0</v>
      </c>
      <c r="O24" s="52">
        <f t="shared" si="44"/>
        <v>0</v>
      </c>
      <c r="P24" s="52">
        <f t="shared" si="44"/>
        <v>0</v>
      </c>
      <c r="Q24" s="52">
        <f t="shared" si="44"/>
        <v>0</v>
      </c>
      <c r="R24" s="52">
        <f t="shared" si="44"/>
        <v>0</v>
      </c>
      <c r="S24" s="52">
        <f t="shared" si="44"/>
        <v>0</v>
      </c>
      <c r="T24" s="52">
        <f t="shared" si="44"/>
        <v>0</v>
      </c>
      <c r="U24" s="52">
        <f t="shared" si="44"/>
        <v>0</v>
      </c>
      <c r="V24" s="52">
        <f t="shared" si="44"/>
        <v>0</v>
      </c>
      <c r="W24" s="52">
        <f t="shared" si="44"/>
        <v>0</v>
      </c>
      <c r="X24" s="52">
        <f t="shared" si="44"/>
        <v>0</v>
      </c>
      <c r="Y24" s="52">
        <f t="shared" si="44"/>
        <v>0</v>
      </c>
      <c r="Z24" s="52">
        <f t="shared" si="44"/>
        <v>0</v>
      </c>
      <c r="AA24" s="52">
        <f t="shared" si="44"/>
        <v>0</v>
      </c>
      <c r="AB24" s="52">
        <f t="shared" si="44"/>
        <v>0</v>
      </c>
      <c r="AC24" s="52">
        <f t="shared" si="44"/>
        <v>0</v>
      </c>
      <c r="AD24" s="52">
        <f t="shared" si="44"/>
        <v>0</v>
      </c>
      <c r="AE24" s="52">
        <f t="shared" si="44"/>
        <v>0</v>
      </c>
      <c r="AF24" s="52">
        <f t="shared" si="44"/>
        <v>0</v>
      </c>
      <c r="AG24" s="52">
        <f t="shared" si="44"/>
        <v>0</v>
      </c>
      <c r="AH24" s="52">
        <f t="shared" si="44"/>
        <v>0</v>
      </c>
      <c r="AI24" s="52">
        <f t="shared" si="44"/>
        <v>0</v>
      </c>
      <c r="AJ24" s="52">
        <f t="shared" si="44"/>
        <v>0</v>
      </c>
      <c r="AK24" s="52">
        <f t="shared" si="44"/>
        <v>0</v>
      </c>
      <c r="AL24" s="52">
        <f t="shared" si="44"/>
        <v>0</v>
      </c>
      <c r="AM24" s="52">
        <f t="shared" si="44"/>
        <v>0</v>
      </c>
      <c r="AN24" s="52">
        <f t="shared" si="44"/>
        <v>0</v>
      </c>
      <c r="AO24" s="52">
        <f>+SUBTOTAL(9,AO16:AO22)</f>
        <v>10065309.210000001</v>
      </c>
      <c r="AP24" s="62">
        <f>+AO24/SF</f>
        <v>536.70199477444817</v>
      </c>
      <c r="AR24" s="68" t="s">
        <v>285</v>
      </c>
      <c r="AS24" s="555">
        <v>1.4999999999999999E-2</v>
      </c>
      <c r="AU24" s="68" t="s">
        <v>75</v>
      </c>
      <c r="AV24" s="126"/>
      <c r="AW24" s="126">
        <f>AVERAGE($AW$22:AW22)</f>
        <v>5.6891250000000004E-2</v>
      </c>
      <c r="AX24" s="126"/>
      <c r="AY24" s="126">
        <f>AVERAGE($AW$22:AY22)</f>
        <v>5.7460162499999995E-2</v>
      </c>
      <c r="AZ24" s="126">
        <f>AVERAGE($AW$22:AZ22)</f>
        <v>5.8036660499999997E-2</v>
      </c>
      <c r="BA24" s="126">
        <f>AVERAGE($AW$22:BA22)</f>
        <v>5.8620857782499994E-2</v>
      </c>
      <c r="BB24" s="126">
        <f>AVERAGE($AW$22:BB22)</f>
        <v>5.9212869950519997E-2</v>
      </c>
      <c r="BC24" s="126">
        <f>AVERAGE($AW$22:BC22)</f>
        <v>5.9812814457942003E-2</v>
      </c>
      <c r="BD24" s="126">
        <f>AVERAGE($AW$22:BD22)</f>
        <v>6.042081064037215E-2</v>
      </c>
      <c r="BE24" s="126">
        <f>AVERAGE($AW$22:BE22)</f>
        <v>6.1036979746532147E-2</v>
      </c>
      <c r="BF24" s="126">
        <f>AVERAGE($AW$22:BF22)</f>
        <v>6.166144497018914E-2</v>
      </c>
      <c r="BG24" s="125">
        <f>AVERAGE($AW$22:BG22)</f>
        <v>6.2294331482633636E-2</v>
      </c>
      <c r="BI24" s="103" t="s">
        <v>38</v>
      </c>
      <c r="BJ24" s="140">
        <f>SUMIF(H144:AN144,"&gt;0")</f>
        <v>4696380.1500000004</v>
      </c>
      <c r="BK24" s="1104">
        <f>BJ24/SF</f>
        <v>250.42018502719421</v>
      </c>
      <c r="BM24" s="1300" t="s">
        <v>293</v>
      </c>
      <c r="BN24" s="1301"/>
      <c r="BO24" s="1302"/>
      <c r="BQ24" s="103" t="s">
        <v>238</v>
      </c>
      <c r="BR24" s="376">
        <f>Budget!E9</f>
        <v>200000</v>
      </c>
      <c r="BW24" s="128"/>
    </row>
    <row r="25" spans="2:76" ht="15" thickBot="1" x14ac:dyDescent="0.4">
      <c r="B25" s="9" t="s">
        <v>73</v>
      </c>
      <c r="C25" s="115">
        <f>C16*C22</f>
        <v>0</v>
      </c>
      <c r="E25" s="1112"/>
      <c r="F25" s="1119"/>
      <c r="G25" s="1119"/>
      <c r="H25" s="5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45"/>
      <c r="AR25" s="68" t="s">
        <v>242</v>
      </c>
      <c r="AS25" s="555">
        <v>5.0000000000000001E-3</v>
      </c>
      <c r="AU25" s="68"/>
      <c r="AV25" s="126"/>
      <c r="AW25" s="126"/>
      <c r="AX25" s="126"/>
      <c r="AY25" s="126"/>
      <c r="AZ25" s="126"/>
      <c r="BA25" s="126"/>
      <c r="BB25" s="126"/>
      <c r="BC25" s="126"/>
      <c r="BD25" s="126"/>
      <c r="BE25" s="126"/>
      <c r="BF25" s="126"/>
      <c r="BG25" s="125"/>
      <c r="BI25" s="9" t="s">
        <v>36</v>
      </c>
      <c r="BJ25" s="1107">
        <f>SUMIF(H144:AN144,"&lt;0")</f>
        <v>-3895347.290000001</v>
      </c>
      <c r="BK25" s="1103">
        <f>-BJ25/SF</f>
        <v>207.70754452383497</v>
      </c>
      <c r="BM25" s="95" t="s">
        <v>47</v>
      </c>
      <c r="BN25" s="107" t="s">
        <v>46</v>
      </c>
      <c r="BO25" s="106" t="s">
        <v>45</v>
      </c>
      <c r="BQ25" s="9" t="s">
        <v>231</v>
      </c>
      <c r="BR25" s="583">
        <f>AS29</f>
        <v>0.02</v>
      </c>
    </row>
    <row r="26" spans="2:76" x14ac:dyDescent="0.35">
      <c r="B26" s="9" t="s">
        <v>55</v>
      </c>
      <c r="C26" s="115">
        <f>SUM(C24:C25)</f>
        <v>3551440.2100000009</v>
      </c>
      <c r="E26" s="1112" t="s">
        <v>515</v>
      </c>
      <c r="F26" s="1119"/>
      <c r="G26" s="1119"/>
      <c r="H26" s="5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45"/>
      <c r="AR26" s="360" t="s">
        <v>557</v>
      </c>
      <c r="AS26" s="390">
        <f>AS29+ AS28+AS27</f>
        <v>0.05</v>
      </c>
      <c r="AU26" s="68" t="s">
        <v>227</v>
      </c>
      <c r="AV26" s="126"/>
      <c r="AW26" s="123">
        <f t="shared" ref="AW26:BG26" si="45">AW12/AW21</f>
        <v>11839065.475199051</v>
      </c>
      <c r="AX26" s="123"/>
      <c r="AY26" s="123">
        <f t="shared" si="45"/>
        <v>12075846.784703031</v>
      </c>
      <c r="AZ26" s="123">
        <f t="shared" si="45"/>
        <v>12212979.282088643</v>
      </c>
      <c r="BA26" s="123">
        <f t="shared" si="45"/>
        <v>12352556.188169654</v>
      </c>
      <c r="BB26" s="123">
        <f t="shared" si="45"/>
        <v>12494610.584333606</v>
      </c>
      <c r="BC26" s="123">
        <f t="shared" si="45"/>
        <v>12639176.32663168</v>
      </c>
      <c r="BD26" s="123">
        <f t="shared" si="45"/>
        <v>12786288.051089196</v>
      </c>
      <c r="BE26" s="123">
        <f t="shared" si="45"/>
        <v>12935981.17949219</v>
      </c>
      <c r="BF26" s="123">
        <f t="shared" si="45"/>
        <v>13088291.925637826</v>
      </c>
      <c r="BG26" s="122">
        <f t="shared" si="45"/>
        <v>13243257.302037379</v>
      </c>
      <c r="BI26" s="9" t="s">
        <v>43</v>
      </c>
      <c r="BJ26" s="1111">
        <f>BJ24+BJ25</f>
        <v>801032.8599999994</v>
      </c>
      <c r="BK26" s="1103">
        <f>BJ26/SF</f>
        <v>42.712640503359253</v>
      </c>
      <c r="BM26" s="103" t="s">
        <v>38</v>
      </c>
      <c r="BN26" s="102">
        <f ca="1">SUM(BB55:BB64)</f>
        <v>15060998.826497659</v>
      </c>
      <c r="BO26" s="1104">
        <f ca="1">BN26/$AS$6</f>
        <v>803.08194659793423</v>
      </c>
      <c r="BQ26" s="9" t="s">
        <v>297</v>
      </c>
      <c r="BR26" s="584">
        <v>0</v>
      </c>
    </row>
    <row r="27" spans="2:76" x14ac:dyDescent="0.35">
      <c r="B27" s="9"/>
      <c r="C27" s="115"/>
      <c r="E27" s="69" t="str">
        <f>Budget!D17</f>
        <v>Construction Costs</v>
      </c>
      <c r="F27" s="358"/>
      <c r="G27" s="358"/>
      <c r="H27" s="1043">
        <v>0</v>
      </c>
      <c r="I27" s="1044">
        <v>0</v>
      </c>
      <c r="J27" s="969">
        <v>0</v>
      </c>
      <c r="K27" s="969">
        <v>0</v>
      </c>
      <c r="L27" s="969">
        <v>0</v>
      </c>
      <c r="M27" s="969">
        <v>0</v>
      </c>
      <c r="N27" s="969">
        <v>0</v>
      </c>
      <c r="O27" s="969">
        <v>0</v>
      </c>
      <c r="P27" s="969">
        <v>0</v>
      </c>
      <c r="Q27" s="969">
        <v>0</v>
      </c>
      <c r="R27" s="969">
        <v>0</v>
      </c>
      <c r="S27" s="969">
        <v>0</v>
      </c>
      <c r="T27" s="969">
        <v>0</v>
      </c>
      <c r="U27" s="969">
        <v>0</v>
      </c>
      <c r="V27" s="969">
        <v>0</v>
      </c>
      <c r="W27" s="969">
        <v>0</v>
      </c>
      <c r="X27" s="969">
        <v>0</v>
      </c>
      <c r="Y27" s="969">
        <v>0</v>
      </c>
      <c r="Z27" s="969">
        <v>0</v>
      </c>
      <c r="AA27" s="969">
        <v>0</v>
      </c>
      <c r="AB27" s="969">
        <v>0</v>
      </c>
      <c r="AC27" s="969">
        <v>0</v>
      </c>
      <c r="AD27" s="969">
        <v>0</v>
      </c>
      <c r="AE27" s="969">
        <v>0</v>
      </c>
      <c r="AF27" s="969">
        <v>0</v>
      </c>
      <c r="AG27" s="969">
        <v>0</v>
      </c>
      <c r="AH27" s="969">
        <v>0</v>
      </c>
      <c r="AI27" s="969">
        <v>0</v>
      </c>
      <c r="AJ27" s="969">
        <v>0</v>
      </c>
      <c r="AK27" s="969">
        <v>200000</v>
      </c>
      <c r="AL27" s="969">
        <v>0</v>
      </c>
      <c r="AM27" s="969">
        <v>0</v>
      </c>
      <c r="AN27" s="969">
        <v>0</v>
      </c>
      <c r="AO27" s="85">
        <f>SUM(H27:AN27)</f>
        <v>200000</v>
      </c>
      <c r="AP27" s="32">
        <f>+AO27/SF</f>
        <v>10.664391596459422</v>
      </c>
      <c r="AR27" s="68" t="s">
        <v>456</v>
      </c>
      <c r="AS27" s="555">
        <v>1.4999999999999999E-2</v>
      </c>
      <c r="AU27" s="68" t="s">
        <v>226</v>
      </c>
      <c r="AV27" s="1018"/>
      <c r="AW27" s="372">
        <f t="shared" ref="AW27:BG27" si="46">AW26/$AS$6</f>
        <v>631.28215181822816</v>
      </c>
      <c r="AX27" s="372"/>
      <c r="AY27" s="372">
        <f t="shared" si="46"/>
        <v>643.90779485459268</v>
      </c>
      <c r="AZ27" s="372">
        <f t="shared" si="46"/>
        <v>651.21996811819577</v>
      </c>
      <c r="BA27" s="372">
        <f>BA26/$AS$6</f>
        <v>658.66248203954649</v>
      </c>
      <c r="BB27" s="372">
        <f t="shared" si="46"/>
        <v>666.23710058300128</v>
      </c>
      <c r="BC27" s="372">
        <f t="shared" si="46"/>
        <v>673.94562901949882</v>
      </c>
      <c r="BD27" s="372">
        <f t="shared" si="46"/>
        <v>681.78991420972568</v>
      </c>
      <c r="BE27" s="372">
        <f t="shared" si="46"/>
        <v>689.77184491266883</v>
      </c>
      <c r="BF27" s="372">
        <f t="shared" si="46"/>
        <v>697.89335211889875</v>
      </c>
      <c r="BG27" s="373">
        <f t="shared" si="46"/>
        <v>706.15640940798653</v>
      </c>
      <c r="BI27" s="9"/>
      <c r="BJ27" s="1111"/>
      <c r="BK27" s="1103"/>
      <c r="BM27" s="9" t="s">
        <v>36</v>
      </c>
      <c r="BN27" s="96">
        <f ca="1">BN56</f>
        <v>-11454656.027636472</v>
      </c>
      <c r="BO27" s="1103">
        <f ca="1">BN27/-$AS$6</f>
        <v>610.78468740729829</v>
      </c>
      <c r="BQ27" s="9" t="s">
        <v>194</v>
      </c>
      <c r="BR27" s="584">
        <v>0.02</v>
      </c>
    </row>
    <row r="28" spans="2:76" ht="15" thickBot="1" x14ac:dyDescent="0.4">
      <c r="B28" s="9" t="s">
        <v>68</v>
      </c>
      <c r="C28" s="560">
        <v>0.11</v>
      </c>
      <c r="E28" s="1112"/>
      <c r="F28" s="1119"/>
      <c r="G28" s="1119"/>
      <c r="H28" s="5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45"/>
      <c r="AR28" s="68" t="s">
        <v>244</v>
      </c>
      <c r="AS28" s="555">
        <v>1.4999999999999999E-2</v>
      </c>
      <c r="AU28" s="68"/>
      <c r="AV28" s="126"/>
      <c r="AW28" s="126"/>
      <c r="AX28" s="126"/>
      <c r="AY28" s="126"/>
      <c r="AZ28" s="126"/>
      <c r="BA28" s="126"/>
      <c r="BB28" s="126"/>
      <c r="BC28" s="126"/>
      <c r="BD28" s="126"/>
      <c r="BE28" s="126"/>
      <c r="BF28" s="126"/>
      <c r="BG28" s="125"/>
      <c r="BI28" s="9" t="s">
        <v>32</v>
      </c>
      <c r="BJ28" s="72">
        <f>F144</f>
        <v>8.9599493145942719E-2</v>
      </c>
      <c r="BK28" s="1103"/>
      <c r="BM28" s="9" t="s">
        <v>43</v>
      </c>
      <c r="BN28" s="96">
        <f ca="1">BN26+BN27</f>
        <v>3606342.798861187</v>
      </c>
      <c r="BO28" s="1103">
        <f ca="1">BN28/$AS$6</f>
        <v>192.29725919063597</v>
      </c>
      <c r="BQ28" s="71" t="s">
        <v>194</v>
      </c>
      <c r="BR28" s="377">
        <f>AS11</f>
        <v>2.5000000000000001E-3</v>
      </c>
      <c r="BS28" s="366"/>
    </row>
    <row r="29" spans="2:76" x14ac:dyDescent="0.35">
      <c r="B29" s="9" t="s">
        <v>294</v>
      </c>
      <c r="C29" s="576">
        <f>C28*C21</f>
        <v>0.11</v>
      </c>
      <c r="E29" s="1112" t="s">
        <v>515</v>
      </c>
      <c r="F29" s="1119"/>
      <c r="G29" s="1119"/>
      <c r="H29" s="56">
        <f>+SUBTOTAL(9,H27)</f>
        <v>0</v>
      </c>
      <c r="I29" s="52">
        <f>+SUBTOTAL(9,I27)</f>
        <v>0</v>
      </c>
      <c r="J29" s="52">
        <f>+SUBTOTAL(9,J27)</f>
        <v>0</v>
      </c>
      <c r="K29" s="52">
        <f t="shared" ref="K29:AN29" si="47">+SUBTOTAL(9,K27)</f>
        <v>0</v>
      </c>
      <c r="L29" s="52">
        <f t="shared" si="47"/>
        <v>0</v>
      </c>
      <c r="M29" s="52">
        <f t="shared" si="47"/>
        <v>0</v>
      </c>
      <c r="N29" s="52">
        <f t="shared" si="47"/>
        <v>0</v>
      </c>
      <c r="O29" s="52">
        <f t="shared" si="47"/>
        <v>0</v>
      </c>
      <c r="P29" s="52">
        <f t="shared" si="47"/>
        <v>0</v>
      </c>
      <c r="Q29" s="52">
        <f t="shared" si="47"/>
        <v>0</v>
      </c>
      <c r="R29" s="52">
        <f t="shared" si="47"/>
        <v>0</v>
      </c>
      <c r="S29" s="52">
        <f t="shared" si="47"/>
        <v>0</v>
      </c>
      <c r="T29" s="52">
        <f t="shared" si="47"/>
        <v>0</v>
      </c>
      <c r="U29" s="52">
        <f t="shared" si="47"/>
        <v>0</v>
      </c>
      <c r="V29" s="52">
        <f t="shared" si="47"/>
        <v>0</v>
      </c>
      <c r="W29" s="52">
        <f t="shared" si="47"/>
        <v>0</v>
      </c>
      <c r="X29" s="52">
        <f t="shared" si="47"/>
        <v>0</v>
      </c>
      <c r="Y29" s="52">
        <f t="shared" si="47"/>
        <v>0</v>
      </c>
      <c r="Z29" s="52">
        <f t="shared" si="47"/>
        <v>0</v>
      </c>
      <c r="AA29" s="52">
        <f t="shared" si="47"/>
        <v>0</v>
      </c>
      <c r="AB29" s="52">
        <f t="shared" si="47"/>
        <v>0</v>
      </c>
      <c r="AC29" s="52">
        <f t="shared" si="47"/>
        <v>0</v>
      </c>
      <c r="AD29" s="52">
        <f t="shared" si="47"/>
        <v>0</v>
      </c>
      <c r="AE29" s="52">
        <f t="shared" si="47"/>
        <v>0</v>
      </c>
      <c r="AF29" s="52">
        <f t="shared" si="47"/>
        <v>0</v>
      </c>
      <c r="AG29" s="52">
        <f t="shared" si="47"/>
        <v>0</v>
      </c>
      <c r="AH29" s="52">
        <f t="shared" si="47"/>
        <v>0</v>
      </c>
      <c r="AI29" s="52">
        <f t="shared" si="47"/>
        <v>0</v>
      </c>
      <c r="AJ29" s="52">
        <f t="shared" si="47"/>
        <v>0</v>
      </c>
      <c r="AK29" s="52">
        <f t="shared" si="47"/>
        <v>200000</v>
      </c>
      <c r="AL29" s="52">
        <f t="shared" si="47"/>
        <v>0</v>
      </c>
      <c r="AM29" s="52">
        <f t="shared" si="47"/>
        <v>0</v>
      </c>
      <c r="AN29" s="52">
        <f t="shared" si="47"/>
        <v>0</v>
      </c>
      <c r="AO29" s="52">
        <f>+SUBTOTAL(9,AO27)</f>
        <v>200000</v>
      </c>
      <c r="AP29" s="62">
        <f>+AO29/SF</f>
        <v>10.664391596459422</v>
      </c>
      <c r="AR29" s="68" t="s">
        <v>241</v>
      </c>
      <c r="AS29" s="555">
        <v>0.02</v>
      </c>
      <c r="AU29" s="68" t="s">
        <v>22</v>
      </c>
      <c r="AV29" s="1019"/>
      <c r="AW29" s="123">
        <f t="shared" ref="AW29:BG29" si="48">AW26*(1-($AS$34))</f>
        <v>11513491.174631078</v>
      </c>
      <c r="AX29" s="123"/>
      <c r="AY29" s="123">
        <f t="shared" si="48"/>
        <v>11743760.998123698</v>
      </c>
      <c r="AZ29" s="123">
        <f t="shared" si="48"/>
        <v>11877122.351831205</v>
      </c>
      <c r="BA29" s="123">
        <f t="shared" si="48"/>
        <v>12012860.892994989</v>
      </c>
      <c r="BB29" s="123">
        <f t="shared" si="48"/>
        <v>12151008.793264432</v>
      </c>
      <c r="BC29" s="123">
        <f t="shared" si="48"/>
        <v>12291598.977649309</v>
      </c>
      <c r="BD29" s="123">
        <f t="shared" si="48"/>
        <v>12434665.129684243</v>
      </c>
      <c r="BE29" s="123">
        <f t="shared" si="48"/>
        <v>12580241.697056156</v>
      </c>
      <c r="BF29" s="123">
        <f t="shared" si="48"/>
        <v>12728363.897682786</v>
      </c>
      <c r="BG29" s="122">
        <f t="shared" si="48"/>
        <v>12879067.726231351</v>
      </c>
      <c r="BI29" s="9" t="s">
        <v>562</v>
      </c>
      <c r="BJ29" s="72">
        <f>AL163</f>
        <v>0</v>
      </c>
      <c r="BK29" s="1103"/>
      <c r="BM29" s="9"/>
      <c r="BN29" s="2"/>
      <c r="BO29" s="30"/>
      <c r="BS29" s="10"/>
    </row>
    <row r="30" spans="2:76" ht="15" thickBot="1" x14ac:dyDescent="0.4">
      <c r="B30" s="9" t="s">
        <v>177</v>
      </c>
      <c r="C30" s="560">
        <v>0.2</v>
      </c>
      <c r="E30" s="1112"/>
      <c r="F30" s="1119"/>
      <c r="G30" s="1119"/>
      <c r="H30" s="51"/>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45"/>
      <c r="AR30" s="68" t="s">
        <v>643</v>
      </c>
      <c r="AS30" s="115">
        <f>IF($G$13="Yes",SUM(I13:AL13),0)</f>
        <v>42919.789034773326</v>
      </c>
      <c r="AU30" s="68" t="s">
        <v>71</v>
      </c>
      <c r="AV30" s="1018"/>
      <c r="AW30" s="1018">
        <f t="shared" ref="AW30:BG30" si="49">AW29/$AS$6</f>
        <v>613.9218926432269</v>
      </c>
      <c r="AX30" s="1018"/>
      <c r="AY30" s="1018">
        <f t="shared" si="49"/>
        <v>626.2003304960914</v>
      </c>
      <c r="AZ30" s="1018">
        <f t="shared" si="49"/>
        <v>633.31141899494537</v>
      </c>
      <c r="BA30" s="1018">
        <f t="shared" si="49"/>
        <v>640.54926378345897</v>
      </c>
      <c r="BB30" s="1018">
        <f t="shared" si="49"/>
        <v>647.91558031696877</v>
      </c>
      <c r="BC30" s="1018">
        <f t="shared" si="49"/>
        <v>655.41212422146259</v>
      </c>
      <c r="BD30" s="1018">
        <f t="shared" si="49"/>
        <v>663.04069156895832</v>
      </c>
      <c r="BE30" s="1018">
        <f t="shared" si="49"/>
        <v>670.80311917757047</v>
      </c>
      <c r="BF30" s="1018">
        <f t="shared" si="49"/>
        <v>678.70128493562902</v>
      </c>
      <c r="BG30" s="121">
        <f t="shared" si="49"/>
        <v>686.73710814926687</v>
      </c>
      <c r="BI30" s="71" t="s">
        <v>29</v>
      </c>
      <c r="BJ30" s="1115">
        <f>BJ26/-BJ25+1</f>
        <v>1.2056383681260932</v>
      </c>
      <c r="BK30" s="1116"/>
      <c r="BM30" s="9" t="s">
        <v>32</v>
      </c>
      <c r="BN30" s="370">
        <f ca="1">BB53</f>
        <v>6.2315052254311221E-2</v>
      </c>
      <c r="BO30" s="30"/>
      <c r="BS30" s="10"/>
    </row>
    <row r="31" spans="2:76" ht="15" thickBot="1" x14ac:dyDescent="0.4">
      <c r="B31" s="71"/>
      <c r="C31" s="1118"/>
      <c r="D31" s="294"/>
      <c r="E31" s="9" t="s">
        <v>552</v>
      </c>
      <c r="F31" s="1119"/>
      <c r="G31" s="1119"/>
      <c r="H31" s="5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45"/>
      <c r="AR31" s="68" t="s">
        <v>560</v>
      </c>
      <c r="AS31" s="115">
        <f>'Offering Memorandum'!BQ43</f>
        <v>28807.114413004252</v>
      </c>
      <c r="AU31" s="9"/>
      <c r="AV31" s="88"/>
      <c r="AW31" s="91"/>
      <c r="AX31" s="91"/>
      <c r="AY31" s="91"/>
      <c r="AZ31" s="91"/>
      <c r="BA31" s="91"/>
      <c r="BB31" s="91"/>
      <c r="BC31" s="91"/>
      <c r="BD31" s="91"/>
      <c r="BE31" s="91"/>
      <c r="BF31" s="91"/>
      <c r="BG31" s="90"/>
      <c r="BM31" s="71" t="s">
        <v>37</v>
      </c>
      <c r="BN31" s="1115">
        <f ca="1">BN26/-BN27</f>
        <v>1.314836411513381</v>
      </c>
      <c r="BO31" s="1118"/>
      <c r="BS31" s="1120"/>
      <c r="BV31" s="12"/>
      <c r="BW31" s="12"/>
      <c r="BX31" s="12"/>
    </row>
    <row r="32" spans="2:76" ht="15" thickBot="1" x14ac:dyDescent="0.4">
      <c r="B32" s="112" t="s">
        <v>64</v>
      </c>
      <c r="C32" s="111"/>
      <c r="D32" s="294" t="s">
        <v>185</v>
      </c>
      <c r="E32" s="69" t="str">
        <f>Budget!D26</f>
        <v>Tenant Capital Reimbursement</v>
      </c>
      <c r="F32" s="358">
        <v>29</v>
      </c>
      <c r="G32" s="358">
        <v>29</v>
      </c>
      <c r="H32" s="64">
        <f t="shared" ref="H32:Q34" si="50">IF(AND(H$5&gt;=$F32,H$5&lt;=$G32),$AO32/($G32-$F32+1),0)</f>
        <v>0</v>
      </c>
      <c r="I32" s="600">
        <f t="shared" si="50"/>
        <v>0</v>
      </c>
      <c r="J32" s="63">
        <f t="shared" si="50"/>
        <v>0</v>
      </c>
      <c r="K32" s="63">
        <f t="shared" si="50"/>
        <v>0</v>
      </c>
      <c r="L32" s="63">
        <f t="shared" si="50"/>
        <v>0</v>
      </c>
      <c r="M32" s="63">
        <f t="shared" si="50"/>
        <v>0</v>
      </c>
      <c r="N32" s="63">
        <f t="shared" si="50"/>
        <v>0</v>
      </c>
      <c r="O32" s="63">
        <f t="shared" si="50"/>
        <v>0</v>
      </c>
      <c r="P32" s="63">
        <f t="shared" si="50"/>
        <v>0</v>
      </c>
      <c r="Q32" s="63">
        <f t="shared" si="50"/>
        <v>0</v>
      </c>
      <c r="R32" s="63">
        <f t="shared" ref="R32:AA34" si="51">IF(AND(R$5&gt;=$F32,R$5&lt;=$G32),$AO32/($G32-$F32+1),0)</f>
        <v>0</v>
      </c>
      <c r="S32" s="63">
        <f t="shared" si="51"/>
        <v>0</v>
      </c>
      <c r="T32" s="63">
        <f t="shared" si="51"/>
        <v>0</v>
      </c>
      <c r="U32" s="63">
        <f t="shared" si="51"/>
        <v>0</v>
      </c>
      <c r="V32" s="63">
        <f t="shared" si="51"/>
        <v>0</v>
      </c>
      <c r="W32" s="63">
        <f t="shared" si="51"/>
        <v>0</v>
      </c>
      <c r="X32" s="63">
        <f t="shared" si="51"/>
        <v>0</v>
      </c>
      <c r="Y32" s="63">
        <f t="shared" si="51"/>
        <v>0</v>
      </c>
      <c r="Z32" s="63">
        <f t="shared" si="51"/>
        <v>0</v>
      </c>
      <c r="AA32" s="63">
        <f t="shared" si="51"/>
        <v>0</v>
      </c>
      <c r="AB32" s="63">
        <f t="shared" ref="AB32:AN34" si="52">IF(AND(AB$5&gt;=$F32,AB$5&lt;=$G32),$AO32/($G32-$F32+1),0)</f>
        <v>0</v>
      </c>
      <c r="AC32" s="63">
        <f t="shared" si="52"/>
        <v>0</v>
      </c>
      <c r="AD32" s="63">
        <f t="shared" si="52"/>
        <v>0</v>
      </c>
      <c r="AE32" s="63">
        <f t="shared" si="52"/>
        <v>0</v>
      </c>
      <c r="AF32" s="63">
        <f t="shared" si="52"/>
        <v>0</v>
      </c>
      <c r="AG32" s="63">
        <f t="shared" si="52"/>
        <v>0</v>
      </c>
      <c r="AH32" s="63">
        <f t="shared" si="52"/>
        <v>0</v>
      </c>
      <c r="AI32" s="63">
        <f t="shared" si="52"/>
        <v>0</v>
      </c>
      <c r="AJ32" s="63">
        <f t="shared" si="52"/>
        <v>0</v>
      </c>
      <c r="AK32" s="63">
        <f t="shared" si="52"/>
        <v>93770</v>
      </c>
      <c r="AL32" s="63">
        <f t="shared" si="52"/>
        <v>0</v>
      </c>
      <c r="AM32" s="63">
        <f t="shared" si="52"/>
        <v>0</v>
      </c>
      <c r="AN32" s="63">
        <f t="shared" si="52"/>
        <v>0</v>
      </c>
      <c r="AO32" s="85">
        <f>Budget!E26</f>
        <v>93770</v>
      </c>
      <c r="AP32" s="32">
        <f>+AO32/SF</f>
        <v>5</v>
      </c>
      <c r="AR32" s="68" t="s">
        <v>709</v>
      </c>
      <c r="AS32" s="115">
        <f>SUM('Offering Memorandum'!EJ14:EL14)</f>
        <v>179865.21695045359</v>
      </c>
      <c r="AU32" s="68" t="s">
        <v>69</v>
      </c>
      <c r="AV32" s="88"/>
      <c r="AW32" s="87">
        <f t="shared" ref="AW32:BF32" ca="1" si="53">AW66</f>
        <v>2.8303582302164454E-2</v>
      </c>
      <c r="AX32" s="87"/>
      <c r="AY32" s="87">
        <f t="shared" ca="1" si="53"/>
        <v>5.3732307327174489E-2</v>
      </c>
      <c r="AZ32" s="87">
        <f t="shared" ca="1" si="53"/>
        <v>5.9661845936927804E-2</v>
      </c>
      <c r="BA32" s="87">
        <f t="shared" ca="1" si="53"/>
        <v>6.2768195497888257E-2</v>
      </c>
      <c r="BB32" s="87">
        <f t="shared" ca="1" si="53"/>
        <v>6.4735984191048201E-2</v>
      </c>
      <c r="BC32" s="87">
        <f t="shared" ca="1" si="53"/>
        <v>6.6129805679538078E-2</v>
      </c>
      <c r="BD32" s="87">
        <f t="shared" ca="1" si="53"/>
        <v>6.7192383131553068E-2</v>
      </c>
      <c r="BE32" s="87">
        <f t="shared" ca="1" si="53"/>
        <v>6.8045332945613879E-2</v>
      </c>
      <c r="BF32" s="87">
        <f t="shared" ca="1" si="53"/>
        <v>6.875632853461533E-2</v>
      </c>
      <c r="BG32" s="86">
        <f ca="1">BG66</f>
        <v>6.9366031462934963E-2</v>
      </c>
      <c r="BI32" s="1284" t="s">
        <v>223</v>
      </c>
      <c r="BJ32" s="1285"/>
      <c r="BK32" s="1286"/>
      <c r="BS32" s="1120"/>
    </row>
    <row r="33" spans="2:71" ht="15" thickBot="1" x14ac:dyDescent="0.4">
      <c r="B33" s="103" t="s">
        <v>62</v>
      </c>
      <c r="C33" s="1121">
        <f>H79*C9</f>
        <v>4.1763573924553259E-2</v>
      </c>
      <c r="D33" s="294" t="s">
        <v>184</v>
      </c>
      <c r="E33" s="69" t="str">
        <f>Budget!D27</f>
        <v>Leasing Legal</v>
      </c>
      <c r="F33" s="358">
        <v>0</v>
      </c>
      <c r="G33" s="358">
        <v>0</v>
      </c>
      <c r="H33" s="64">
        <f t="shared" si="50"/>
        <v>3381</v>
      </c>
      <c r="I33" s="600">
        <f t="shared" si="50"/>
        <v>0</v>
      </c>
      <c r="J33" s="63">
        <f t="shared" si="50"/>
        <v>0</v>
      </c>
      <c r="K33" s="63">
        <f t="shared" si="50"/>
        <v>0</v>
      </c>
      <c r="L33" s="63">
        <f t="shared" si="50"/>
        <v>0</v>
      </c>
      <c r="M33" s="63">
        <f t="shared" si="50"/>
        <v>0</v>
      </c>
      <c r="N33" s="63">
        <f t="shared" si="50"/>
        <v>0</v>
      </c>
      <c r="O33" s="63">
        <f t="shared" si="50"/>
        <v>0</v>
      </c>
      <c r="P33" s="63">
        <f t="shared" si="50"/>
        <v>0</v>
      </c>
      <c r="Q33" s="63">
        <f t="shared" si="50"/>
        <v>0</v>
      </c>
      <c r="R33" s="63">
        <f t="shared" si="51"/>
        <v>0</v>
      </c>
      <c r="S33" s="63">
        <f t="shared" si="51"/>
        <v>0</v>
      </c>
      <c r="T33" s="63">
        <f t="shared" si="51"/>
        <v>0</v>
      </c>
      <c r="U33" s="63">
        <f t="shared" si="51"/>
        <v>0</v>
      </c>
      <c r="V33" s="63">
        <f t="shared" si="51"/>
        <v>0</v>
      </c>
      <c r="W33" s="63">
        <f t="shared" si="51"/>
        <v>0</v>
      </c>
      <c r="X33" s="63">
        <f t="shared" si="51"/>
        <v>0</v>
      </c>
      <c r="Y33" s="63">
        <f t="shared" si="51"/>
        <v>0</v>
      </c>
      <c r="Z33" s="63">
        <f t="shared" si="51"/>
        <v>0</v>
      </c>
      <c r="AA33" s="63">
        <f t="shared" si="51"/>
        <v>0</v>
      </c>
      <c r="AB33" s="63">
        <f t="shared" si="52"/>
        <v>0</v>
      </c>
      <c r="AC33" s="63">
        <f t="shared" si="52"/>
        <v>0</v>
      </c>
      <c r="AD33" s="63">
        <f t="shared" si="52"/>
        <v>0</v>
      </c>
      <c r="AE33" s="63">
        <f t="shared" si="52"/>
        <v>0</v>
      </c>
      <c r="AF33" s="63">
        <f t="shared" si="52"/>
        <v>0</v>
      </c>
      <c r="AG33" s="63">
        <f t="shared" si="52"/>
        <v>0</v>
      </c>
      <c r="AH33" s="63">
        <f t="shared" si="52"/>
        <v>0</v>
      </c>
      <c r="AI33" s="63">
        <f t="shared" si="52"/>
        <v>0</v>
      </c>
      <c r="AJ33" s="63">
        <f t="shared" si="52"/>
        <v>0</v>
      </c>
      <c r="AK33" s="63">
        <f t="shared" si="52"/>
        <v>0</v>
      </c>
      <c r="AL33" s="63">
        <f t="shared" si="52"/>
        <v>0</v>
      </c>
      <c r="AM33" s="63">
        <f t="shared" si="52"/>
        <v>0</v>
      </c>
      <c r="AN33" s="63">
        <f t="shared" si="52"/>
        <v>0</v>
      </c>
      <c r="AO33" s="85">
        <f>Budget!E27</f>
        <v>3381</v>
      </c>
      <c r="AP33" s="32">
        <f>+AO33/SF</f>
        <v>0.18028153993814652</v>
      </c>
      <c r="AR33" s="68" t="s">
        <v>561</v>
      </c>
      <c r="AS33" s="115">
        <f>Budget!Q41</f>
        <v>0</v>
      </c>
      <c r="AU33" s="68" t="s">
        <v>66</v>
      </c>
      <c r="AV33" s="88"/>
      <c r="AW33" s="114">
        <f ca="1">(SUM($AW$16:AW16)+AW29)/-AW67</f>
        <v>1.0283035823021645</v>
      </c>
      <c r="AX33" s="114"/>
      <c r="AY33" s="114">
        <f ca="1">(SUM($AW$16:AY16)+AY29)/-AY67</f>
        <v>1.1072166564357697</v>
      </c>
      <c r="AZ33" s="114">
        <f ca="1">(SUM($AW$16:AZ16)+AZ29)/-AZ67</f>
        <v>1.1791559342076481</v>
      </c>
      <c r="BA33" s="114">
        <f ca="1">(SUM($AW$16:BA16)+BA29)/-BA67</f>
        <v>1.2525095630839798</v>
      </c>
      <c r="BB33" s="114">
        <f ca="1">(SUM($AW$16:BB16)+BB29)/-BB67</f>
        <v>1.3273045350609525</v>
      </c>
      <c r="BC33" s="114">
        <f ca="1">(SUM($AW$16:BC16)+BC29)/-BC67</f>
        <v>1.4035683912355348</v>
      </c>
      <c r="BD33" s="114">
        <f ca="1">(SUM($AW$16:BD16)+BD29)/-BD67</f>
        <v>1.4813292319532343</v>
      </c>
      <c r="BE33" s="114">
        <f ca="1">(SUM($AW$16:BE16)+BE29)/-BE67</f>
        <v>1.5606157271891112</v>
      </c>
      <c r="BF33" s="114">
        <f ca="1">(SUM($AW$16:BF16)+BF29)/-BF67</f>
        <v>1.6414571271649323</v>
      </c>
      <c r="BG33" s="113">
        <f ca="1">(SUM($AW$16:BG16)+BG29)/-BG67</f>
        <v>1.7238832732055054</v>
      </c>
      <c r="BI33" s="95" t="s">
        <v>179</v>
      </c>
      <c r="BJ33" s="94" t="s">
        <v>40</v>
      </c>
      <c r="BK33" s="93" t="s">
        <v>39</v>
      </c>
      <c r="BM33" s="1284" t="s">
        <v>225</v>
      </c>
      <c r="BN33" s="1285"/>
      <c r="BO33" s="1286"/>
      <c r="BS33" s="128"/>
    </row>
    <row r="34" spans="2:71" ht="15" thickBot="1" x14ac:dyDescent="0.4">
      <c r="B34" s="9" t="s">
        <v>59</v>
      </c>
      <c r="C34" s="108">
        <f>(1-C9)*C29</f>
        <v>3.9329559159722333E-2</v>
      </c>
      <c r="E34" s="69" t="str">
        <f>Budget!D28</f>
        <v>Broker Fee</v>
      </c>
      <c r="F34" s="358">
        <v>7</v>
      </c>
      <c r="G34" s="358">
        <v>7</v>
      </c>
      <c r="H34" s="64">
        <f t="shared" si="50"/>
        <v>0</v>
      </c>
      <c r="I34" s="600">
        <f t="shared" si="50"/>
        <v>0</v>
      </c>
      <c r="J34" s="63">
        <f t="shared" si="50"/>
        <v>0</v>
      </c>
      <c r="K34" s="63">
        <f t="shared" si="50"/>
        <v>0</v>
      </c>
      <c r="L34" s="63">
        <f t="shared" si="50"/>
        <v>0</v>
      </c>
      <c r="M34" s="63">
        <f t="shared" si="50"/>
        <v>0</v>
      </c>
      <c r="N34" s="63">
        <f t="shared" si="50"/>
        <v>0</v>
      </c>
      <c r="O34" s="63">
        <f t="shared" si="50"/>
        <v>0</v>
      </c>
      <c r="P34" s="63">
        <f t="shared" si="50"/>
        <v>0</v>
      </c>
      <c r="Q34" s="63">
        <f t="shared" si="50"/>
        <v>0</v>
      </c>
      <c r="R34" s="63">
        <f t="shared" si="51"/>
        <v>0</v>
      </c>
      <c r="S34" s="63">
        <f t="shared" si="51"/>
        <v>0</v>
      </c>
      <c r="T34" s="63">
        <f t="shared" si="51"/>
        <v>0</v>
      </c>
      <c r="U34" s="63">
        <f t="shared" si="51"/>
        <v>0</v>
      </c>
      <c r="V34" s="63">
        <f t="shared" si="51"/>
        <v>0</v>
      </c>
      <c r="W34" s="63">
        <f t="shared" si="51"/>
        <v>0</v>
      </c>
      <c r="X34" s="63">
        <f t="shared" si="51"/>
        <v>0</v>
      </c>
      <c r="Y34" s="63">
        <f t="shared" si="51"/>
        <v>0</v>
      </c>
      <c r="Z34" s="63">
        <f t="shared" si="51"/>
        <v>0</v>
      </c>
      <c r="AA34" s="63">
        <f t="shared" si="51"/>
        <v>0</v>
      </c>
      <c r="AB34" s="63">
        <f t="shared" si="52"/>
        <v>0</v>
      </c>
      <c r="AC34" s="63">
        <f t="shared" si="52"/>
        <v>0</v>
      </c>
      <c r="AD34" s="63">
        <f t="shared" si="52"/>
        <v>0</v>
      </c>
      <c r="AE34" s="63">
        <f t="shared" si="52"/>
        <v>0</v>
      </c>
      <c r="AF34" s="63">
        <f t="shared" si="52"/>
        <v>0</v>
      </c>
      <c r="AG34" s="63">
        <f t="shared" si="52"/>
        <v>0</v>
      </c>
      <c r="AH34" s="63">
        <f t="shared" si="52"/>
        <v>0</v>
      </c>
      <c r="AI34" s="63">
        <f t="shared" si="52"/>
        <v>0</v>
      </c>
      <c r="AJ34" s="63">
        <f t="shared" si="52"/>
        <v>0</v>
      </c>
      <c r="AK34" s="63">
        <f t="shared" si="52"/>
        <v>0</v>
      </c>
      <c r="AL34" s="63">
        <f t="shared" si="52"/>
        <v>0</v>
      </c>
      <c r="AM34" s="63">
        <f t="shared" si="52"/>
        <v>0</v>
      </c>
      <c r="AN34" s="63">
        <f t="shared" si="52"/>
        <v>0</v>
      </c>
      <c r="AO34" s="85">
        <f>Budget!E28</f>
        <v>0</v>
      </c>
      <c r="AP34" s="32">
        <f>+AO34/SF</f>
        <v>0</v>
      </c>
      <c r="AR34" s="360" t="s">
        <v>243</v>
      </c>
      <c r="AS34" s="390">
        <f>AS35+AS36+AS37</f>
        <v>2.75E-2</v>
      </c>
      <c r="AU34" s="68"/>
      <c r="AV34" s="88"/>
      <c r="AW34" s="91"/>
      <c r="AX34" s="91"/>
      <c r="AY34" s="91"/>
      <c r="AZ34" s="91"/>
      <c r="BA34" s="91"/>
      <c r="BB34" s="91"/>
      <c r="BC34" s="91"/>
      <c r="BD34" s="91"/>
      <c r="BE34" s="91"/>
      <c r="BF34" s="91"/>
      <c r="BG34" s="90"/>
      <c r="BI34" s="103" t="s">
        <v>38</v>
      </c>
      <c r="BJ34" s="140">
        <f>SUMIF(H145:AN145,"&gt;0")</f>
        <v>0</v>
      </c>
      <c r="BK34" s="1104">
        <f>BJ34/SF</f>
        <v>0</v>
      </c>
      <c r="BM34" s="95" t="s">
        <v>219</v>
      </c>
      <c r="BN34" s="107" t="s">
        <v>46</v>
      </c>
      <c r="BO34" s="106" t="s">
        <v>45</v>
      </c>
      <c r="BS34" s="128"/>
    </row>
    <row r="35" spans="2:71" x14ac:dyDescent="0.35">
      <c r="B35" s="9" t="s">
        <v>56</v>
      </c>
      <c r="C35" s="67">
        <f>SUM(C33:C34)</f>
        <v>8.1093133084275598E-2</v>
      </c>
      <c r="E35" s="1112"/>
      <c r="F35" s="1119"/>
      <c r="G35" s="1119"/>
      <c r="H35" s="51"/>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45"/>
      <c r="AR35" s="68" t="s">
        <v>456</v>
      </c>
      <c r="AS35" s="555">
        <v>1.4999999999999999E-2</v>
      </c>
      <c r="AU35" s="68" t="s">
        <v>63</v>
      </c>
      <c r="AV35" s="88"/>
      <c r="AW35" s="91">
        <f ca="1">AS42</f>
        <v>7715571.417578971</v>
      </c>
      <c r="AX35" s="91"/>
      <c r="AY35" s="91">
        <f ca="1">AW35</f>
        <v>7715571.417578971</v>
      </c>
      <c r="AZ35" s="91">
        <f t="shared" ref="AZ35:BG35" ca="1" si="54">AY35</f>
        <v>7715571.417578971</v>
      </c>
      <c r="BA35" s="91">
        <f t="shared" ca="1" si="54"/>
        <v>7715571.417578971</v>
      </c>
      <c r="BB35" s="91">
        <f t="shared" ca="1" si="54"/>
        <v>7715571.417578971</v>
      </c>
      <c r="BC35" s="91">
        <f t="shared" ca="1" si="54"/>
        <v>7715571.417578971</v>
      </c>
      <c r="BD35" s="91">
        <f t="shared" ca="1" si="54"/>
        <v>7715571.417578971</v>
      </c>
      <c r="BE35" s="91">
        <f t="shared" ca="1" si="54"/>
        <v>7715571.417578971</v>
      </c>
      <c r="BF35" s="91">
        <f t="shared" ca="1" si="54"/>
        <v>7715571.417578971</v>
      </c>
      <c r="BG35" s="90">
        <f t="shared" ca="1" si="54"/>
        <v>7715571.417578971</v>
      </c>
      <c r="BI35" s="9" t="s">
        <v>36</v>
      </c>
      <c r="BJ35" s="1122">
        <v>0</v>
      </c>
      <c r="BK35" s="1103">
        <f>-BJ35/SF</f>
        <v>0</v>
      </c>
      <c r="BM35" s="103" t="s">
        <v>38</v>
      </c>
      <c r="BN35" s="140">
        <f ca="1">SUM(BG81:BG90)</f>
        <v>9524542.4760030583</v>
      </c>
      <c r="BO35" s="1104">
        <f ca="1">BN35/$AS$6</f>
        <v>507.86725370603915</v>
      </c>
      <c r="BS35" s="128"/>
    </row>
    <row r="36" spans="2:71" ht="15" thickBot="1" x14ac:dyDescent="0.4">
      <c r="B36" s="71"/>
      <c r="C36" s="1118"/>
      <c r="E36" s="9" t="s">
        <v>552</v>
      </c>
      <c r="F36" s="1119"/>
      <c r="G36" s="1119"/>
      <c r="H36" s="56">
        <f>+SUBTOTAL(9,H32:H34)</f>
        <v>3381</v>
      </c>
      <c r="I36" s="52">
        <f>+SUBTOTAL(9,I32:I34)</f>
        <v>0</v>
      </c>
      <c r="J36" s="52">
        <f>+SUBTOTAL(9,J32:J34)</f>
        <v>0</v>
      </c>
      <c r="K36" s="52">
        <f t="shared" ref="K36:AN36" si="55">+SUBTOTAL(9,K32:K34)</f>
        <v>0</v>
      </c>
      <c r="L36" s="52">
        <f t="shared" si="55"/>
        <v>0</v>
      </c>
      <c r="M36" s="52">
        <f t="shared" si="55"/>
        <v>0</v>
      </c>
      <c r="N36" s="52">
        <f t="shared" si="55"/>
        <v>0</v>
      </c>
      <c r="O36" s="52">
        <f t="shared" si="55"/>
        <v>0</v>
      </c>
      <c r="P36" s="52">
        <f t="shared" si="55"/>
        <v>0</v>
      </c>
      <c r="Q36" s="52">
        <f t="shared" si="55"/>
        <v>0</v>
      </c>
      <c r="R36" s="52">
        <f t="shared" si="55"/>
        <v>0</v>
      </c>
      <c r="S36" s="52">
        <f t="shared" si="55"/>
        <v>0</v>
      </c>
      <c r="T36" s="52">
        <f t="shared" si="55"/>
        <v>0</v>
      </c>
      <c r="U36" s="52">
        <f t="shared" si="55"/>
        <v>0</v>
      </c>
      <c r="V36" s="52">
        <f t="shared" si="55"/>
        <v>0</v>
      </c>
      <c r="W36" s="52">
        <f t="shared" si="55"/>
        <v>0</v>
      </c>
      <c r="X36" s="52">
        <f t="shared" si="55"/>
        <v>0</v>
      </c>
      <c r="Y36" s="52">
        <f t="shared" si="55"/>
        <v>0</v>
      </c>
      <c r="Z36" s="52">
        <f t="shared" si="55"/>
        <v>0</v>
      </c>
      <c r="AA36" s="52">
        <f t="shared" si="55"/>
        <v>0</v>
      </c>
      <c r="AB36" s="52">
        <f t="shared" si="55"/>
        <v>0</v>
      </c>
      <c r="AC36" s="52">
        <f t="shared" si="55"/>
        <v>0</v>
      </c>
      <c r="AD36" s="52">
        <f t="shared" si="55"/>
        <v>0</v>
      </c>
      <c r="AE36" s="52">
        <f t="shared" si="55"/>
        <v>0</v>
      </c>
      <c r="AF36" s="52">
        <f t="shared" si="55"/>
        <v>0</v>
      </c>
      <c r="AG36" s="52">
        <f t="shared" si="55"/>
        <v>0</v>
      </c>
      <c r="AH36" s="52">
        <f t="shared" si="55"/>
        <v>0</v>
      </c>
      <c r="AI36" s="52">
        <f t="shared" si="55"/>
        <v>0</v>
      </c>
      <c r="AJ36" s="52">
        <f t="shared" si="55"/>
        <v>0</v>
      </c>
      <c r="AK36" s="52">
        <f t="shared" si="55"/>
        <v>93770</v>
      </c>
      <c r="AL36" s="52">
        <f t="shared" si="55"/>
        <v>0</v>
      </c>
      <c r="AM36" s="52">
        <f t="shared" si="55"/>
        <v>0</v>
      </c>
      <c r="AN36" s="52">
        <f t="shared" si="55"/>
        <v>0</v>
      </c>
      <c r="AO36" s="52">
        <f>+SUBTOTAL(9,AO32:AO34)</f>
        <v>97151</v>
      </c>
      <c r="AP36" s="62">
        <f>+AO36/SF</f>
        <v>5.1802815399381466</v>
      </c>
      <c r="AR36" s="34" t="s">
        <v>244</v>
      </c>
      <c r="AS36" s="555">
        <v>0.01</v>
      </c>
      <c r="AU36" s="68" t="s">
        <v>60</v>
      </c>
      <c r="AV36" s="88"/>
      <c r="AW36" s="91">
        <f ca="1">AS43</f>
        <v>312909.28526848054</v>
      </c>
      <c r="AX36" s="91"/>
      <c r="AY36" s="91">
        <f ca="1">AW36</f>
        <v>312909.28526848054</v>
      </c>
      <c r="AZ36" s="91">
        <f ca="1">AW36</f>
        <v>312909.28526848054</v>
      </c>
      <c r="BA36" s="91">
        <f t="shared" ref="BA36:BG36" ca="1" si="56">AY36</f>
        <v>312909.28526848054</v>
      </c>
      <c r="BB36" s="91">
        <f t="shared" ca="1" si="56"/>
        <v>312909.28526848054</v>
      </c>
      <c r="BC36" s="91">
        <f t="shared" ca="1" si="56"/>
        <v>312909.28526848054</v>
      </c>
      <c r="BD36" s="91">
        <f t="shared" ca="1" si="56"/>
        <v>312909.28526848054</v>
      </c>
      <c r="BE36" s="91">
        <f t="shared" ca="1" si="56"/>
        <v>312909.28526848054</v>
      </c>
      <c r="BF36" s="91">
        <f t="shared" ca="1" si="56"/>
        <v>312909.28526848054</v>
      </c>
      <c r="BG36" s="90">
        <f t="shared" ca="1" si="56"/>
        <v>312909.28526848054</v>
      </c>
      <c r="BI36" s="71" t="s">
        <v>43</v>
      </c>
      <c r="BJ36" s="1123">
        <f>BJ34+BJ35</f>
        <v>0</v>
      </c>
      <c r="BK36" s="1116">
        <f>BJ36/SF</f>
        <v>0</v>
      </c>
      <c r="BM36" s="9" t="s">
        <v>36</v>
      </c>
      <c r="BN36" s="89">
        <f ca="1">AV44</f>
        <v>-4154538.4556194451</v>
      </c>
      <c r="BO36" s="1103">
        <f ca="1">BN36/-$AS$6</f>
        <v>221.52812496637759</v>
      </c>
    </row>
    <row r="37" spans="2:71" x14ac:dyDescent="0.35">
      <c r="B37" s="98"/>
      <c r="C37" s="98"/>
      <c r="E37" s="9"/>
      <c r="F37" s="1119"/>
      <c r="G37" s="1119"/>
      <c r="H37" s="5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45"/>
      <c r="AR37" s="68" t="s">
        <v>242</v>
      </c>
      <c r="AS37" s="555">
        <v>2.5000000000000001E-3</v>
      </c>
      <c r="AU37" s="68" t="s">
        <v>57</v>
      </c>
      <c r="AV37" s="88"/>
      <c r="AW37" s="114">
        <f t="shared" ref="AW37:BG37" ca="1" si="57">AW12/AW36</f>
        <v>2.2133741723416631</v>
      </c>
      <c r="AX37" s="114"/>
      <c r="AY37" s="114">
        <f t="shared" ca="1" si="57"/>
        <v>2.2576416557884964</v>
      </c>
      <c r="AZ37" s="114">
        <f t="shared" ca="1" si="57"/>
        <v>2.3027944889042664</v>
      </c>
      <c r="BA37" s="114">
        <f t="shared" ca="1" si="57"/>
        <v>2.3488503786823518</v>
      </c>
      <c r="BB37" s="114">
        <f t="shared" ca="1" si="57"/>
        <v>2.3958273862559989</v>
      </c>
      <c r="BC37" s="114">
        <f t="shared" ca="1" si="57"/>
        <v>2.4437439339811187</v>
      </c>
      <c r="BD37" s="114">
        <f t="shared" ca="1" si="57"/>
        <v>2.4926188126607411</v>
      </c>
      <c r="BE37" s="114">
        <f t="shared" ca="1" si="57"/>
        <v>2.5424711889139555</v>
      </c>
      <c r="BF37" s="114">
        <f t="shared" ca="1" si="57"/>
        <v>2.593320612692235</v>
      </c>
      <c r="BG37" s="113">
        <f t="shared" ca="1" si="57"/>
        <v>2.6451870249460798</v>
      </c>
      <c r="BM37" s="9" t="s">
        <v>34</v>
      </c>
      <c r="BN37" s="89">
        <f ca="1">BN35+BN36</f>
        <v>5370004.0203836132</v>
      </c>
      <c r="BO37" s="1103">
        <f ca="1">BN37/$AS$6</f>
        <v>286.33912873966159</v>
      </c>
      <c r="BS37" s="367"/>
    </row>
    <row r="38" spans="2:71" ht="15" thickBot="1" x14ac:dyDescent="0.4">
      <c r="D38" s="98"/>
      <c r="E38" s="1112" t="s">
        <v>548</v>
      </c>
      <c r="F38" s="1119"/>
      <c r="G38" s="1119"/>
      <c r="H38" s="5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45"/>
      <c r="AQ38" s="97"/>
      <c r="AR38" s="71"/>
      <c r="AS38" s="1118"/>
      <c r="AU38" s="68"/>
      <c r="AV38" s="88"/>
      <c r="AW38" s="114"/>
      <c r="AX38" s="114"/>
      <c r="AY38" s="114"/>
      <c r="AZ38" s="114"/>
      <c r="BA38" s="114"/>
      <c r="BB38" s="114"/>
      <c r="BC38" s="114"/>
      <c r="BD38" s="114"/>
      <c r="BE38" s="114"/>
      <c r="BF38" s="114"/>
      <c r="BG38" s="113"/>
      <c r="BM38" s="9"/>
      <c r="BN38" s="89"/>
      <c r="BO38" s="1103"/>
    </row>
    <row r="39" spans="2:71" ht="15" thickBot="1" x14ac:dyDescent="0.4">
      <c r="D39" s="10"/>
      <c r="E39" s="69" t="str">
        <f>Budget!D21</f>
        <v>Lender Origination Fee - Permanent Loan</v>
      </c>
      <c r="F39" s="358">
        <v>0</v>
      </c>
      <c r="G39" s="358">
        <v>0</v>
      </c>
      <c r="H39" s="64">
        <f t="shared" ref="H39:Q40" si="58">IF(AND(H$5&gt;=$F39,H$5&lt;=$G39),$AO39/($G39-$F39+1),0)</f>
        <v>32750</v>
      </c>
      <c r="I39" s="600">
        <f t="shared" si="58"/>
        <v>0</v>
      </c>
      <c r="J39" s="63">
        <f t="shared" si="58"/>
        <v>0</v>
      </c>
      <c r="K39" s="63">
        <f t="shared" si="58"/>
        <v>0</v>
      </c>
      <c r="L39" s="63">
        <f t="shared" si="58"/>
        <v>0</v>
      </c>
      <c r="M39" s="63">
        <f t="shared" si="58"/>
        <v>0</v>
      </c>
      <c r="N39" s="63">
        <f t="shared" si="58"/>
        <v>0</v>
      </c>
      <c r="O39" s="63">
        <f t="shared" si="58"/>
        <v>0</v>
      </c>
      <c r="P39" s="63">
        <f t="shared" si="58"/>
        <v>0</v>
      </c>
      <c r="Q39" s="63">
        <f t="shared" si="58"/>
        <v>0</v>
      </c>
      <c r="R39" s="63">
        <f t="shared" ref="R39:AA40" si="59">IF(AND(R$5&gt;=$F39,R$5&lt;=$G39),$AO39/($G39-$F39+1),0)</f>
        <v>0</v>
      </c>
      <c r="S39" s="63">
        <f t="shared" si="59"/>
        <v>0</v>
      </c>
      <c r="T39" s="63">
        <f t="shared" si="59"/>
        <v>0</v>
      </c>
      <c r="U39" s="63">
        <f t="shared" si="59"/>
        <v>0</v>
      </c>
      <c r="V39" s="63">
        <f t="shared" si="59"/>
        <v>0</v>
      </c>
      <c r="W39" s="63">
        <f t="shared" si="59"/>
        <v>0</v>
      </c>
      <c r="X39" s="63">
        <f t="shared" si="59"/>
        <v>0</v>
      </c>
      <c r="Y39" s="63">
        <f t="shared" si="59"/>
        <v>0</v>
      </c>
      <c r="Z39" s="63">
        <f t="shared" si="59"/>
        <v>0</v>
      </c>
      <c r="AA39" s="63">
        <f t="shared" si="59"/>
        <v>0</v>
      </c>
      <c r="AB39" s="63">
        <f t="shared" ref="AB39:AN40" si="60">IF(AND(AB$5&gt;=$F39,AB$5&lt;=$G39),$AO39/($G39-$F39+1),0)</f>
        <v>0</v>
      </c>
      <c r="AC39" s="63">
        <f t="shared" si="60"/>
        <v>0</v>
      </c>
      <c r="AD39" s="63">
        <f t="shared" si="60"/>
        <v>0</v>
      </c>
      <c r="AE39" s="63">
        <f t="shared" si="60"/>
        <v>0</v>
      </c>
      <c r="AF39" s="63">
        <f t="shared" si="60"/>
        <v>0</v>
      </c>
      <c r="AG39" s="63">
        <f t="shared" si="60"/>
        <v>0</v>
      </c>
      <c r="AH39" s="63">
        <f t="shared" si="60"/>
        <v>0</v>
      </c>
      <c r="AI39" s="63">
        <f t="shared" si="60"/>
        <v>0</v>
      </c>
      <c r="AJ39" s="63">
        <f t="shared" si="60"/>
        <v>0</v>
      </c>
      <c r="AK39" s="63">
        <f t="shared" si="60"/>
        <v>0</v>
      </c>
      <c r="AL39" s="63">
        <f t="shared" si="60"/>
        <v>0</v>
      </c>
      <c r="AM39" s="63">
        <f t="shared" si="60"/>
        <v>0</v>
      </c>
      <c r="AN39" s="63">
        <f t="shared" si="60"/>
        <v>0</v>
      </c>
      <c r="AO39" s="85">
        <f>Budget!E21</f>
        <v>32750</v>
      </c>
      <c r="AP39" s="32">
        <f>+AO39/SF</f>
        <v>1.7462941239202303</v>
      </c>
      <c r="AR39" s="139" t="s">
        <v>82</v>
      </c>
      <c r="AS39" s="1124"/>
      <c r="AU39" s="68" t="s">
        <v>54</v>
      </c>
      <c r="AV39" s="88"/>
      <c r="AW39" s="91">
        <f t="shared" ref="AW39:BG39" ca="1" si="61">AW29-AW35</f>
        <v>3797919.7570521068</v>
      </c>
      <c r="AX39" s="91"/>
      <c r="AY39" s="91">
        <f t="shared" ca="1" si="61"/>
        <v>4028189.5805447269</v>
      </c>
      <c r="AZ39" s="91">
        <f t="shared" ca="1" si="61"/>
        <v>4161550.9342522342</v>
      </c>
      <c r="BA39" s="91">
        <f t="shared" ca="1" si="61"/>
        <v>4297289.4754160177</v>
      </c>
      <c r="BB39" s="91">
        <f t="shared" ca="1" si="61"/>
        <v>4435437.3756854609</v>
      </c>
      <c r="BC39" s="91">
        <f t="shared" ca="1" si="61"/>
        <v>4576027.5600703377</v>
      </c>
      <c r="BD39" s="91">
        <f t="shared" ca="1" si="61"/>
        <v>4719093.7121052723</v>
      </c>
      <c r="BE39" s="91">
        <f t="shared" ca="1" si="61"/>
        <v>4864670.2794771846</v>
      </c>
      <c r="BF39" s="91">
        <f t="shared" ca="1" si="61"/>
        <v>5012792.480103815</v>
      </c>
      <c r="BG39" s="90">
        <f t="shared" ca="1" si="61"/>
        <v>5163496.3086523805</v>
      </c>
      <c r="BM39" s="9" t="s">
        <v>32</v>
      </c>
      <c r="BN39" s="72">
        <f ca="1">BG49</f>
        <v>0.11579855571483444</v>
      </c>
      <c r="BO39" s="30"/>
    </row>
    <row r="40" spans="2:71" x14ac:dyDescent="0.35">
      <c r="D40" s="10"/>
      <c r="E40" s="69" t="str">
        <f>Budget!D22</f>
        <v>Lender Origination Fee - Construction Loan</v>
      </c>
      <c r="F40" s="358">
        <v>9</v>
      </c>
      <c r="G40" s="358">
        <v>9</v>
      </c>
      <c r="H40" s="64">
        <f t="shared" si="58"/>
        <v>0</v>
      </c>
      <c r="I40" s="600">
        <f t="shared" si="58"/>
        <v>0</v>
      </c>
      <c r="J40" s="63">
        <f t="shared" si="58"/>
        <v>0</v>
      </c>
      <c r="K40" s="63">
        <f t="shared" si="58"/>
        <v>0</v>
      </c>
      <c r="L40" s="63">
        <f t="shared" si="58"/>
        <v>0</v>
      </c>
      <c r="M40" s="63">
        <f t="shared" si="58"/>
        <v>0</v>
      </c>
      <c r="N40" s="63">
        <f t="shared" si="58"/>
        <v>0</v>
      </c>
      <c r="O40" s="63">
        <f t="shared" si="58"/>
        <v>0</v>
      </c>
      <c r="P40" s="63">
        <f t="shared" si="58"/>
        <v>0</v>
      </c>
      <c r="Q40" s="63">
        <f t="shared" si="58"/>
        <v>0</v>
      </c>
      <c r="R40" s="63">
        <f t="shared" si="59"/>
        <v>0</v>
      </c>
      <c r="S40" s="63">
        <f t="shared" si="59"/>
        <v>0</v>
      </c>
      <c r="T40" s="63">
        <f t="shared" si="59"/>
        <v>0</v>
      </c>
      <c r="U40" s="63">
        <f t="shared" si="59"/>
        <v>0</v>
      </c>
      <c r="V40" s="63">
        <f t="shared" si="59"/>
        <v>0</v>
      </c>
      <c r="W40" s="63">
        <f t="shared" si="59"/>
        <v>0</v>
      </c>
      <c r="X40" s="63">
        <f t="shared" si="59"/>
        <v>0</v>
      </c>
      <c r="Y40" s="63">
        <f t="shared" si="59"/>
        <v>0</v>
      </c>
      <c r="Z40" s="63">
        <f t="shared" si="59"/>
        <v>0</v>
      </c>
      <c r="AA40" s="63">
        <f t="shared" si="59"/>
        <v>0</v>
      </c>
      <c r="AB40" s="63">
        <f t="shared" si="60"/>
        <v>0</v>
      </c>
      <c r="AC40" s="63">
        <f t="shared" si="60"/>
        <v>0</v>
      </c>
      <c r="AD40" s="63">
        <f t="shared" si="60"/>
        <v>0</v>
      </c>
      <c r="AE40" s="63">
        <f t="shared" si="60"/>
        <v>0</v>
      </c>
      <c r="AF40" s="63">
        <f t="shared" si="60"/>
        <v>0</v>
      </c>
      <c r="AG40" s="63">
        <f t="shared" si="60"/>
        <v>0</v>
      </c>
      <c r="AH40" s="63">
        <f t="shared" si="60"/>
        <v>0</v>
      </c>
      <c r="AI40" s="63">
        <f t="shared" si="60"/>
        <v>0</v>
      </c>
      <c r="AJ40" s="63">
        <f t="shared" si="60"/>
        <v>0</v>
      </c>
      <c r="AK40" s="63">
        <f t="shared" si="60"/>
        <v>0</v>
      </c>
      <c r="AL40" s="63">
        <f t="shared" si="60"/>
        <v>0</v>
      </c>
      <c r="AM40" s="63">
        <f t="shared" si="60"/>
        <v>0</v>
      </c>
      <c r="AN40" s="63">
        <f t="shared" si="60"/>
        <v>0</v>
      </c>
      <c r="AO40" s="85">
        <f>Budget!E22</f>
        <v>0</v>
      </c>
      <c r="AP40" s="32">
        <f>+AO40/SF</f>
        <v>0</v>
      </c>
      <c r="AR40" s="9" t="s">
        <v>183</v>
      </c>
      <c r="AS40" s="577">
        <v>0.65</v>
      </c>
      <c r="AU40" s="110" t="s">
        <v>52</v>
      </c>
      <c r="AV40" s="88"/>
      <c r="AW40" s="91">
        <f t="shared" ref="AW40:BG40" ca="1" si="62">AW39+$AV$44</f>
        <v>-356618.69856733829</v>
      </c>
      <c r="AX40" s="91"/>
      <c r="AY40" s="91">
        <f t="shared" ca="1" si="62"/>
        <v>-126348.87507471815</v>
      </c>
      <c r="AZ40" s="91">
        <f t="shared" ca="1" si="62"/>
        <v>7012.4786327891052</v>
      </c>
      <c r="BA40" s="91">
        <f t="shared" ca="1" si="62"/>
        <v>142751.01979657263</v>
      </c>
      <c r="BB40" s="91">
        <f t="shared" ca="1" si="62"/>
        <v>280898.92006601579</v>
      </c>
      <c r="BC40" s="91">
        <f t="shared" ca="1" si="62"/>
        <v>421489.10445089266</v>
      </c>
      <c r="BD40" s="91">
        <f t="shared" ca="1" si="62"/>
        <v>564555.25648582727</v>
      </c>
      <c r="BE40" s="91">
        <f t="shared" ca="1" si="62"/>
        <v>710131.82385773957</v>
      </c>
      <c r="BF40" s="91">
        <f t="shared" ca="1" si="62"/>
        <v>858254.0244843699</v>
      </c>
      <c r="BG40" s="90">
        <f t="shared" ca="1" si="62"/>
        <v>1008957.8530329354</v>
      </c>
      <c r="BM40" s="9" t="s">
        <v>37</v>
      </c>
      <c r="BN40" s="1117">
        <f ca="1">BN37/-BN36+1</f>
        <v>2.2925633202696982</v>
      </c>
      <c r="BO40" s="30"/>
    </row>
    <row r="41" spans="2:71" ht="15" thickBot="1" x14ac:dyDescent="0.4">
      <c r="E41" s="1112"/>
      <c r="F41" s="1119"/>
      <c r="G41" s="1119"/>
      <c r="H41" s="51"/>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45"/>
      <c r="AR41" s="9" t="s">
        <v>76</v>
      </c>
      <c r="AS41" s="555">
        <f>(4%/360)*365</f>
        <v>4.055555555555556E-2</v>
      </c>
      <c r="AU41" s="9"/>
      <c r="AV41" s="88"/>
      <c r="AW41" s="91"/>
      <c r="AX41" s="91"/>
      <c r="AY41" s="91"/>
      <c r="AZ41" s="91"/>
      <c r="BA41" s="91"/>
      <c r="BB41" s="91"/>
      <c r="BC41" s="91"/>
      <c r="BD41" s="91"/>
      <c r="BE41" s="91"/>
      <c r="BF41" s="91"/>
      <c r="BG41" s="90"/>
      <c r="BI41" s="10"/>
      <c r="BM41" s="71" t="s">
        <v>220</v>
      </c>
      <c r="BN41" s="371">
        <f ca="1">BG47</f>
        <v>0.10472065351391587</v>
      </c>
      <c r="BO41" s="1118"/>
    </row>
    <row r="42" spans="2:71" ht="15" thickBot="1" x14ac:dyDescent="0.4">
      <c r="D42" s="10"/>
      <c r="E42" s="9" t="s">
        <v>552</v>
      </c>
      <c r="F42" s="1119"/>
      <c r="G42" s="1119"/>
      <c r="H42" s="56">
        <f>+SUBTOTAL(9,H39:H40)</f>
        <v>32750</v>
      </c>
      <c r="I42" s="52">
        <f>+SUBTOTAL(9,I39:I40)</f>
        <v>0</v>
      </c>
      <c r="J42" s="52">
        <f>+SUBTOTAL(9,J39:J40)</f>
        <v>0</v>
      </c>
      <c r="K42" s="52">
        <f t="shared" ref="K42:AN42" si="63">+SUBTOTAL(9,K39:K40)</f>
        <v>0</v>
      </c>
      <c r="L42" s="52">
        <f t="shared" si="63"/>
        <v>0</v>
      </c>
      <c r="M42" s="52">
        <f t="shared" si="63"/>
        <v>0</v>
      </c>
      <c r="N42" s="52">
        <f t="shared" si="63"/>
        <v>0</v>
      </c>
      <c r="O42" s="52">
        <f t="shared" si="63"/>
        <v>0</v>
      </c>
      <c r="P42" s="52">
        <f t="shared" si="63"/>
        <v>0</v>
      </c>
      <c r="Q42" s="52">
        <f t="shared" si="63"/>
        <v>0</v>
      </c>
      <c r="R42" s="52">
        <f t="shared" si="63"/>
        <v>0</v>
      </c>
      <c r="S42" s="52">
        <f t="shared" si="63"/>
        <v>0</v>
      </c>
      <c r="T42" s="52">
        <f t="shared" si="63"/>
        <v>0</v>
      </c>
      <c r="U42" s="52">
        <f t="shared" si="63"/>
        <v>0</v>
      </c>
      <c r="V42" s="52">
        <f t="shared" si="63"/>
        <v>0</v>
      </c>
      <c r="W42" s="52">
        <f t="shared" si="63"/>
        <v>0</v>
      </c>
      <c r="X42" s="52">
        <f t="shared" si="63"/>
        <v>0</v>
      </c>
      <c r="Y42" s="52">
        <f t="shared" si="63"/>
        <v>0</v>
      </c>
      <c r="Z42" s="52">
        <f t="shared" si="63"/>
        <v>0</v>
      </c>
      <c r="AA42" s="52">
        <f t="shared" si="63"/>
        <v>0</v>
      </c>
      <c r="AB42" s="52">
        <f t="shared" si="63"/>
        <v>0</v>
      </c>
      <c r="AC42" s="52">
        <f t="shared" si="63"/>
        <v>0</v>
      </c>
      <c r="AD42" s="52">
        <f t="shared" si="63"/>
        <v>0</v>
      </c>
      <c r="AE42" s="52">
        <f t="shared" si="63"/>
        <v>0</v>
      </c>
      <c r="AF42" s="52">
        <f t="shared" si="63"/>
        <v>0</v>
      </c>
      <c r="AG42" s="52">
        <f t="shared" si="63"/>
        <v>0</v>
      </c>
      <c r="AH42" s="52">
        <f t="shared" si="63"/>
        <v>0</v>
      </c>
      <c r="AI42" s="52">
        <f t="shared" si="63"/>
        <v>0</v>
      </c>
      <c r="AJ42" s="52">
        <f t="shared" si="63"/>
        <v>0</v>
      </c>
      <c r="AK42" s="52">
        <f t="shared" si="63"/>
        <v>0</v>
      </c>
      <c r="AL42" s="52">
        <f t="shared" si="63"/>
        <v>0</v>
      </c>
      <c r="AM42" s="52">
        <f t="shared" si="63"/>
        <v>0</v>
      </c>
      <c r="AN42" s="52">
        <f t="shared" si="63"/>
        <v>0</v>
      </c>
      <c r="AO42" s="52">
        <f>+SUBTOTAL(9,AO39:AO40)</f>
        <v>32750</v>
      </c>
      <c r="AP42" s="62">
        <f>+AO42/SF</f>
        <v>1.7462941239202303</v>
      </c>
      <c r="AR42" s="9" t="s">
        <v>74</v>
      </c>
      <c r="AS42" s="115">
        <f ca="1">AS8*AS40</f>
        <v>7715571.417578971</v>
      </c>
      <c r="AU42" s="68" t="s">
        <v>49</v>
      </c>
      <c r="AV42" s="88"/>
      <c r="AW42" s="91">
        <f t="shared" ref="AW42:BG42" ca="1" si="64">AW16-AW36</f>
        <v>379676.04503066395</v>
      </c>
      <c r="AX42" s="91"/>
      <c r="AY42" s="91">
        <f t="shared" ca="1" si="64"/>
        <v>393527.7516366468</v>
      </c>
      <c r="AZ42" s="91">
        <f t="shared" ca="1" si="64"/>
        <v>407656.49237474939</v>
      </c>
      <c r="BA42" s="91">
        <f t="shared" ca="1" si="64"/>
        <v>422067.80792761396</v>
      </c>
      <c r="BB42" s="91">
        <f t="shared" ca="1" si="64"/>
        <v>436767.34979153587</v>
      </c>
      <c r="BC42" s="91">
        <f t="shared" ca="1" si="64"/>
        <v>451760.88249273621</v>
      </c>
      <c r="BD42" s="91">
        <f t="shared" ca="1" si="64"/>
        <v>467054.28584796051</v>
      </c>
      <c r="BE42" s="91">
        <f t="shared" ca="1" si="64"/>
        <v>482653.55727028928</v>
      </c>
      <c r="BF42" s="91">
        <f t="shared" ca="1" si="64"/>
        <v>498564.81412106473</v>
      </c>
      <c r="BG42" s="90">
        <f t="shared" ca="1" si="64"/>
        <v>514794.29610885563</v>
      </c>
      <c r="BI42" s="128"/>
      <c r="BN42" s="1125"/>
    </row>
    <row r="43" spans="2:71" ht="15" thickBot="1" x14ac:dyDescent="0.4">
      <c r="E43" s="1112"/>
      <c r="F43" s="1119"/>
      <c r="G43" s="1119"/>
      <c r="H43" s="51"/>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45"/>
      <c r="AR43" s="9" t="s">
        <v>72</v>
      </c>
      <c r="AS43" s="115">
        <f ca="1">AS42*AS41</f>
        <v>312909.28526848054</v>
      </c>
      <c r="AU43" s="105" t="s">
        <v>44</v>
      </c>
      <c r="AV43" s="88"/>
      <c r="AW43" s="91">
        <f ca="1">AV44*AS11</f>
        <v>-10386.346139048614</v>
      </c>
      <c r="AX43" s="91"/>
      <c r="AY43" s="91">
        <f ca="1">AW43</f>
        <v>-10386.346139048614</v>
      </c>
      <c r="AZ43" s="91">
        <f t="shared" ref="AZ43:BG43" ca="1" si="65">AY43</f>
        <v>-10386.346139048614</v>
      </c>
      <c r="BA43" s="91">
        <f t="shared" ca="1" si="65"/>
        <v>-10386.346139048614</v>
      </c>
      <c r="BB43" s="91">
        <f t="shared" ca="1" si="65"/>
        <v>-10386.346139048614</v>
      </c>
      <c r="BC43" s="91">
        <f t="shared" ca="1" si="65"/>
        <v>-10386.346139048614</v>
      </c>
      <c r="BD43" s="91">
        <f t="shared" ca="1" si="65"/>
        <v>-10386.346139048614</v>
      </c>
      <c r="BE43" s="91">
        <f t="shared" ca="1" si="65"/>
        <v>-10386.346139048614</v>
      </c>
      <c r="BF43" s="91">
        <f t="shared" ca="1" si="65"/>
        <v>-10386.346139048614</v>
      </c>
      <c r="BG43" s="104">
        <f t="shared" ca="1" si="65"/>
        <v>-10386.346139048614</v>
      </c>
      <c r="BM43" s="1284" t="s">
        <v>225</v>
      </c>
      <c r="BN43" s="1285"/>
      <c r="BO43" s="1286"/>
    </row>
    <row r="44" spans="2:71" ht="15" thickBot="1" x14ac:dyDescent="0.4">
      <c r="B44" s="1" t="s">
        <v>743</v>
      </c>
      <c r="E44" s="1112" t="s">
        <v>23</v>
      </c>
      <c r="F44" s="1119"/>
      <c r="G44" s="1119"/>
      <c r="H44" s="548">
        <f>H24+H29+H36+H42</f>
        <v>10101440.210000001</v>
      </c>
      <c r="I44" s="58">
        <f>I24+I29+I36+I42</f>
        <v>0</v>
      </c>
      <c r="J44" s="58">
        <f>J24+J29+J36+J42</f>
        <v>0</v>
      </c>
      <c r="K44" s="58">
        <f t="shared" ref="K44:AO44" si="66">K24+K29+K36+K42</f>
        <v>0</v>
      </c>
      <c r="L44" s="58">
        <f t="shared" si="66"/>
        <v>0</v>
      </c>
      <c r="M44" s="58">
        <f t="shared" si="66"/>
        <v>0</v>
      </c>
      <c r="N44" s="58">
        <f t="shared" si="66"/>
        <v>0</v>
      </c>
      <c r="O44" s="58">
        <f t="shared" si="66"/>
        <v>0</v>
      </c>
      <c r="P44" s="58">
        <f t="shared" si="66"/>
        <v>0</v>
      </c>
      <c r="Q44" s="58">
        <f t="shared" si="66"/>
        <v>0</v>
      </c>
      <c r="R44" s="58">
        <f t="shared" si="66"/>
        <v>0</v>
      </c>
      <c r="S44" s="58">
        <f t="shared" si="66"/>
        <v>0</v>
      </c>
      <c r="T44" s="58">
        <f t="shared" si="66"/>
        <v>0</v>
      </c>
      <c r="U44" s="58">
        <f t="shared" si="66"/>
        <v>0</v>
      </c>
      <c r="V44" s="58">
        <f t="shared" si="66"/>
        <v>0</v>
      </c>
      <c r="W44" s="58">
        <f t="shared" si="66"/>
        <v>0</v>
      </c>
      <c r="X44" s="58">
        <f t="shared" si="66"/>
        <v>0</v>
      </c>
      <c r="Y44" s="58">
        <f t="shared" si="66"/>
        <v>0</v>
      </c>
      <c r="Z44" s="58">
        <f t="shared" si="66"/>
        <v>0</v>
      </c>
      <c r="AA44" s="58">
        <f t="shared" si="66"/>
        <v>0</v>
      </c>
      <c r="AB44" s="58">
        <f t="shared" si="66"/>
        <v>0</v>
      </c>
      <c r="AC44" s="58">
        <f t="shared" si="66"/>
        <v>0</v>
      </c>
      <c r="AD44" s="58">
        <f t="shared" si="66"/>
        <v>0</v>
      </c>
      <c r="AE44" s="58">
        <f t="shared" si="66"/>
        <v>0</v>
      </c>
      <c r="AF44" s="58">
        <f t="shared" si="66"/>
        <v>0</v>
      </c>
      <c r="AG44" s="58">
        <f t="shared" si="66"/>
        <v>0</v>
      </c>
      <c r="AH44" s="58">
        <f t="shared" si="66"/>
        <v>0</v>
      </c>
      <c r="AI44" s="58">
        <f t="shared" si="66"/>
        <v>0</v>
      </c>
      <c r="AJ44" s="58">
        <f t="shared" si="66"/>
        <v>0</v>
      </c>
      <c r="AK44" s="58">
        <f t="shared" si="66"/>
        <v>293770</v>
      </c>
      <c r="AL44" s="58">
        <f t="shared" si="66"/>
        <v>0</v>
      </c>
      <c r="AM44" s="58">
        <f t="shared" si="66"/>
        <v>0</v>
      </c>
      <c r="AN44" s="58">
        <f t="shared" si="66"/>
        <v>0</v>
      </c>
      <c r="AO44" s="58">
        <f t="shared" si="66"/>
        <v>10395210.210000001</v>
      </c>
      <c r="AP44" s="549">
        <f>+AO44/Budget!E5</f>
        <v>554.29296203476599</v>
      </c>
      <c r="AR44" s="71"/>
      <c r="AS44" s="1118"/>
      <c r="AU44" s="101" t="s">
        <v>28</v>
      </c>
      <c r="AV44" s="100">
        <f ca="1">-AS46</f>
        <v>-4154538.4556194451</v>
      </c>
      <c r="AW44" s="1020">
        <f t="shared" ref="AW44:BG44" ca="1" si="67">AW42+AW43</f>
        <v>369289.69889161532</v>
      </c>
      <c r="AX44" s="1020"/>
      <c r="AY44" s="1020">
        <f t="shared" ca="1" si="67"/>
        <v>383141.40549759817</v>
      </c>
      <c r="AZ44" s="1020">
        <f t="shared" ca="1" si="67"/>
        <v>397270.14623570075</v>
      </c>
      <c r="BA44" s="1020">
        <f t="shared" ca="1" si="67"/>
        <v>411681.46178856533</v>
      </c>
      <c r="BB44" s="1020">
        <f t="shared" ca="1" si="67"/>
        <v>426381.00365248724</v>
      </c>
      <c r="BC44" s="1020">
        <f t="shared" ca="1" si="67"/>
        <v>441374.53635368758</v>
      </c>
      <c r="BD44" s="1020">
        <f t="shared" ca="1" si="67"/>
        <v>456667.93970891187</v>
      </c>
      <c r="BE44" s="1020">
        <f t="shared" ca="1" si="67"/>
        <v>472267.21113124065</v>
      </c>
      <c r="BF44" s="1020">
        <f t="shared" ca="1" si="67"/>
        <v>488178.4679820161</v>
      </c>
      <c r="BG44" s="99">
        <f t="shared" ca="1" si="67"/>
        <v>504407.949969807</v>
      </c>
      <c r="BM44" s="95" t="s">
        <v>88</v>
      </c>
      <c r="BN44" s="107" t="s">
        <v>46</v>
      </c>
      <c r="BO44" s="106" t="s">
        <v>45</v>
      </c>
    </row>
    <row r="45" spans="2:71" ht="15" thickBot="1" x14ac:dyDescent="0.4">
      <c r="E45" s="1112"/>
      <c r="F45" s="1119"/>
      <c r="G45" s="1119"/>
      <c r="H45" s="51"/>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45"/>
      <c r="AR45" s="112" t="s">
        <v>59</v>
      </c>
      <c r="AS45" s="111"/>
      <c r="AU45" s="9"/>
      <c r="AV45" s="88"/>
      <c r="AW45" s="91"/>
      <c r="AX45" s="91"/>
      <c r="AY45" s="91"/>
      <c r="AZ45" s="91"/>
      <c r="BA45" s="91"/>
      <c r="BB45" s="91"/>
      <c r="BC45" s="91"/>
      <c r="BD45" s="91"/>
      <c r="BE45" s="91"/>
      <c r="BF45" s="91"/>
      <c r="BG45" s="90"/>
      <c r="BM45" s="103" t="s">
        <v>38</v>
      </c>
      <c r="BN45" s="140">
        <f ca="1">'JV Waterfall'!D36</f>
        <v>951415.61298640142</v>
      </c>
      <c r="BO45" s="1104">
        <f ca="1">BN45/$AS$6</f>
        <v>50.731343339362347</v>
      </c>
    </row>
    <row r="46" spans="2:71" x14ac:dyDescent="0.35">
      <c r="E46" s="1112" t="s">
        <v>21</v>
      </c>
      <c r="F46" s="1119"/>
      <c r="G46" s="1119"/>
      <c r="H46" s="51"/>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45"/>
      <c r="AR46" s="103" t="s">
        <v>70</v>
      </c>
      <c r="AS46" s="109">
        <f ca="1">AS8-AS42</f>
        <v>4154538.4556194451</v>
      </c>
      <c r="AU46" s="68" t="s">
        <v>42</v>
      </c>
      <c r="AV46" s="88"/>
      <c r="AW46" s="87">
        <f t="shared" ref="AW46:BG46" ca="1" si="68">(AW16-AW36+AW43)/-$AV$44</f>
        <v>8.8888261075574501E-2</v>
      </c>
      <c r="AX46" s="87"/>
      <c r="AY46" s="87">
        <f t="shared" ca="1" si="68"/>
        <v>9.2222375503435192E-2</v>
      </c>
      <c r="AZ46" s="87">
        <f t="shared" ca="1" si="68"/>
        <v>9.5623172219853114E-2</v>
      </c>
      <c r="BA46" s="87">
        <f t="shared" ca="1" si="68"/>
        <v>9.9091984870599364E-2</v>
      </c>
      <c r="BB46" s="87">
        <f t="shared" ca="1" si="68"/>
        <v>0.10263017377436057</v>
      </c>
      <c r="BC46" s="87">
        <f t="shared" ca="1" si="68"/>
        <v>0.10623912645619699</v>
      </c>
      <c r="BD46" s="87">
        <f t="shared" ca="1" si="68"/>
        <v>0.10992025819167013</v>
      </c>
      <c r="BE46" s="87">
        <f t="shared" ca="1" si="68"/>
        <v>0.11367501256185272</v>
      </c>
      <c r="BF46" s="87">
        <f t="shared" ca="1" si="68"/>
        <v>0.11750486201943901</v>
      </c>
      <c r="BG46" s="86">
        <f t="shared" ca="1" si="68"/>
        <v>0.12141130846617698</v>
      </c>
      <c r="BM46" s="9" t="s">
        <v>79</v>
      </c>
      <c r="BN46" s="89">
        <f ca="1">'JV Waterfall'!D37</f>
        <v>103863.46139048615</v>
      </c>
      <c r="BO46" s="1103">
        <f ca="1">BN46/$AS$6</f>
        <v>5.5382031241594403</v>
      </c>
    </row>
    <row r="47" spans="2:71" x14ac:dyDescent="0.35">
      <c r="E47" s="34" t="str">
        <f>+"Net Sale Price @ "&amp;(TEXT(AS14,"0.00% Cap"))</f>
        <v>Net Sale Price @ 5.95% Cap</v>
      </c>
      <c r="F47" s="1119"/>
      <c r="G47" s="1119"/>
      <c r="H47" s="51">
        <f t="shared" ref="H47:AK47" si="69">IF(H5=(MAX($I5:$AN5)),$AW$12/$AS14,0)</f>
        <v>0</v>
      </c>
      <c r="I47" s="751">
        <f t="shared" si="69"/>
        <v>0</v>
      </c>
      <c r="J47" s="31">
        <f t="shared" si="69"/>
        <v>0</v>
      </c>
      <c r="K47" s="31">
        <f t="shared" si="69"/>
        <v>0</v>
      </c>
      <c r="L47" s="31">
        <f t="shared" si="69"/>
        <v>0</v>
      </c>
      <c r="M47" s="31">
        <f t="shared" si="69"/>
        <v>0</v>
      </c>
      <c r="N47" s="31">
        <f t="shared" si="69"/>
        <v>0</v>
      </c>
      <c r="O47" s="31">
        <f t="shared" si="69"/>
        <v>0</v>
      </c>
      <c r="P47" s="31">
        <f t="shared" si="69"/>
        <v>0</v>
      </c>
      <c r="Q47" s="31">
        <f t="shared" si="69"/>
        <v>0</v>
      </c>
      <c r="R47" s="31">
        <f t="shared" si="69"/>
        <v>0</v>
      </c>
      <c r="S47" s="31">
        <f t="shared" si="69"/>
        <v>0</v>
      </c>
      <c r="T47" s="31">
        <f t="shared" si="69"/>
        <v>0</v>
      </c>
      <c r="U47" s="31">
        <f t="shared" si="69"/>
        <v>0</v>
      </c>
      <c r="V47" s="31">
        <f t="shared" si="69"/>
        <v>0</v>
      </c>
      <c r="W47" s="31">
        <f t="shared" si="69"/>
        <v>0</v>
      </c>
      <c r="X47" s="31">
        <f t="shared" si="69"/>
        <v>0</v>
      </c>
      <c r="Y47" s="31">
        <f t="shared" si="69"/>
        <v>0</v>
      </c>
      <c r="Z47" s="31">
        <f t="shared" si="69"/>
        <v>0</v>
      </c>
      <c r="AA47" s="31">
        <f t="shared" si="69"/>
        <v>0</v>
      </c>
      <c r="AB47" s="31">
        <f t="shared" si="69"/>
        <v>0</v>
      </c>
      <c r="AC47" s="31">
        <f t="shared" si="69"/>
        <v>0</v>
      </c>
      <c r="AD47" s="31">
        <f t="shared" si="69"/>
        <v>0</v>
      </c>
      <c r="AE47" s="31">
        <f t="shared" si="69"/>
        <v>0</v>
      </c>
      <c r="AF47" s="31">
        <f t="shared" si="69"/>
        <v>0</v>
      </c>
      <c r="AG47" s="31">
        <f t="shared" si="69"/>
        <v>0</v>
      </c>
      <c r="AH47" s="31">
        <f t="shared" si="69"/>
        <v>0</v>
      </c>
      <c r="AI47" s="31">
        <f t="shared" si="69"/>
        <v>0</v>
      </c>
      <c r="AJ47" s="31">
        <f t="shared" si="69"/>
        <v>0</v>
      </c>
      <c r="AK47" s="31">
        <f t="shared" si="69"/>
        <v>0</v>
      </c>
      <c r="AL47" s="31">
        <f>IF(AL5=(MAX($I5:$AL5)),$AW$12/$AS14,0)</f>
        <v>11640089.584859572</v>
      </c>
      <c r="AM47" s="31">
        <f>IF(AM5=(MAX($I5:$AL5)),$AW$12/$AS14,0)</f>
        <v>0</v>
      </c>
      <c r="AN47" s="31">
        <f>IF(AN5=(MAX($I5:$AL5)),$AW$12/$AS14,0)</f>
        <v>0</v>
      </c>
      <c r="AO47" s="31">
        <f>SUM(H47:AN47)</f>
        <v>11640089.584859572</v>
      </c>
      <c r="AP47" s="32">
        <f>+AO47/SF</f>
        <v>620.67236775405638</v>
      </c>
      <c r="AR47" s="9" t="s">
        <v>67</v>
      </c>
      <c r="AS47" s="560">
        <v>0.1</v>
      </c>
      <c r="AU47" s="68" t="s">
        <v>41</v>
      </c>
      <c r="AV47" s="88"/>
      <c r="AW47" s="87">
        <f ca="1">AVERAGE($AW$46:AW46)</f>
        <v>8.8888261075574501E-2</v>
      </c>
      <c r="AX47" s="87"/>
      <c r="AY47" s="87">
        <f ca="1">AVERAGE($AW$46:AY46)</f>
        <v>9.0555318289504846E-2</v>
      </c>
      <c r="AZ47" s="87">
        <f ca="1">AVERAGE($AW$46:AZ46)</f>
        <v>9.2244602932954264E-2</v>
      </c>
      <c r="BA47" s="87">
        <f ca="1">AVERAGE($AW$46:BA46)</f>
        <v>9.3956448417365529E-2</v>
      </c>
      <c r="BB47" s="87">
        <f ca="1">AVERAGE($AW$46:BB46)</f>
        <v>9.5691193488764537E-2</v>
      </c>
      <c r="BC47" s="87">
        <f ca="1">AVERAGE($AW$46:BC46)</f>
        <v>9.7449182316669949E-2</v>
      </c>
      <c r="BD47" s="87">
        <f ca="1">AVERAGE($AW$46:BD46)</f>
        <v>9.9230764584527134E-2</v>
      </c>
      <c r="BE47" s="87">
        <f ca="1">AVERAGE($AW$46:BE46)</f>
        <v>0.10103629558169283</v>
      </c>
      <c r="BF47" s="87">
        <f ca="1">AVERAGE($AW$46:BF46)</f>
        <v>0.10286613629699796</v>
      </c>
      <c r="BG47" s="86">
        <f ca="1">AVERAGE($AW$46:BG46)</f>
        <v>0.10472065351391587</v>
      </c>
      <c r="BM47" s="9" t="s">
        <v>36</v>
      </c>
      <c r="BN47" s="89">
        <f ca="1">-AS50</f>
        <v>-415453.84556194453</v>
      </c>
      <c r="BO47" s="1103">
        <f ca="1">BN47/-$AS$6</f>
        <v>22.152812496637758</v>
      </c>
    </row>
    <row r="48" spans="2:71" x14ac:dyDescent="0.35">
      <c r="E48" s="34" t="str">
        <f>+"Closing Costs &amp; Fees @ "&amp;(TEXT(AS26,"0.00% "))</f>
        <v xml:space="preserve">Closing Costs &amp; Fees @ 5.00% </v>
      </c>
      <c r="F48" s="1119"/>
      <c r="G48" s="1119"/>
      <c r="H48" s="55">
        <f>IF(H47&gt;0,$AF$47*$AS$26,0)</f>
        <v>0</v>
      </c>
      <c r="I48" s="54">
        <f t="shared" ref="I48:AK48" si="70">IF(I47&gt;0,I47*$AS$26,0)</f>
        <v>0</v>
      </c>
      <c r="J48" s="54">
        <f t="shared" si="70"/>
        <v>0</v>
      </c>
      <c r="K48" s="54">
        <f t="shared" si="70"/>
        <v>0</v>
      </c>
      <c r="L48" s="54">
        <f t="shared" si="70"/>
        <v>0</v>
      </c>
      <c r="M48" s="54">
        <f t="shared" si="70"/>
        <v>0</v>
      </c>
      <c r="N48" s="54">
        <f t="shared" si="70"/>
        <v>0</v>
      </c>
      <c r="O48" s="54">
        <f t="shared" si="70"/>
        <v>0</v>
      </c>
      <c r="P48" s="54">
        <f t="shared" si="70"/>
        <v>0</v>
      </c>
      <c r="Q48" s="54">
        <f t="shared" si="70"/>
        <v>0</v>
      </c>
      <c r="R48" s="54">
        <f t="shared" si="70"/>
        <v>0</v>
      </c>
      <c r="S48" s="54">
        <f t="shared" si="70"/>
        <v>0</v>
      </c>
      <c r="T48" s="54">
        <f t="shared" si="70"/>
        <v>0</v>
      </c>
      <c r="U48" s="54">
        <f t="shared" si="70"/>
        <v>0</v>
      </c>
      <c r="V48" s="54">
        <f t="shared" si="70"/>
        <v>0</v>
      </c>
      <c r="W48" s="54">
        <f t="shared" si="70"/>
        <v>0</v>
      </c>
      <c r="X48" s="54">
        <f t="shared" si="70"/>
        <v>0</v>
      </c>
      <c r="Y48" s="54">
        <f t="shared" si="70"/>
        <v>0</v>
      </c>
      <c r="Z48" s="54">
        <f t="shared" si="70"/>
        <v>0</v>
      </c>
      <c r="AA48" s="54">
        <f t="shared" si="70"/>
        <v>0</v>
      </c>
      <c r="AB48" s="54">
        <f t="shared" si="70"/>
        <v>0</v>
      </c>
      <c r="AC48" s="54">
        <f t="shared" si="70"/>
        <v>0</v>
      </c>
      <c r="AD48" s="54">
        <f t="shared" si="70"/>
        <v>0</v>
      </c>
      <c r="AE48" s="54">
        <f t="shared" si="70"/>
        <v>0</v>
      </c>
      <c r="AF48" s="54">
        <f t="shared" si="70"/>
        <v>0</v>
      </c>
      <c r="AG48" s="54">
        <f t="shared" si="70"/>
        <v>0</v>
      </c>
      <c r="AH48" s="54">
        <f t="shared" si="70"/>
        <v>0</v>
      </c>
      <c r="AI48" s="54">
        <f t="shared" si="70"/>
        <v>0</v>
      </c>
      <c r="AJ48" s="54">
        <f t="shared" si="70"/>
        <v>0</v>
      </c>
      <c r="AK48" s="54">
        <f t="shared" si="70"/>
        <v>0</v>
      </c>
      <c r="AL48" s="54">
        <f>IF(AL47&gt;0,AL47*$AS$26,0)+$AS$30+$AS$31+$AS$33+$AS$32</f>
        <v>833596.59964120982</v>
      </c>
      <c r="AM48" s="54">
        <f>IF(AM47&gt;0,AM47*$AS$26,0)</f>
        <v>0</v>
      </c>
      <c r="AN48" s="54">
        <f>IF(AN47&gt;0,AN47*$AS$26,0)</f>
        <v>0</v>
      </c>
      <c r="AO48" s="54">
        <f>SUM(H48:AN48)</f>
        <v>833596.59964120982</v>
      </c>
      <c r="AP48" s="53">
        <f>+AO48/SF</f>
        <v>44.449002860254339</v>
      </c>
      <c r="AR48" s="9" t="s">
        <v>65</v>
      </c>
      <c r="AS48" s="576">
        <f>1-AS47</f>
        <v>0.9</v>
      </c>
      <c r="AU48" s="9"/>
      <c r="AV48" s="88"/>
      <c r="AW48" s="92"/>
      <c r="AX48" s="92"/>
      <c r="AY48" s="91"/>
      <c r="AZ48" s="91"/>
      <c r="BA48" s="91"/>
      <c r="BB48" s="91"/>
      <c r="BC48" s="91"/>
      <c r="BD48" s="91"/>
      <c r="BE48" s="91"/>
      <c r="BF48" s="91"/>
      <c r="BG48" s="90"/>
      <c r="BM48" s="9" t="s">
        <v>34</v>
      </c>
      <c r="BN48" s="89">
        <f ca="1">BN45+BN46+BN47</f>
        <v>639825.22881494311</v>
      </c>
      <c r="BO48" s="1103">
        <f ca="1">BN48/$AS$6</f>
        <v>34.116733966884034</v>
      </c>
    </row>
    <row r="49" spans="2:67" x14ac:dyDescent="0.35">
      <c r="B49" s="5"/>
      <c r="E49" s="1112" t="s">
        <v>21</v>
      </c>
      <c r="F49" s="1119"/>
      <c r="G49" s="1119"/>
      <c r="H49" s="51">
        <f>H47-H48</f>
        <v>0</v>
      </c>
      <c r="I49" s="751">
        <f t="shared" ref="I49:J49" si="71">I47-I48</f>
        <v>0</v>
      </c>
      <c r="J49" s="31">
        <f t="shared" si="71"/>
        <v>0</v>
      </c>
      <c r="K49" s="31">
        <f t="shared" ref="K49" si="72">K47-K48</f>
        <v>0</v>
      </c>
      <c r="L49" s="31">
        <f t="shared" ref="L49" si="73">L47-L48</f>
        <v>0</v>
      </c>
      <c r="M49" s="31">
        <f t="shared" ref="M49" si="74">M47-M48</f>
        <v>0</v>
      </c>
      <c r="N49" s="31">
        <f t="shared" ref="N49" si="75">N47-N48</f>
        <v>0</v>
      </c>
      <c r="O49" s="31">
        <f t="shared" ref="O49" si="76">O47-O48</f>
        <v>0</v>
      </c>
      <c r="P49" s="31">
        <f t="shared" ref="P49" si="77">P47-P48</f>
        <v>0</v>
      </c>
      <c r="Q49" s="31">
        <f t="shared" ref="Q49" si="78">Q47-Q48</f>
        <v>0</v>
      </c>
      <c r="R49" s="31">
        <f t="shared" ref="R49" si="79">R47-R48</f>
        <v>0</v>
      </c>
      <c r="S49" s="31">
        <f t="shared" ref="S49" si="80">S47-S48</f>
        <v>0</v>
      </c>
      <c r="T49" s="31">
        <f t="shared" ref="T49" si="81">T47-T48</f>
        <v>0</v>
      </c>
      <c r="U49" s="31">
        <f t="shared" ref="U49" si="82">U47-U48</f>
        <v>0</v>
      </c>
      <c r="V49" s="31">
        <f t="shared" ref="V49" si="83">V47-V48</f>
        <v>0</v>
      </c>
      <c r="W49" s="31">
        <f t="shared" ref="W49" si="84">W47-W48</f>
        <v>0</v>
      </c>
      <c r="X49" s="31">
        <f t="shared" ref="X49" si="85">X47-X48</f>
        <v>0</v>
      </c>
      <c r="Y49" s="31">
        <f t="shared" ref="Y49" si="86">Y47-Y48</f>
        <v>0</v>
      </c>
      <c r="Z49" s="31">
        <f t="shared" ref="Z49" si="87">Z47-Z48</f>
        <v>0</v>
      </c>
      <c r="AA49" s="31">
        <f t="shared" ref="AA49" si="88">AA47-AA48</f>
        <v>0</v>
      </c>
      <c r="AB49" s="31">
        <f t="shared" ref="AB49" si="89">AB47-AB48</f>
        <v>0</v>
      </c>
      <c r="AC49" s="31">
        <f t="shared" ref="AC49" si="90">AC47-AC48</f>
        <v>0</v>
      </c>
      <c r="AD49" s="31">
        <f t="shared" ref="AD49" si="91">AD47-AD48</f>
        <v>0</v>
      </c>
      <c r="AE49" s="31">
        <f t="shared" ref="AE49" si="92">AE47-AE48</f>
        <v>0</v>
      </c>
      <c r="AF49" s="31">
        <f t="shared" ref="AF49" si="93">AF47-AF48</f>
        <v>0</v>
      </c>
      <c r="AG49" s="31">
        <f t="shared" ref="AG49" si="94">AG47-AG48</f>
        <v>0</v>
      </c>
      <c r="AH49" s="31">
        <f t="shared" ref="AH49" si="95">AH47-AH48</f>
        <v>0</v>
      </c>
      <c r="AI49" s="31">
        <f t="shared" ref="AI49" si="96">AI47-AI48</f>
        <v>0</v>
      </c>
      <c r="AJ49" s="31">
        <f t="shared" ref="AJ49" si="97">AJ47-AJ48</f>
        <v>0</v>
      </c>
      <c r="AK49" s="31">
        <f t="shared" ref="AK49:AL49" si="98">AK47-AK48</f>
        <v>0</v>
      </c>
      <c r="AL49" s="31">
        <f t="shared" si="98"/>
        <v>10806492.985218363</v>
      </c>
      <c r="AM49" s="31">
        <f>AM47-AM48</f>
        <v>0</v>
      </c>
      <c r="AN49" s="31">
        <f>AN47-AN48</f>
        <v>0</v>
      </c>
      <c r="AO49" s="31">
        <f>SUM(H49:AN49)</f>
        <v>10806492.985218363</v>
      </c>
      <c r="AP49" s="32">
        <f>+AO49/SF</f>
        <v>576.223364893802</v>
      </c>
      <c r="AR49" s="9"/>
      <c r="AS49" s="120"/>
      <c r="AU49" s="68" t="s">
        <v>25</v>
      </c>
      <c r="AV49" s="88"/>
      <c r="AW49" s="87">
        <f t="shared" ref="AW49:BG49" ca="1" si="99">AW79</f>
        <v>3.0499176887239798E-3</v>
      </c>
      <c r="AX49" s="87"/>
      <c r="AY49" s="87">
        <f t="shared" ca="1" si="99"/>
        <v>7.5843860579909661E-2</v>
      </c>
      <c r="AZ49" s="87">
        <f t="shared" ca="1" si="99"/>
        <v>9.2559786580031167E-2</v>
      </c>
      <c r="BA49" s="87">
        <f t="shared" ca="1" si="99"/>
        <v>0.10094219520415737</v>
      </c>
      <c r="BB49" s="87">
        <f t="shared" ca="1" si="99"/>
        <v>0.10594725198855337</v>
      </c>
      <c r="BC49" s="87">
        <f t="shared" ca="1" si="99"/>
        <v>0.10925327963660081</v>
      </c>
      <c r="BD49" s="87">
        <f t="shared" ca="1" si="99"/>
        <v>0.11158594524209531</v>
      </c>
      <c r="BE49" s="87">
        <f t="shared" ca="1" si="99"/>
        <v>0.11331010520637519</v>
      </c>
      <c r="BF49" s="87">
        <f t="shared" ca="1" si="99"/>
        <v>0.1146291964805457</v>
      </c>
      <c r="BG49" s="86">
        <f t="shared" ca="1" si="99"/>
        <v>0.11579855571483444</v>
      </c>
      <c r="BM49" s="9"/>
      <c r="BN49" s="89"/>
      <c r="BO49" s="1103"/>
    </row>
    <row r="50" spans="2:67" ht="15" thickBot="1" x14ac:dyDescent="0.4">
      <c r="E50" s="1112"/>
      <c r="F50" s="1119"/>
      <c r="G50" s="1119"/>
      <c r="H50" s="55"/>
      <c r="I50" s="54"/>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61"/>
      <c r="AR50" s="9" t="s">
        <v>61</v>
      </c>
      <c r="AS50" s="115">
        <f ca="1">AS46*AS47</f>
        <v>415453.84556194453</v>
      </c>
      <c r="AU50" s="66" t="s">
        <v>24</v>
      </c>
      <c r="AV50" s="84"/>
      <c r="AW50" s="83">
        <f ca="1">((SUM($AW$44:AW44)+(AW39))/-AW80)</f>
        <v>1.0030499176887238</v>
      </c>
      <c r="AX50" s="83"/>
      <c r="AY50" s="83">
        <f ca="1">((SUM($AW$44:AY44)+(AY39))/-AY80)</f>
        <v>1.1506983834672786</v>
      </c>
      <c r="AZ50" s="83">
        <f ca="1">((SUM($AW$44:AZ44)+(AZ39))/-AZ80)</f>
        <v>1.2784217167837566</v>
      </c>
      <c r="BA50" s="83">
        <f ca="1">((SUM($AW$44:BA44)+(BA39))/-BA80)</f>
        <v>1.4101860532558157</v>
      </c>
      <c r="BB50" s="83">
        <f ca="1">((SUM($AW$44:BB44)+(BB39))/-BB80)</f>
        <v>1.5460685128725624</v>
      </c>
      <c r="BC50" s="83">
        <f ca="1">((SUM($AW$44:BC44)+(BC39))/-BC80)</f>
        <v>1.6861477844824801</v>
      </c>
      <c r="BD50" s="83">
        <f ca="1">((SUM($AW$44:BD44)+(BD39))/-BD80)</f>
        <v>1.8305041547870187</v>
      </c>
      <c r="BE50" s="83">
        <f ca="1">((SUM($AW$44:BE44)+(BE39))/-BE80)</f>
        <v>1.9792195380006352</v>
      </c>
      <c r="BF50" s="83">
        <f ca="1">((SUM($AW$44:BF44)+(BF39))/-BF80)</f>
        <v>2.132377506185521</v>
      </c>
      <c r="BG50" s="82">
        <f ca="1">((SUM($AW$44:BG44)+(BG39))/-BG80)</f>
        <v>2.2900633202696983</v>
      </c>
      <c r="BM50" s="9" t="s">
        <v>32</v>
      </c>
      <c r="BN50" s="72">
        <f ca="1">'JV Waterfall'!D40</f>
        <v>0.13861658054268999</v>
      </c>
      <c r="BO50" s="30"/>
    </row>
    <row r="51" spans="2:67" ht="15" thickBot="1" x14ac:dyDescent="0.4">
      <c r="B51" s="128"/>
      <c r="E51" s="1112" t="str">
        <f>+"Unleveraged Cash Flow ("&amp;IFERROR(TEXT(F51,"0.00%)"),"0%)")</f>
        <v>Unleveraged Cash Flow (7.57%)</v>
      </c>
      <c r="F51" s="50">
        <f>XIRR(H51:AN51,H7:AN7)</f>
        <v>7.5689134001731856E-2</v>
      </c>
      <c r="G51" s="1119"/>
      <c r="H51" s="60">
        <f>-H44+H49+H12</f>
        <v>-10101440.210000001</v>
      </c>
      <c r="I51" s="59">
        <f t="shared" ref="I51:AN51" si="100">-I44+I49+I12-IF($G$13="No",I13,0)+I14</f>
        <v>27845.161935483869</v>
      </c>
      <c r="J51" s="59">
        <f t="shared" si="100"/>
        <v>45431.579999999994</v>
      </c>
      <c r="K51" s="59">
        <f t="shared" si="100"/>
        <v>45431.579999999994</v>
      </c>
      <c r="L51" s="59">
        <f t="shared" si="100"/>
        <v>45431.579999999994</v>
      </c>
      <c r="M51" s="59">
        <f t="shared" si="100"/>
        <v>45431.579999999994</v>
      </c>
      <c r="N51" s="59">
        <f t="shared" si="100"/>
        <v>68000</v>
      </c>
      <c r="O51" s="59">
        <f t="shared" si="100"/>
        <v>0</v>
      </c>
      <c r="P51" s="59">
        <f t="shared" si="100"/>
        <v>55381.979852490542</v>
      </c>
      <c r="Q51" s="59">
        <f t="shared" si="100"/>
        <v>55381.979852490542</v>
      </c>
      <c r="R51" s="59">
        <f t="shared" si="100"/>
        <v>55381.979852490542</v>
      </c>
      <c r="S51" s="59">
        <f t="shared" si="100"/>
        <v>55381.979852490542</v>
      </c>
      <c r="T51" s="59">
        <f t="shared" si="100"/>
        <v>55381.979852490542</v>
      </c>
      <c r="U51" s="59">
        <f t="shared" si="100"/>
        <v>55381.979852490542</v>
      </c>
      <c r="V51" s="59">
        <f t="shared" si="100"/>
        <v>55381.979852490542</v>
      </c>
      <c r="W51" s="59">
        <f t="shared" si="100"/>
        <v>55381.979852490542</v>
      </c>
      <c r="X51" s="59">
        <f t="shared" si="100"/>
        <v>55381.979852490542</v>
      </c>
      <c r="Y51" s="59">
        <f t="shared" si="100"/>
        <v>55381.979852490542</v>
      </c>
      <c r="Z51" s="59">
        <f t="shared" si="100"/>
        <v>0</v>
      </c>
      <c r="AA51" s="59">
        <f t="shared" si="100"/>
        <v>56489.619449540354</v>
      </c>
      <c r="AB51" s="59">
        <f t="shared" si="100"/>
        <v>56489.619449540354</v>
      </c>
      <c r="AC51" s="59">
        <f t="shared" si="100"/>
        <v>56489.619449540354</v>
      </c>
      <c r="AD51" s="59">
        <f t="shared" si="100"/>
        <v>56489.619449540354</v>
      </c>
      <c r="AE51" s="59">
        <f t="shared" si="100"/>
        <v>56489.619449540354</v>
      </c>
      <c r="AF51" s="59">
        <f t="shared" si="100"/>
        <v>56489.619449540354</v>
      </c>
      <c r="AG51" s="59">
        <f t="shared" si="100"/>
        <v>56489.619449540354</v>
      </c>
      <c r="AH51" s="59">
        <f t="shared" si="100"/>
        <v>56489.619449540354</v>
      </c>
      <c r="AI51" s="59">
        <f t="shared" si="100"/>
        <v>56489.619449540354</v>
      </c>
      <c r="AJ51" s="59">
        <f t="shared" si="100"/>
        <v>56489.619449540354</v>
      </c>
      <c r="AK51" s="59">
        <f t="shared" si="100"/>
        <v>-237280.38055045964</v>
      </c>
      <c r="AL51" s="59">
        <f t="shared" si="100"/>
        <v>10806492.985218363</v>
      </c>
      <c r="AM51" s="59">
        <f t="shared" si="100"/>
        <v>0</v>
      </c>
      <c r="AN51" s="59">
        <f t="shared" si="100"/>
        <v>0</v>
      </c>
      <c r="AO51" s="58">
        <f>SUM(H51:AN51)</f>
        <v>1864059.8696236983</v>
      </c>
      <c r="AP51" s="57">
        <f>+AO51/SF</f>
        <v>99.39532204456107</v>
      </c>
      <c r="AR51" s="9" t="s">
        <v>58</v>
      </c>
      <c r="AS51" s="115">
        <f ca="1">AS46*AS48</f>
        <v>3739084.6100575007</v>
      </c>
      <c r="AW51" s="10"/>
      <c r="AX51" s="10"/>
      <c r="BM51" s="71" t="s">
        <v>37</v>
      </c>
      <c r="BN51" s="1115">
        <f ca="1">'JV Waterfall'!D41</f>
        <v>2.2900633202696992</v>
      </c>
      <c r="BO51" s="1118"/>
    </row>
    <row r="52" spans="2:67" ht="15" thickBot="1" x14ac:dyDescent="0.4">
      <c r="E52" s="1112"/>
      <c r="F52" s="1119"/>
      <c r="G52" s="1119"/>
      <c r="H52" s="56"/>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45"/>
      <c r="AR52" s="9" t="s">
        <v>55</v>
      </c>
      <c r="AS52" s="115">
        <f ca="1">AS50+AS51</f>
        <v>4154538.4556194451</v>
      </c>
      <c r="AU52" s="565" t="s">
        <v>80</v>
      </c>
      <c r="AV52" s="566">
        <f t="shared" ref="AV52:BG52" si="101">AV65</f>
        <v>0</v>
      </c>
      <c r="AW52" s="566">
        <f t="shared" si="101"/>
        <v>1</v>
      </c>
      <c r="AX52" s="566"/>
      <c r="AY52" s="566">
        <f t="shared" si="101"/>
        <v>2</v>
      </c>
      <c r="AZ52" s="566">
        <f t="shared" si="101"/>
        <v>3</v>
      </c>
      <c r="BA52" s="566">
        <f t="shared" si="101"/>
        <v>4</v>
      </c>
      <c r="BB52" s="566">
        <f t="shared" si="101"/>
        <v>5</v>
      </c>
      <c r="BC52" s="566">
        <f t="shared" si="101"/>
        <v>6</v>
      </c>
      <c r="BD52" s="566">
        <f t="shared" si="101"/>
        <v>7</v>
      </c>
      <c r="BE52" s="566">
        <f t="shared" si="101"/>
        <v>8</v>
      </c>
      <c r="BF52" s="566">
        <f t="shared" si="101"/>
        <v>9</v>
      </c>
      <c r="BG52" s="574">
        <f t="shared" si="101"/>
        <v>10</v>
      </c>
    </row>
    <row r="53" spans="2:67" ht="15" thickBot="1" x14ac:dyDescent="0.4">
      <c r="B53" s="128"/>
      <c r="E53" s="1112" t="s">
        <v>17</v>
      </c>
      <c r="F53" s="1119"/>
      <c r="G53" s="1119"/>
      <c r="H53" s="5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45"/>
      <c r="AR53" s="9"/>
      <c r="AS53" s="30"/>
      <c r="AU53" s="135" t="s">
        <v>291</v>
      </c>
      <c r="AV53" s="134" t="s">
        <v>77</v>
      </c>
      <c r="AW53" s="133">
        <f t="shared" ref="AW53:BG53" ca="1" si="102">IRR(AW54:AW64)</f>
        <v>2.83127825731182E-2</v>
      </c>
      <c r="AX53" s="133"/>
      <c r="AY53" s="133">
        <f t="shared" ca="1" si="102"/>
        <v>5.2025111297084425E-2</v>
      </c>
      <c r="AZ53" s="133">
        <f t="shared" ca="1" si="102"/>
        <v>5.7560640507804628E-2</v>
      </c>
      <c r="BA53" s="133">
        <f t="shared" ca="1" si="102"/>
        <v>6.0467669757946263E-2</v>
      </c>
      <c r="BB53" s="133">
        <f t="shared" ca="1" si="102"/>
        <v>6.2315052254311221E-2</v>
      </c>
      <c r="BC53" s="133">
        <f t="shared" ca="1" si="102"/>
        <v>6.362837472830507E-2</v>
      </c>
      <c r="BD53" s="133">
        <f t="shared" ca="1" si="102"/>
        <v>6.4633533239657481E-2</v>
      </c>
      <c r="BE53" s="133">
        <f t="shared" ca="1" si="102"/>
        <v>6.5443688504358777E-2</v>
      </c>
      <c r="BF53" s="133">
        <f t="shared" ca="1" si="102"/>
        <v>6.6121794838770676E-2</v>
      </c>
      <c r="BG53" s="132">
        <f t="shared" ca="1" si="102"/>
        <v>6.6705668700325127E-2</v>
      </c>
      <c r="BM53" s="1300" t="s">
        <v>292</v>
      </c>
      <c r="BN53" s="1301"/>
      <c r="BO53" s="1302"/>
    </row>
    <row r="54" spans="2:67" ht="15" thickBot="1" x14ac:dyDescent="0.4">
      <c r="E54" s="34" t="s">
        <v>7</v>
      </c>
      <c r="F54" s="1119"/>
      <c r="G54" s="1119"/>
      <c r="H54" s="51">
        <f t="shared" ref="H54" si="103">H83</f>
        <v>0</v>
      </c>
      <c r="I54" s="31">
        <f>I83+I104</f>
        <v>24243.55</v>
      </c>
      <c r="J54" s="31">
        <f>J83+J104</f>
        <v>40712.089999999997</v>
      </c>
      <c r="K54" s="31">
        <f t="shared" ref="K54:AN54" si="104">K83+K104</f>
        <v>39462</v>
      </c>
      <c r="L54" s="31">
        <f t="shared" si="104"/>
        <v>40692.300000000003</v>
      </c>
      <c r="M54" s="31">
        <f t="shared" si="104"/>
        <v>34769.583333333336</v>
      </c>
      <c r="N54" s="31">
        <f t="shared" si="104"/>
        <v>35928.569444444445</v>
      </c>
      <c r="O54" s="31">
        <f t="shared" si="104"/>
        <v>35928.569444444445</v>
      </c>
      <c r="P54" s="31">
        <f>P83+P104</f>
        <v>33610.597222222226</v>
      </c>
      <c r="Q54" s="31">
        <f t="shared" si="104"/>
        <v>35928.569444444445</v>
      </c>
      <c r="R54" s="31">
        <f t="shared" si="104"/>
        <v>34769.583333333336</v>
      </c>
      <c r="S54" s="31">
        <f t="shared" si="104"/>
        <v>35928.569444444445</v>
      </c>
      <c r="T54" s="31">
        <f t="shared" si="104"/>
        <v>34769.583333333336</v>
      </c>
      <c r="U54" s="31">
        <f t="shared" si="104"/>
        <v>35928.569444444445</v>
      </c>
      <c r="V54" s="31">
        <f t="shared" si="104"/>
        <v>35928.569444444445</v>
      </c>
      <c r="W54" s="31">
        <f t="shared" si="104"/>
        <v>34769.583333333336</v>
      </c>
      <c r="X54" s="31">
        <f t="shared" si="104"/>
        <v>35928.569444444445</v>
      </c>
      <c r="Y54" s="31">
        <f t="shared" si="104"/>
        <v>34769.583333333336</v>
      </c>
      <c r="Z54" s="31">
        <f t="shared" si="104"/>
        <v>35928.569444444445</v>
      </c>
      <c r="AA54" s="31">
        <f t="shared" si="104"/>
        <v>35928.569444444445</v>
      </c>
      <c r="AB54" s="31">
        <f t="shared" si="104"/>
        <v>32451.611111111117</v>
      </c>
      <c r="AC54" s="31">
        <f t="shared" si="104"/>
        <v>35928.569444444445</v>
      </c>
      <c r="AD54" s="31">
        <f t="shared" si="104"/>
        <v>34769.583333333336</v>
      </c>
      <c r="AE54" s="31">
        <f t="shared" si="104"/>
        <v>35928.569444444445</v>
      </c>
      <c r="AF54" s="31">
        <f t="shared" si="104"/>
        <v>34769.583333333336</v>
      </c>
      <c r="AG54" s="31">
        <f t="shared" si="104"/>
        <v>35928.569444444445</v>
      </c>
      <c r="AH54" s="31">
        <f t="shared" si="104"/>
        <v>35928.569444444445</v>
      </c>
      <c r="AI54" s="31">
        <f t="shared" si="104"/>
        <v>34769.583333333336</v>
      </c>
      <c r="AJ54" s="31">
        <f t="shared" si="104"/>
        <v>35928.569444444445</v>
      </c>
      <c r="AK54" s="31">
        <f t="shared" si="104"/>
        <v>34769.583333333336</v>
      </c>
      <c r="AL54" s="31">
        <f t="shared" si="104"/>
        <v>35928.569444444445</v>
      </c>
      <c r="AM54" s="31">
        <f t="shared" si="104"/>
        <v>0</v>
      </c>
      <c r="AN54" s="31">
        <f t="shared" si="104"/>
        <v>0</v>
      </c>
      <c r="AO54" s="31">
        <f>SUM(H54:AN54)</f>
        <v>1063026.9400000006</v>
      </c>
      <c r="AP54" s="32">
        <f>+AO54/SF</f>
        <v>56.682677828729908</v>
      </c>
      <c r="AR54" s="9" t="s">
        <v>159</v>
      </c>
      <c r="AS54" s="555">
        <v>0.08</v>
      </c>
      <c r="AU54" s="131">
        <v>0</v>
      </c>
      <c r="AV54" s="1126">
        <f ca="1">AW54</f>
        <v>-11454656.027636472</v>
      </c>
      <c r="AW54" s="130">
        <f ca="1">-AS42-AS51</f>
        <v>-11454656.027636472</v>
      </c>
      <c r="AX54" s="130"/>
      <c r="AY54" s="130">
        <f ca="1">AW54</f>
        <v>-11454656.027636472</v>
      </c>
      <c r="AZ54" s="130">
        <f t="shared" ref="AZ54:BG54" ca="1" si="105">AY54</f>
        <v>-11454656.027636472</v>
      </c>
      <c r="BA54" s="130">
        <f t="shared" ca="1" si="105"/>
        <v>-11454656.027636472</v>
      </c>
      <c r="BB54" s="130">
        <f t="shared" ca="1" si="105"/>
        <v>-11454656.027636472</v>
      </c>
      <c r="BC54" s="130">
        <f t="shared" ca="1" si="105"/>
        <v>-11454656.027636472</v>
      </c>
      <c r="BD54" s="130">
        <f t="shared" ca="1" si="105"/>
        <v>-11454656.027636472</v>
      </c>
      <c r="BE54" s="130">
        <f t="shared" ca="1" si="105"/>
        <v>-11454656.027636472</v>
      </c>
      <c r="BF54" s="130">
        <f t="shared" ca="1" si="105"/>
        <v>-11454656.027636472</v>
      </c>
      <c r="BG54" s="129">
        <f t="shared" ca="1" si="105"/>
        <v>-11454656.027636472</v>
      </c>
      <c r="BM54" s="95" t="s">
        <v>47</v>
      </c>
      <c r="BN54" s="107" t="s">
        <v>46</v>
      </c>
      <c r="BO54" s="106" t="s">
        <v>45</v>
      </c>
    </row>
    <row r="55" spans="2:67" ht="15" thickBot="1" x14ac:dyDescent="0.4">
      <c r="E55" s="34" t="s">
        <v>20</v>
      </c>
      <c r="F55" s="1119"/>
      <c r="G55" s="1119"/>
      <c r="H55" s="51">
        <v>0</v>
      </c>
      <c r="I55" s="31">
        <v>0</v>
      </c>
      <c r="J55" s="31">
        <v>0</v>
      </c>
      <c r="K55" s="31">
        <v>0</v>
      </c>
      <c r="L55" s="31">
        <v>0</v>
      </c>
      <c r="M55" s="31">
        <v>0</v>
      </c>
      <c r="N55" s="31">
        <v>0</v>
      </c>
      <c r="O55" s="31">
        <v>0</v>
      </c>
      <c r="P55" s="31">
        <v>0</v>
      </c>
      <c r="Q55" s="31">
        <v>0</v>
      </c>
      <c r="R55" s="31">
        <v>0</v>
      </c>
      <c r="S55" s="31">
        <v>0</v>
      </c>
      <c r="T55" s="31">
        <v>0</v>
      </c>
      <c r="U55" s="31">
        <v>0</v>
      </c>
      <c r="V55" s="31">
        <v>0</v>
      </c>
      <c r="W55" s="31">
        <v>0</v>
      </c>
      <c r="X55" s="31">
        <v>0</v>
      </c>
      <c r="Y55" s="31">
        <v>0</v>
      </c>
      <c r="Z55" s="31">
        <v>0</v>
      </c>
      <c r="AA55" s="31">
        <v>0</v>
      </c>
      <c r="AB55" s="31">
        <v>0</v>
      </c>
      <c r="AC55" s="31">
        <v>0</v>
      </c>
      <c r="AD55" s="31">
        <v>0</v>
      </c>
      <c r="AE55" s="31">
        <v>0</v>
      </c>
      <c r="AF55" s="31">
        <v>0</v>
      </c>
      <c r="AG55" s="31">
        <v>0</v>
      </c>
      <c r="AH55" s="31">
        <v>0</v>
      </c>
      <c r="AI55" s="31">
        <v>0</v>
      </c>
      <c r="AJ55" s="31">
        <v>0</v>
      </c>
      <c r="AK55" s="31">
        <v>0</v>
      </c>
      <c r="AL55" s="31">
        <v>0</v>
      </c>
      <c r="AM55" s="31">
        <v>0</v>
      </c>
      <c r="AN55" s="31">
        <v>0</v>
      </c>
      <c r="AO55" s="31">
        <f t="shared" ref="AO55" si="106">SUM(H55:AN55)</f>
        <v>0</v>
      </c>
      <c r="AP55" s="32">
        <f>+AO55/SF</f>
        <v>0</v>
      </c>
      <c r="AR55" s="9"/>
      <c r="AS55" s="30"/>
      <c r="AU55" s="9">
        <f t="shared" ref="AU55:AU64" si="107">AU54+1</f>
        <v>1</v>
      </c>
      <c r="AV55" s="2"/>
      <c r="AW55" s="119">
        <f ca="1">AW36+(AW44*$AS$48)+AW35+(AW39*$AS$48)</f>
        <v>11778969.213196801</v>
      </c>
      <c r="AX55" s="119"/>
      <c r="AY55" s="119">
        <f ca="1">AW$36+(AW$44*$AS$48)</f>
        <v>645270.01427093428</v>
      </c>
      <c r="AZ55" s="119">
        <f t="shared" ref="AZ55:BG55" ca="1" si="108">AY55</f>
        <v>645270.01427093428</v>
      </c>
      <c r="BA55" s="119">
        <f t="shared" ca="1" si="108"/>
        <v>645270.01427093428</v>
      </c>
      <c r="BB55" s="119">
        <f t="shared" ca="1" si="108"/>
        <v>645270.01427093428</v>
      </c>
      <c r="BC55" s="119">
        <f t="shared" ca="1" si="108"/>
        <v>645270.01427093428</v>
      </c>
      <c r="BD55" s="119">
        <f t="shared" ca="1" si="108"/>
        <v>645270.01427093428</v>
      </c>
      <c r="BE55" s="119">
        <f t="shared" ca="1" si="108"/>
        <v>645270.01427093428</v>
      </c>
      <c r="BF55" s="119">
        <f t="shared" ca="1" si="108"/>
        <v>645270.01427093428</v>
      </c>
      <c r="BG55" s="118">
        <f t="shared" ca="1" si="108"/>
        <v>645270.01427093428</v>
      </c>
      <c r="BM55" s="103" t="s">
        <v>38</v>
      </c>
      <c r="BN55" s="102">
        <f ca="1">SUM(BG55:BG64)</f>
        <v>19407404.787141386</v>
      </c>
      <c r="BO55" s="1104">
        <f ca="1">BN55/$AS$6</f>
        <v>1034.8408226053848</v>
      </c>
    </row>
    <row r="56" spans="2:67" ht="15" thickBot="1" x14ac:dyDescent="0.4">
      <c r="E56" s="34" t="s">
        <v>19</v>
      </c>
      <c r="F56" s="1119"/>
      <c r="G56" s="1119"/>
      <c r="H56" s="51">
        <v>0</v>
      </c>
      <c r="I56" s="31">
        <v>0</v>
      </c>
      <c r="J56" s="31">
        <v>0</v>
      </c>
      <c r="K56" s="31">
        <v>0</v>
      </c>
      <c r="L56" s="31">
        <v>0</v>
      </c>
      <c r="M56" s="31">
        <v>0</v>
      </c>
      <c r="N56" s="31">
        <v>0</v>
      </c>
      <c r="O56" s="31">
        <v>0</v>
      </c>
      <c r="P56" s="31">
        <v>0</v>
      </c>
      <c r="Q56" s="31">
        <v>0</v>
      </c>
      <c r="R56" s="31">
        <v>0</v>
      </c>
      <c r="S56" s="31">
        <v>0</v>
      </c>
      <c r="T56" s="31">
        <v>0</v>
      </c>
      <c r="U56" s="31">
        <v>0</v>
      </c>
      <c r="V56" s="31">
        <v>0</v>
      </c>
      <c r="W56" s="31">
        <v>0</v>
      </c>
      <c r="X56" s="31">
        <v>0</v>
      </c>
      <c r="Y56" s="31">
        <v>0</v>
      </c>
      <c r="Z56" s="31">
        <v>0</v>
      </c>
      <c r="AA56" s="31">
        <v>0</v>
      </c>
      <c r="AB56" s="31">
        <v>0</v>
      </c>
      <c r="AC56" s="31">
        <v>0</v>
      </c>
      <c r="AD56" s="31">
        <v>0</v>
      </c>
      <c r="AE56" s="31">
        <v>0</v>
      </c>
      <c r="AF56" s="31">
        <v>0</v>
      </c>
      <c r="AG56" s="31">
        <v>0</v>
      </c>
      <c r="AH56" s="31">
        <v>0</v>
      </c>
      <c r="AI56" s="31">
        <v>0</v>
      </c>
      <c r="AJ56" s="31">
        <v>0</v>
      </c>
      <c r="AK56" s="31">
        <v>0</v>
      </c>
      <c r="AL56" s="31">
        <v>0</v>
      </c>
      <c r="AM56" s="31">
        <v>0</v>
      </c>
      <c r="AN56" s="31">
        <v>0</v>
      </c>
      <c r="AO56" s="31">
        <f>SUM(H56:AN56)</f>
        <v>0</v>
      </c>
      <c r="AP56" s="32">
        <f>+AO56/SF</f>
        <v>0</v>
      </c>
      <c r="AR56" s="112" t="s">
        <v>53</v>
      </c>
      <c r="AS56" s="111"/>
      <c r="AU56" s="9">
        <f t="shared" si="107"/>
        <v>2</v>
      </c>
      <c r="AV56" s="2"/>
      <c r="AW56" s="119"/>
      <c r="AX56" s="119"/>
      <c r="AY56" s="119">
        <f ca="1">AY36+(AY44*$AS$48)+AY35+(AY39*$AS$48)</f>
        <v>11998678.590285543</v>
      </c>
      <c r="AZ56" s="119">
        <f ca="1">AY$36+(AY$44*$AS$48)</f>
        <v>657736.55021631892</v>
      </c>
      <c r="BA56" s="119">
        <f t="shared" ref="BA56:BG56" ca="1" si="109">AZ56</f>
        <v>657736.55021631892</v>
      </c>
      <c r="BB56" s="119">
        <f t="shared" ca="1" si="109"/>
        <v>657736.55021631892</v>
      </c>
      <c r="BC56" s="119">
        <f t="shared" ca="1" si="109"/>
        <v>657736.55021631892</v>
      </c>
      <c r="BD56" s="119">
        <f t="shared" ca="1" si="109"/>
        <v>657736.55021631892</v>
      </c>
      <c r="BE56" s="119">
        <f t="shared" ca="1" si="109"/>
        <v>657736.55021631892</v>
      </c>
      <c r="BF56" s="119">
        <f t="shared" ca="1" si="109"/>
        <v>657736.55021631892</v>
      </c>
      <c r="BG56" s="118">
        <f t="shared" ca="1" si="109"/>
        <v>657736.55021631892</v>
      </c>
      <c r="BM56" s="9" t="s">
        <v>36</v>
      </c>
      <c r="BN56" s="96">
        <f ca="1">BG54</f>
        <v>-11454656.027636472</v>
      </c>
      <c r="BO56" s="1103">
        <f ca="1">-BN56/$AS$6</f>
        <v>610.78468740729829</v>
      </c>
    </row>
    <row r="57" spans="2:67" x14ac:dyDescent="0.35">
      <c r="E57" s="34" t="s">
        <v>11</v>
      </c>
      <c r="F57" s="1119"/>
      <c r="G57" s="1119"/>
      <c r="H57" s="485">
        <f>-H71-H92</f>
        <v>-6550000</v>
      </c>
      <c r="I57" s="33">
        <f>-I71-I92</f>
        <v>0</v>
      </c>
      <c r="J57" s="33">
        <f>-J71-J92</f>
        <v>0</v>
      </c>
      <c r="K57" s="33">
        <f t="shared" ref="K57:AO57" si="110">-K71-K92</f>
        <v>0</v>
      </c>
      <c r="L57" s="33">
        <f>-L71-L92</f>
        <v>0</v>
      </c>
      <c r="M57" s="33">
        <f t="shared" si="110"/>
        <v>0</v>
      </c>
      <c r="N57" s="33">
        <f t="shared" si="110"/>
        <v>0</v>
      </c>
      <c r="O57" s="33">
        <f t="shared" si="110"/>
        <v>0</v>
      </c>
      <c r="P57" s="33">
        <f t="shared" si="110"/>
        <v>0</v>
      </c>
      <c r="Q57" s="33">
        <f>-Q71-Q92</f>
        <v>0</v>
      </c>
      <c r="R57" s="33">
        <f t="shared" si="110"/>
        <v>0</v>
      </c>
      <c r="S57" s="33">
        <f t="shared" si="110"/>
        <v>0</v>
      </c>
      <c r="T57" s="33">
        <f t="shared" si="110"/>
        <v>0</v>
      </c>
      <c r="U57" s="33">
        <f t="shared" si="110"/>
        <v>0</v>
      </c>
      <c r="V57" s="33">
        <f t="shared" si="110"/>
        <v>0</v>
      </c>
      <c r="W57" s="33">
        <f t="shared" si="110"/>
        <v>0</v>
      </c>
      <c r="X57" s="33">
        <f t="shared" si="110"/>
        <v>0</v>
      </c>
      <c r="Y57" s="33">
        <f t="shared" si="110"/>
        <v>0</v>
      </c>
      <c r="Z57" s="33">
        <f t="shared" si="110"/>
        <v>0</v>
      </c>
      <c r="AA57" s="33">
        <f t="shared" si="110"/>
        <v>0</v>
      </c>
      <c r="AB57" s="33">
        <f t="shared" si="110"/>
        <v>0</v>
      </c>
      <c r="AC57" s="33">
        <f t="shared" si="110"/>
        <v>0</v>
      </c>
      <c r="AD57" s="33">
        <f t="shared" si="110"/>
        <v>0</v>
      </c>
      <c r="AE57" s="33">
        <f t="shared" si="110"/>
        <v>0</v>
      </c>
      <c r="AF57" s="33">
        <f t="shared" si="110"/>
        <v>0</v>
      </c>
      <c r="AG57" s="33">
        <f t="shared" si="110"/>
        <v>0</v>
      </c>
      <c r="AH57" s="33">
        <f t="shared" si="110"/>
        <v>0</v>
      </c>
      <c r="AI57" s="33">
        <f t="shared" si="110"/>
        <v>0</v>
      </c>
      <c r="AJ57" s="33">
        <f t="shared" si="110"/>
        <v>0</v>
      </c>
      <c r="AK57" s="33">
        <f t="shared" si="110"/>
        <v>0</v>
      </c>
      <c r="AL57" s="33">
        <f t="shared" si="110"/>
        <v>0</v>
      </c>
      <c r="AM57" s="33">
        <f t="shared" si="110"/>
        <v>0</v>
      </c>
      <c r="AN57" s="33">
        <f t="shared" si="110"/>
        <v>0</v>
      </c>
      <c r="AO57" s="33">
        <f t="shared" si="110"/>
        <v>-6550000</v>
      </c>
      <c r="AP57" s="32">
        <f>-+AO57/SF</f>
        <v>349.25882478404606</v>
      </c>
      <c r="AR57" s="9" t="s">
        <v>50</v>
      </c>
      <c r="AS57" s="108">
        <f ca="1">(AS50)/AS8</f>
        <v>3.4999999999999996E-2</v>
      </c>
      <c r="AU57" s="9">
        <f t="shared" si="107"/>
        <v>3</v>
      </c>
      <c r="AV57" s="2"/>
      <c r="AW57" s="119"/>
      <c r="AX57" s="119"/>
      <c r="AY57" s="119"/>
      <c r="AZ57" s="119">
        <f ca="1">AZ36+(AZ44*$AS$48)+AZ35+(AZ39*$AS$48)</f>
        <v>12131419.675286593</v>
      </c>
      <c r="BA57" s="119">
        <f ca="1">AZ$36+(AZ$44*$AS$48)</f>
        <v>670452.41688061121</v>
      </c>
      <c r="BB57" s="119">
        <f t="shared" ref="BB57:BG57" ca="1" si="111">BA57</f>
        <v>670452.41688061121</v>
      </c>
      <c r="BC57" s="119">
        <f t="shared" ca="1" si="111"/>
        <v>670452.41688061121</v>
      </c>
      <c r="BD57" s="119">
        <f t="shared" ca="1" si="111"/>
        <v>670452.41688061121</v>
      </c>
      <c r="BE57" s="119">
        <f t="shared" ca="1" si="111"/>
        <v>670452.41688061121</v>
      </c>
      <c r="BF57" s="119">
        <f t="shared" ca="1" si="111"/>
        <v>670452.41688061121</v>
      </c>
      <c r="BG57" s="118">
        <f t="shared" ca="1" si="111"/>
        <v>670452.41688061121</v>
      </c>
      <c r="BM57" s="9" t="s">
        <v>43</v>
      </c>
      <c r="BN57" s="96">
        <f ca="1">BN55+BN56</f>
        <v>7952748.7595049143</v>
      </c>
      <c r="BO57" s="1103">
        <f ca="1">BN57/$AS$6</f>
        <v>424.05613519808651</v>
      </c>
    </row>
    <row r="58" spans="2:67" x14ac:dyDescent="0.35">
      <c r="E58" s="34" t="s">
        <v>18</v>
      </c>
      <c r="F58" s="1119"/>
      <c r="G58" s="1119"/>
      <c r="H58" s="55">
        <f t="shared" ref="H58:Y58" si="112">H72</f>
        <v>0</v>
      </c>
      <c r="I58" s="54">
        <f t="shared" si="112"/>
        <v>0</v>
      </c>
      <c r="J58" s="54">
        <f t="shared" si="112"/>
        <v>0</v>
      </c>
      <c r="K58" s="54">
        <f t="shared" si="112"/>
        <v>0</v>
      </c>
      <c r="L58" s="54">
        <f t="shared" si="112"/>
        <v>0</v>
      </c>
      <c r="M58" s="54">
        <f t="shared" si="112"/>
        <v>0</v>
      </c>
      <c r="N58" s="54">
        <f t="shared" si="112"/>
        <v>0</v>
      </c>
      <c r="O58" s="54">
        <f t="shared" si="112"/>
        <v>0</v>
      </c>
      <c r="P58" s="54">
        <f t="shared" si="112"/>
        <v>0</v>
      </c>
      <c r="Q58" s="54">
        <f t="shared" si="112"/>
        <v>0</v>
      </c>
      <c r="R58" s="54">
        <f t="shared" si="112"/>
        <v>0</v>
      </c>
      <c r="S58" s="54">
        <f t="shared" si="112"/>
        <v>0</v>
      </c>
      <c r="T58" s="54">
        <f t="shared" si="112"/>
        <v>0</v>
      </c>
      <c r="U58" s="54">
        <f t="shared" si="112"/>
        <v>0</v>
      </c>
      <c r="V58" s="54">
        <f t="shared" si="112"/>
        <v>0</v>
      </c>
      <c r="W58" s="54">
        <f t="shared" si="112"/>
        <v>0</v>
      </c>
      <c r="X58" s="54">
        <f t="shared" si="112"/>
        <v>0</v>
      </c>
      <c r="Y58" s="54">
        <f t="shared" si="112"/>
        <v>0</v>
      </c>
      <c r="Z58" s="54">
        <f>-Z72</f>
        <v>0</v>
      </c>
      <c r="AA58" s="54">
        <f t="shared" ref="AA58:AF58" si="113">-AA72</f>
        <v>0</v>
      </c>
      <c r="AB58" s="54">
        <f t="shared" si="113"/>
        <v>0</v>
      </c>
      <c r="AC58" s="54">
        <f t="shared" si="113"/>
        <v>0</v>
      </c>
      <c r="AD58" s="54">
        <f t="shared" si="113"/>
        <v>0</v>
      </c>
      <c r="AE58" s="54">
        <f t="shared" si="113"/>
        <v>0</v>
      </c>
      <c r="AF58" s="54">
        <f t="shared" si="113"/>
        <v>0</v>
      </c>
      <c r="AG58" s="54">
        <f t="shared" ref="AG58:AK58" si="114">-AG72</f>
        <v>0</v>
      </c>
      <c r="AH58" s="54">
        <f t="shared" si="114"/>
        <v>0</v>
      </c>
      <c r="AI58" s="54">
        <f t="shared" si="114"/>
        <v>0</v>
      </c>
      <c r="AJ58" s="54">
        <f t="shared" si="114"/>
        <v>0</v>
      </c>
      <c r="AK58" s="54">
        <f t="shared" si="114"/>
        <v>0</v>
      </c>
      <c r="AL58" s="54">
        <f t="shared" ref="AL58:AM58" si="115">-AL72</f>
        <v>6550000</v>
      </c>
      <c r="AM58" s="54">
        <f t="shared" si="115"/>
        <v>0</v>
      </c>
      <c r="AN58" s="54">
        <f>-AN72-AN93</f>
        <v>0</v>
      </c>
      <c r="AO58" s="31">
        <f>SUM(H58:AN58)</f>
        <v>6550000</v>
      </c>
      <c r="AP58" s="53">
        <f>+AO58/SF</f>
        <v>349.25882478404606</v>
      </c>
      <c r="AR58" s="9" t="s">
        <v>48</v>
      </c>
      <c r="AS58" s="108">
        <f ca="1">1-AS57</f>
        <v>0.96499999999999997</v>
      </c>
      <c r="AU58" s="9">
        <f t="shared" si="107"/>
        <v>4</v>
      </c>
      <c r="AV58" s="2"/>
      <c r="AW58" s="119"/>
      <c r="AX58" s="119"/>
      <c r="AY58" s="119"/>
      <c r="AZ58" s="119"/>
      <c r="BA58" s="119">
        <f ca="1">BA36+(BA44*$AS$48)+BA35+(BA39*$AS$48)</f>
        <v>12266554.546331575</v>
      </c>
      <c r="BB58" s="119">
        <f ca="1">BA$36+(BA$44*$AS$48)</f>
        <v>683422.60087818932</v>
      </c>
      <c r="BC58" s="119">
        <f ca="1">BB58</f>
        <v>683422.60087818932</v>
      </c>
      <c r="BD58" s="119">
        <f ca="1">BC58</f>
        <v>683422.60087818932</v>
      </c>
      <c r="BE58" s="119">
        <f ca="1">BD58</f>
        <v>683422.60087818932</v>
      </c>
      <c r="BF58" s="119">
        <f ca="1">BE58</f>
        <v>683422.60087818932</v>
      </c>
      <c r="BG58" s="118">
        <f ca="1">BF58</f>
        <v>683422.60087818932</v>
      </c>
      <c r="BM58" s="9"/>
      <c r="BN58" s="2"/>
      <c r="BO58" s="30"/>
    </row>
    <row r="59" spans="2:67" ht="15" thickBot="1" x14ac:dyDescent="0.4">
      <c r="E59" s="1112" t="s">
        <v>17</v>
      </c>
      <c r="F59" s="1119"/>
      <c r="G59" s="1119"/>
      <c r="H59" s="485">
        <f t="shared" ref="H59:AK59" si="116">SUM(H54:H58)</f>
        <v>-6550000</v>
      </c>
      <c r="I59" s="33">
        <f t="shared" si="116"/>
        <v>24243.55</v>
      </c>
      <c r="J59" s="33">
        <f t="shared" si="116"/>
        <v>40712.089999999997</v>
      </c>
      <c r="K59" s="33">
        <f t="shared" si="116"/>
        <v>39462</v>
      </c>
      <c r="L59" s="33">
        <f t="shared" si="116"/>
        <v>40692.300000000003</v>
      </c>
      <c r="M59" s="33">
        <f t="shared" si="116"/>
        <v>34769.583333333336</v>
      </c>
      <c r="N59" s="33">
        <f t="shared" si="116"/>
        <v>35928.569444444445</v>
      </c>
      <c r="O59" s="33">
        <f t="shared" si="116"/>
        <v>35928.569444444445</v>
      </c>
      <c r="P59" s="33">
        <f t="shared" si="116"/>
        <v>33610.597222222226</v>
      </c>
      <c r="Q59" s="33">
        <f t="shared" si="116"/>
        <v>35928.569444444445</v>
      </c>
      <c r="R59" s="33">
        <f t="shared" si="116"/>
        <v>34769.583333333336</v>
      </c>
      <c r="S59" s="33">
        <f t="shared" si="116"/>
        <v>35928.569444444445</v>
      </c>
      <c r="T59" s="33">
        <f t="shared" si="116"/>
        <v>34769.583333333336</v>
      </c>
      <c r="U59" s="33">
        <f t="shared" si="116"/>
        <v>35928.569444444445</v>
      </c>
      <c r="V59" s="33">
        <f t="shared" si="116"/>
        <v>35928.569444444445</v>
      </c>
      <c r="W59" s="33">
        <f t="shared" si="116"/>
        <v>34769.583333333336</v>
      </c>
      <c r="X59" s="33">
        <f t="shared" si="116"/>
        <v>35928.569444444445</v>
      </c>
      <c r="Y59" s="33">
        <f t="shared" si="116"/>
        <v>34769.583333333336</v>
      </c>
      <c r="Z59" s="33">
        <f t="shared" si="116"/>
        <v>35928.569444444445</v>
      </c>
      <c r="AA59" s="33">
        <f t="shared" si="116"/>
        <v>35928.569444444445</v>
      </c>
      <c r="AB59" s="33">
        <f t="shared" si="116"/>
        <v>32451.611111111117</v>
      </c>
      <c r="AC59" s="33">
        <f t="shared" si="116"/>
        <v>35928.569444444445</v>
      </c>
      <c r="AD59" s="33">
        <f t="shared" si="116"/>
        <v>34769.583333333336</v>
      </c>
      <c r="AE59" s="33">
        <f t="shared" si="116"/>
        <v>35928.569444444445</v>
      </c>
      <c r="AF59" s="33">
        <f t="shared" si="116"/>
        <v>34769.583333333336</v>
      </c>
      <c r="AG59" s="33">
        <f t="shared" si="116"/>
        <v>35928.569444444445</v>
      </c>
      <c r="AH59" s="33">
        <f t="shared" si="116"/>
        <v>35928.569444444445</v>
      </c>
      <c r="AI59" s="33">
        <f t="shared" si="116"/>
        <v>34769.583333333336</v>
      </c>
      <c r="AJ59" s="33">
        <f t="shared" si="116"/>
        <v>35928.569444444445</v>
      </c>
      <c r="AK59" s="33">
        <f t="shared" si="116"/>
        <v>34769.583333333336</v>
      </c>
      <c r="AL59" s="33">
        <f t="shared" ref="AL59:AN59" si="117">SUM(AL54:AL58)</f>
        <v>6585928.569444444</v>
      </c>
      <c r="AM59" s="33">
        <f t="shared" si="117"/>
        <v>0</v>
      </c>
      <c r="AN59" s="33">
        <f t="shared" si="117"/>
        <v>0</v>
      </c>
      <c r="AO59" s="52">
        <f>SUM(H59:AN59)</f>
        <v>1063026.9399999902</v>
      </c>
      <c r="AP59" s="32">
        <f>+AO59/SF</f>
        <v>56.682677828729346</v>
      </c>
      <c r="AR59" s="71"/>
      <c r="AS59" s="1118"/>
      <c r="AU59" s="9">
        <f t="shared" si="107"/>
        <v>5</v>
      </c>
      <c r="AV59" s="2"/>
      <c r="AW59" s="119"/>
      <c r="AX59" s="119"/>
      <c r="AY59" s="119"/>
      <c r="AZ59" s="119"/>
      <c r="BA59" s="119"/>
      <c r="BB59" s="119">
        <f ca="1">BB36+(BB44*$AS$48)+BB35+(BB39*$AS$48)</f>
        <v>12404117.244251605</v>
      </c>
      <c r="BC59" s="119">
        <f ca="1">BB$36+(BB$44*$AS$48)</f>
        <v>696652.1885557191</v>
      </c>
      <c r="BD59" s="119">
        <f ca="1">BC59</f>
        <v>696652.1885557191</v>
      </c>
      <c r="BE59" s="119">
        <f ca="1">BD59</f>
        <v>696652.1885557191</v>
      </c>
      <c r="BF59" s="119">
        <f ca="1">BE59</f>
        <v>696652.1885557191</v>
      </c>
      <c r="BG59" s="118">
        <f ca="1">BF59</f>
        <v>696652.1885557191</v>
      </c>
      <c r="BM59" s="9" t="s">
        <v>32</v>
      </c>
      <c r="BN59" s="370">
        <f ca="1">BG53</f>
        <v>6.6705668700325127E-2</v>
      </c>
      <c r="BO59" s="30"/>
    </row>
    <row r="60" spans="2:67" ht="15" thickBot="1" x14ac:dyDescent="0.4">
      <c r="E60" s="1112" t="s">
        <v>16</v>
      </c>
      <c r="F60" s="1119"/>
      <c r="G60" s="1119"/>
      <c r="H60" s="5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45"/>
      <c r="AR60" s="112" t="s">
        <v>64</v>
      </c>
      <c r="AS60" s="111"/>
      <c r="AU60" s="9">
        <f t="shared" si="107"/>
        <v>6</v>
      </c>
      <c r="AV60" s="2"/>
      <c r="AW60" s="119"/>
      <c r="AX60" s="119"/>
      <c r="AY60" s="119"/>
      <c r="AZ60" s="119"/>
      <c r="BA60" s="119"/>
      <c r="BB60" s="119"/>
      <c r="BC60" s="119">
        <f ca="1">BC36+(BC44*$AS$48)+BC35+(BC39*$AS$48)</f>
        <v>12544142.589629075</v>
      </c>
      <c r="BD60" s="119">
        <f ca="1">BC$36+(BC$44*$AS$48)</f>
        <v>710146.36798679945</v>
      </c>
      <c r="BE60" s="119">
        <f ca="1">BD60</f>
        <v>710146.36798679945</v>
      </c>
      <c r="BF60" s="119">
        <f ca="1">BE60</f>
        <v>710146.36798679945</v>
      </c>
      <c r="BG60" s="118">
        <f ca="1">BF60</f>
        <v>710146.36798679945</v>
      </c>
      <c r="BM60" s="71" t="s">
        <v>37</v>
      </c>
      <c r="BN60" s="1115">
        <f ca="1">BN55/-BN56</f>
        <v>1.6942808880788249</v>
      </c>
      <c r="BO60" s="1118"/>
    </row>
    <row r="61" spans="2:67" ht="15" thickBot="1" x14ac:dyDescent="0.4">
      <c r="E61" s="1112" t="str">
        <f>+"Leveraged Cash Flow ("&amp;IFERROR(TEXT(F61,"0.00%)"),"0%)")</f>
        <v>Leveraged Cash Flow (8.96%)</v>
      </c>
      <c r="F61" s="50">
        <f>XIRR(H61:AN61,H7:AN7)</f>
        <v>8.9599493145942719E-2</v>
      </c>
      <c r="G61" s="1119"/>
      <c r="H61" s="49">
        <f>H51-H59</f>
        <v>-3551440.2100000009</v>
      </c>
      <c r="I61" s="48">
        <f t="shared" ref="I61:AK61" si="118">ROUNDDOWN(I51-I59,2)</f>
        <v>3601.61</v>
      </c>
      <c r="J61" s="48">
        <f t="shared" si="118"/>
        <v>4719.49</v>
      </c>
      <c r="K61" s="48">
        <f t="shared" si="118"/>
        <v>5969.57</v>
      </c>
      <c r="L61" s="48">
        <f t="shared" si="118"/>
        <v>4739.2700000000004</v>
      </c>
      <c r="M61" s="48">
        <f t="shared" si="118"/>
        <v>10661.99</v>
      </c>
      <c r="N61" s="48">
        <f t="shared" si="118"/>
        <v>32071.43</v>
      </c>
      <c r="O61" s="48">
        <f t="shared" si="118"/>
        <v>-35928.559999999998</v>
      </c>
      <c r="P61" s="48">
        <f t="shared" si="118"/>
        <v>21771.38</v>
      </c>
      <c r="Q61" s="48">
        <f t="shared" si="118"/>
        <v>19453.41</v>
      </c>
      <c r="R61" s="48">
        <f t="shared" si="118"/>
        <v>20612.39</v>
      </c>
      <c r="S61" s="48">
        <f t="shared" si="118"/>
        <v>19453.41</v>
      </c>
      <c r="T61" s="48">
        <f t="shared" si="118"/>
        <v>20612.39</v>
      </c>
      <c r="U61" s="48">
        <f t="shared" si="118"/>
        <v>19453.41</v>
      </c>
      <c r="V61" s="48">
        <f t="shared" si="118"/>
        <v>19453.41</v>
      </c>
      <c r="W61" s="48">
        <f t="shared" si="118"/>
        <v>20612.39</v>
      </c>
      <c r="X61" s="48">
        <f t="shared" si="118"/>
        <v>19453.41</v>
      </c>
      <c r="Y61" s="48">
        <f t="shared" si="118"/>
        <v>20612.39</v>
      </c>
      <c r="Z61" s="48">
        <f t="shared" si="118"/>
        <v>-35928.559999999998</v>
      </c>
      <c r="AA61" s="48">
        <f t="shared" si="118"/>
        <v>20561.05</v>
      </c>
      <c r="AB61" s="48">
        <f t="shared" si="118"/>
        <v>24038</v>
      </c>
      <c r="AC61" s="48">
        <f t="shared" si="118"/>
        <v>20561.05</v>
      </c>
      <c r="AD61" s="48">
        <f t="shared" si="118"/>
        <v>21720.03</v>
      </c>
      <c r="AE61" s="48">
        <f t="shared" si="118"/>
        <v>20561.05</v>
      </c>
      <c r="AF61" s="48">
        <f t="shared" si="118"/>
        <v>21720.03</v>
      </c>
      <c r="AG61" s="48">
        <f t="shared" si="118"/>
        <v>20561.05</v>
      </c>
      <c r="AH61" s="48">
        <f t="shared" si="118"/>
        <v>20561.05</v>
      </c>
      <c r="AI61" s="48">
        <f t="shared" si="118"/>
        <v>21720.03</v>
      </c>
      <c r="AJ61" s="48">
        <f t="shared" si="118"/>
        <v>20561.05</v>
      </c>
      <c r="AK61" s="48">
        <f t="shared" si="118"/>
        <v>-272049.96000000002</v>
      </c>
      <c r="AL61" s="48">
        <f t="shared" ref="AL61:AM61" si="119">ROUNDDOWN(AL51-AL59,2)</f>
        <v>4220564.41</v>
      </c>
      <c r="AM61" s="48">
        <f t="shared" si="119"/>
        <v>0</v>
      </c>
      <c r="AN61" s="48">
        <f>ROUNDDOWN(AN51-AN59,2)</f>
        <v>0</v>
      </c>
      <c r="AO61" s="47">
        <f>SUM(H61:AN61)</f>
        <v>801032.85999999894</v>
      </c>
      <c r="AP61" s="46">
        <f>+AO61/SF</f>
        <v>42.712640503359225</v>
      </c>
      <c r="AR61" s="103" t="s">
        <v>62</v>
      </c>
      <c r="AS61" s="1121">
        <f>AS40*AS41</f>
        <v>2.6361111111111116E-2</v>
      </c>
      <c r="AU61" s="9">
        <f t="shared" si="107"/>
        <v>7</v>
      </c>
      <c r="AV61" s="2"/>
      <c r="AW61" s="119"/>
      <c r="AX61" s="119"/>
      <c r="AY61" s="119"/>
      <c r="AZ61" s="119"/>
      <c r="BA61" s="119"/>
      <c r="BB61" s="119"/>
      <c r="BC61" s="119"/>
      <c r="BD61" s="119">
        <f ca="1">BD36+(BD44*$AS$48)+BD35+(BD39*$AS$48)</f>
        <v>12686666.189480217</v>
      </c>
      <c r="BE61" s="119">
        <f ca="1">BD$36+(BD$44*$AS$48)</f>
        <v>723910.4310065012</v>
      </c>
      <c r="BF61" s="119">
        <f ca="1">BE61</f>
        <v>723910.4310065012</v>
      </c>
      <c r="BG61" s="118">
        <f ca="1">BF61</f>
        <v>723910.4310065012</v>
      </c>
    </row>
    <row r="62" spans="2:67" ht="15.5" thickTop="1" thickBot="1" x14ac:dyDescent="0.4">
      <c r="E62" s="1127"/>
      <c r="F62" s="1128"/>
      <c r="G62" s="1128"/>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44"/>
      <c r="AR62" s="9" t="s">
        <v>59</v>
      </c>
      <c r="AS62" s="108">
        <f>(1-AS40)*AS54</f>
        <v>2.7999999999999997E-2</v>
      </c>
      <c r="AU62" s="9">
        <f t="shared" si="107"/>
        <v>8</v>
      </c>
      <c r="AV62" s="2"/>
      <c r="AW62" s="119"/>
      <c r="AX62" s="119"/>
      <c r="AY62" s="119"/>
      <c r="AZ62" s="119"/>
      <c r="BA62" s="119"/>
      <c r="BB62" s="119"/>
      <c r="BC62" s="119"/>
      <c r="BD62" s="119"/>
      <c r="BE62" s="119">
        <f ca="1">BE36+(BE44*$AS$48)+BE35+(BE39*$AS$48)</f>
        <v>12831724.444395036</v>
      </c>
      <c r="BF62" s="119">
        <f ca="1">BE$36+(BE$44*$AS$48)</f>
        <v>737949.7752865972</v>
      </c>
      <c r="BG62" s="118">
        <f ca="1">BF62</f>
        <v>737949.7752865972</v>
      </c>
      <c r="BM62" s="1284" t="s">
        <v>92</v>
      </c>
      <c r="BN62" s="1285"/>
      <c r="BO62" s="1286"/>
    </row>
    <row r="63" spans="2:67" ht="15" thickBot="1" x14ac:dyDescent="0.4">
      <c r="H63" s="43"/>
      <c r="I63" s="43"/>
      <c r="J63" s="43"/>
      <c r="K63" s="528"/>
      <c r="L63" s="43"/>
      <c r="M63" s="43"/>
      <c r="N63" s="43"/>
      <c r="O63" s="43"/>
      <c r="P63" s="43"/>
      <c r="Q63" s="43"/>
      <c r="R63" s="43"/>
      <c r="S63" s="43"/>
      <c r="T63" s="43"/>
      <c r="U63" s="43"/>
      <c r="V63" s="43"/>
      <c r="W63" s="43"/>
      <c r="X63" s="43"/>
      <c r="Y63" s="43"/>
      <c r="Z63" s="43"/>
      <c r="AA63" s="43"/>
      <c r="AB63" s="43"/>
      <c r="AC63" s="43"/>
      <c r="AD63" s="43"/>
      <c r="AE63" s="43"/>
      <c r="AF63" s="43"/>
      <c r="AG63" s="43"/>
      <c r="AH63" s="43"/>
      <c r="AI63" s="43"/>
      <c r="AJ63" s="43"/>
      <c r="AK63" s="43"/>
      <c r="AL63" s="43"/>
      <c r="AM63" s="43"/>
      <c r="AN63" s="43"/>
      <c r="AO63" s="43"/>
      <c r="AR63" s="9" t="s">
        <v>56</v>
      </c>
      <c r="AS63" s="67">
        <f>SUM(AS61:AS62)</f>
        <v>5.436111111111111E-2</v>
      </c>
      <c r="AU63" s="9">
        <f t="shared" si="107"/>
        <v>9</v>
      </c>
      <c r="AV63" s="2"/>
      <c r="AW63" s="119"/>
      <c r="AX63" s="119"/>
      <c r="AY63" s="119"/>
      <c r="AZ63" s="119"/>
      <c r="BA63" s="119"/>
      <c r="BB63" s="119"/>
      <c r="BC63" s="119"/>
      <c r="BD63" s="119"/>
      <c r="BE63" s="119"/>
      <c r="BF63" s="119">
        <f ca="1">BF36+(BF44*$AS$48)+BF35+(BF39*$AS$48)</f>
        <v>12979354.556124698</v>
      </c>
      <c r="BG63" s="118">
        <f ca="1">BF$36+(BF$44*$AS$48)</f>
        <v>752269.90645229502</v>
      </c>
      <c r="BM63" s="95" t="s">
        <v>88</v>
      </c>
      <c r="BN63" s="107" t="s">
        <v>46</v>
      </c>
      <c r="BO63" s="106" t="s">
        <v>45</v>
      </c>
    </row>
    <row r="64" spans="2:67" ht="15" thickBot="1" x14ac:dyDescent="0.4">
      <c r="E64" s="1287" t="s">
        <v>554</v>
      </c>
      <c r="F64" s="1288"/>
      <c r="G64" s="1288"/>
      <c r="H64" s="1288"/>
      <c r="I64" s="1288"/>
      <c r="J64" s="1288"/>
      <c r="K64" s="1288"/>
      <c r="L64" s="1288"/>
      <c r="M64" s="1288"/>
      <c r="N64" s="1288"/>
      <c r="O64" s="1288"/>
      <c r="P64" s="1288"/>
      <c r="Q64" s="1288"/>
      <c r="R64" s="1288"/>
      <c r="S64" s="1288"/>
      <c r="T64" s="1288"/>
      <c r="U64" s="1288"/>
      <c r="V64" s="1288"/>
      <c r="W64" s="1288"/>
      <c r="X64" s="1288"/>
      <c r="Y64" s="1288"/>
      <c r="Z64" s="1288"/>
      <c r="AA64" s="1288"/>
      <c r="AB64" s="1288"/>
      <c r="AC64" s="1288"/>
      <c r="AD64" s="1288"/>
      <c r="AE64" s="1288"/>
      <c r="AF64" s="1288"/>
      <c r="AG64" s="1288"/>
      <c r="AH64" s="1288"/>
      <c r="AI64" s="1288"/>
      <c r="AJ64" s="1288"/>
      <c r="AK64" s="1288"/>
      <c r="AL64" s="1288"/>
      <c r="AM64" s="1288"/>
      <c r="AN64" s="1288"/>
      <c r="AO64" s="1288"/>
      <c r="AP64" s="1289"/>
      <c r="AR64" s="71"/>
      <c r="AS64" s="1118"/>
      <c r="AU64" s="71">
        <f t="shared" si="107"/>
        <v>10</v>
      </c>
      <c r="AV64" s="65"/>
      <c r="AW64" s="117"/>
      <c r="AX64" s="117"/>
      <c r="AY64" s="117"/>
      <c r="AZ64" s="117"/>
      <c r="BA64" s="117"/>
      <c r="BB64" s="117"/>
      <c r="BC64" s="117"/>
      <c r="BD64" s="117"/>
      <c r="BE64" s="117"/>
      <c r="BF64" s="117"/>
      <c r="BG64" s="116">
        <f ca="1">BG36+(BG44*$AS$48)+BG35+(BG39*$AS$48)</f>
        <v>13129594.53560742</v>
      </c>
      <c r="BI64" s="482"/>
      <c r="BM64" s="9" t="s">
        <v>89</v>
      </c>
      <c r="BN64" s="89">
        <f ca="1">BN19-BN17</f>
        <v>226866.26361319836</v>
      </c>
      <c r="BO64" s="1103">
        <f ca="1">BN64/SF</f>
        <v>12.096953375983702</v>
      </c>
    </row>
    <row r="65" spans="5:67" ht="15" thickBot="1" x14ac:dyDescent="0.4">
      <c r="E65" s="23"/>
      <c r="F65" s="22"/>
      <c r="G65" s="22"/>
      <c r="H65" s="21">
        <f>0</f>
        <v>0</v>
      </c>
      <c r="I65" s="21">
        <f t="shared" ref="I65:Z65" si="120">H65+1</f>
        <v>1</v>
      </c>
      <c r="J65" s="21">
        <f t="shared" si="120"/>
        <v>2</v>
      </c>
      <c r="K65" s="21">
        <f t="shared" si="120"/>
        <v>3</v>
      </c>
      <c r="L65" s="21">
        <f t="shared" si="120"/>
        <v>4</v>
      </c>
      <c r="M65" s="40">
        <f t="shared" si="120"/>
        <v>5</v>
      </c>
      <c r="N65" s="40">
        <f t="shared" si="120"/>
        <v>6</v>
      </c>
      <c r="O65" s="40">
        <f t="shared" si="120"/>
        <v>7</v>
      </c>
      <c r="P65" s="40">
        <f t="shared" si="120"/>
        <v>8</v>
      </c>
      <c r="Q65" s="40">
        <f t="shared" si="120"/>
        <v>9</v>
      </c>
      <c r="R65" s="40">
        <f t="shared" si="120"/>
        <v>10</v>
      </c>
      <c r="S65" s="40">
        <f t="shared" si="120"/>
        <v>11</v>
      </c>
      <c r="T65" s="40">
        <f t="shared" si="120"/>
        <v>12</v>
      </c>
      <c r="U65" s="40">
        <f t="shared" si="120"/>
        <v>13</v>
      </c>
      <c r="V65" s="40">
        <f t="shared" si="120"/>
        <v>14</v>
      </c>
      <c r="W65" s="40">
        <f t="shared" si="120"/>
        <v>15</v>
      </c>
      <c r="X65" s="40">
        <f t="shared" si="120"/>
        <v>16</v>
      </c>
      <c r="Y65" s="40">
        <f t="shared" si="120"/>
        <v>17</v>
      </c>
      <c r="Z65" s="40">
        <f t="shared" si="120"/>
        <v>18</v>
      </c>
      <c r="AA65" s="40">
        <f t="shared" ref="AA65:AK65" si="121">Z65+1</f>
        <v>19</v>
      </c>
      <c r="AB65" s="40">
        <f t="shared" si="121"/>
        <v>20</v>
      </c>
      <c r="AC65" s="40">
        <f t="shared" si="121"/>
        <v>21</v>
      </c>
      <c r="AD65" s="40">
        <f t="shared" si="121"/>
        <v>22</v>
      </c>
      <c r="AE65" s="40">
        <f t="shared" si="121"/>
        <v>23</v>
      </c>
      <c r="AF65" s="40">
        <f t="shared" si="121"/>
        <v>24</v>
      </c>
      <c r="AG65" s="40">
        <f t="shared" si="121"/>
        <v>25</v>
      </c>
      <c r="AH65" s="40">
        <f t="shared" si="121"/>
        <v>26</v>
      </c>
      <c r="AI65" s="40">
        <f t="shared" si="121"/>
        <v>27</v>
      </c>
      <c r="AJ65" s="40">
        <f t="shared" si="121"/>
        <v>28</v>
      </c>
      <c r="AK65" s="40">
        <f t="shared" si="121"/>
        <v>29</v>
      </c>
      <c r="AL65" s="40">
        <f t="shared" ref="AL65" si="122">AK65+1</f>
        <v>30</v>
      </c>
      <c r="AM65" s="40">
        <f t="shared" ref="AM65" si="123">AL65+1</f>
        <v>31</v>
      </c>
      <c r="AN65" s="40">
        <f t="shared" ref="AN65" si="124">AM65+1</f>
        <v>32</v>
      </c>
      <c r="AO65" s="39" t="s">
        <v>14</v>
      </c>
      <c r="AP65" s="38" t="s">
        <v>13</v>
      </c>
      <c r="AS65" s="482"/>
      <c r="AU65" s="138" t="s">
        <v>80</v>
      </c>
      <c r="AV65" s="362">
        <f t="shared" ref="AV65:BG65" si="125">AV7</f>
        <v>0</v>
      </c>
      <c r="AW65" s="362">
        <f t="shared" si="125"/>
        <v>1</v>
      </c>
      <c r="AX65" s="362"/>
      <c r="AY65" s="362">
        <f t="shared" si="125"/>
        <v>2</v>
      </c>
      <c r="AZ65" s="362">
        <f t="shared" si="125"/>
        <v>3</v>
      </c>
      <c r="BA65" s="362">
        <f t="shared" si="125"/>
        <v>4</v>
      </c>
      <c r="BB65" s="362">
        <f t="shared" si="125"/>
        <v>5</v>
      </c>
      <c r="BC65" s="362">
        <f t="shared" si="125"/>
        <v>6</v>
      </c>
      <c r="BD65" s="362">
        <f t="shared" si="125"/>
        <v>7</v>
      </c>
      <c r="BE65" s="362">
        <f t="shared" si="125"/>
        <v>8</v>
      </c>
      <c r="BF65" s="362">
        <f t="shared" si="125"/>
        <v>9</v>
      </c>
      <c r="BG65" s="363">
        <f t="shared" si="125"/>
        <v>10</v>
      </c>
      <c r="BM65" s="9" t="s">
        <v>87</v>
      </c>
      <c r="BN65" s="1111">
        <f>BJ34</f>
        <v>0</v>
      </c>
      <c r="BO65" s="1103">
        <f>BN65/SF</f>
        <v>0</v>
      </c>
    </row>
    <row r="66" spans="5:67" ht="15" thickBot="1" x14ac:dyDescent="0.4">
      <c r="E66" s="1129"/>
      <c r="F66" s="1102"/>
      <c r="G66" s="1102"/>
      <c r="H66" s="1102"/>
      <c r="I66" s="1102"/>
      <c r="J66" s="1102"/>
      <c r="K66" s="1102"/>
      <c r="L66" s="1102"/>
      <c r="M66" s="1102"/>
      <c r="N66" s="1102"/>
      <c r="O66" s="1102"/>
      <c r="P66" s="1102"/>
      <c r="Q66" s="1102"/>
      <c r="R66" s="1102"/>
      <c r="S66" s="1102"/>
      <c r="T66" s="1102"/>
      <c r="U66" s="604"/>
      <c r="V66" s="1102"/>
      <c r="W66" s="1102"/>
      <c r="X66" s="1102"/>
      <c r="Y66" s="1102"/>
      <c r="Z66" s="1102"/>
      <c r="AA66" s="1102"/>
      <c r="AB66" s="1102"/>
      <c r="AC66" s="1102"/>
      <c r="AD66" s="604"/>
      <c r="AE66" s="604"/>
      <c r="AF66" s="1102"/>
      <c r="AG66" s="604"/>
      <c r="AH66" s="1102"/>
      <c r="AI66" s="1102"/>
      <c r="AJ66" s="1102"/>
      <c r="AK66" s="1102"/>
      <c r="AL66" s="1102"/>
      <c r="AM66" s="1102"/>
      <c r="AN66" s="1102"/>
      <c r="AO66" s="1130"/>
      <c r="AP66" s="37"/>
      <c r="AR66" s="1284" t="s">
        <v>247</v>
      </c>
      <c r="AS66" s="1286"/>
      <c r="AU66" s="135" t="s">
        <v>69</v>
      </c>
      <c r="AV66" s="134" t="s">
        <v>77</v>
      </c>
      <c r="AW66" s="133">
        <f t="shared" ref="AW66:BG66" ca="1" si="126">IRR(AW67:AW77)</f>
        <v>2.8303582302164454E-2</v>
      </c>
      <c r="AX66" s="133"/>
      <c r="AY66" s="133">
        <f t="shared" ca="1" si="126"/>
        <v>5.3732307327174489E-2</v>
      </c>
      <c r="AZ66" s="133">
        <f t="shared" ca="1" si="126"/>
        <v>5.9661845936927804E-2</v>
      </c>
      <c r="BA66" s="133">
        <f t="shared" ca="1" si="126"/>
        <v>6.2768195497888257E-2</v>
      </c>
      <c r="BB66" s="133">
        <f t="shared" ca="1" si="126"/>
        <v>6.4735984191048201E-2</v>
      </c>
      <c r="BC66" s="133">
        <f t="shared" ca="1" si="126"/>
        <v>6.6129805679538078E-2</v>
      </c>
      <c r="BD66" s="133">
        <f t="shared" ca="1" si="126"/>
        <v>6.7192383131553068E-2</v>
      </c>
      <c r="BE66" s="133">
        <f t="shared" ca="1" si="126"/>
        <v>6.8045332945613879E-2</v>
      </c>
      <c r="BF66" s="133">
        <f t="shared" ca="1" si="126"/>
        <v>6.875632853461533E-2</v>
      </c>
      <c r="BG66" s="132">
        <f t="shared" ca="1" si="126"/>
        <v>6.9366031462934963E-2</v>
      </c>
      <c r="BM66" s="328" t="s">
        <v>84</v>
      </c>
      <c r="BN66" s="355">
        <f ca="1">BN64+BN65</f>
        <v>226866.26361319836</v>
      </c>
      <c r="BO66" s="356">
        <f ca="1">BN66/SF</f>
        <v>12.096953375983702</v>
      </c>
    </row>
    <row r="67" spans="5:67" ht="15" thickBot="1" x14ac:dyDescent="0.4">
      <c r="E67" s="16" t="s">
        <v>5</v>
      </c>
      <c r="F67" s="15"/>
      <c r="G67" s="15"/>
      <c r="H67" s="14">
        <f>H7</f>
        <v>45120</v>
      </c>
      <c r="I67" s="14">
        <f t="shared" ref="I67:Y67" si="127">EOMONTH(J67,-1)</f>
        <v>45138</v>
      </c>
      <c r="J67" s="14">
        <f t="shared" si="127"/>
        <v>45169</v>
      </c>
      <c r="K67" s="14">
        <f t="shared" si="127"/>
        <v>45199</v>
      </c>
      <c r="L67" s="14">
        <f t="shared" si="127"/>
        <v>45230</v>
      </c>
      <c r="M67" s="14">
        <f t="shared" si="127"/>
        <v>45260</v>
      </c>
      <c r="N67" s="14">
        <f t="shared" si="127"/>
        <v>45291</v>
      </c>
      <c r="O67" s="14">
        <f t="shared" si="127"/>
        <v>45322</v>
      </c>
      <c r="P67" s="14">
        <f t="shared" si="127"/>
        <v>45351</v>
      </c>
      <c r="Q67" s="14">
        <f t="shared" si="127"/>
        <v>45382</v>
      </c>
      <c r="R67" s="14">
        <f t="shared" si="127"/>
        <v>45412</v>
      </c>
      <c r="S67" s="14">
        <f t="shared" si="127"/>
        <v>45443</v>
      </c>
      <c r="T67" s="14">
        <f t="shared" si="127"/>
        <v>45473</v>
      </c>
      <c r="U67" s="14">
        <f t="shared" si="127"/>
        <v>45504</v>
      </c>
      <c r="V67" s="14">
        <f t="shared" si="127"/>
        <v>45535</v>
      </c>
      <c r="W67" s="14">
        <f t="shared" si="127"/>
        <v>45565</v>
      </c>
      <c r="X67" s="14">
        <f t="shared" si="127"/>
        <v>45596</v>
      </c>
      <c r="Y67" s="14">
        <f t="shared" si="127"/>
        <v>45626</v>
      </c>
      <c r="Z67" s="14">
        <f t="shared" ref="Z67:AN67" si="128">Z7</f>
        <v>45657</v>
      </c>
      <c r="AA67" s="14">
        <f t="shared" si="128"/>
        <v>45688</v>
      </c>
      <c r="AB67" s="14">
        <f t="shared" si="128"/>
        <v>45716</v>
      </c>
      <c r="AC67" s="14">
        <f t="shared" si="128"/>
        <v>45747</v>
      </c>
      <c r="AD67" s="14">
        <f t="shared" si="128"/>
        <v>45777</v>
      </c>
      <c r="AE67" s="14">
        <f t="shared" si="128"/>
        <v>45808</v>
      </c>
      <c r="AF67" s="14">
        <f t="shared" si="128"/>
        <v>45838</v>
      </c>
      <c r="AG67" s="14">
        <f t="shared" si="128"/>
        <v>45869</v>
      </c>
      <c r="AH67" s="14">
        <f t="shared" si="128"/>
        <v>45900</v>
      </c>
      <c r="AI67" s="14">
        <f t="shared" si="128"/>
        <v>45930</v>
      </c>
      <c r="AJ67" s="14">
        <f t="shared" si="128"/>
        <v>45961</v>
      </c>
      <c r="AK67" s="14">
        <f t="shared" si="128"/>
        <v>45991</v>
      </c>
      <c r="AL67" s="14">
        <f t="shared" si="128"/>
        <v>46022</v>
      </c>
      <c r="AM67" s="14">
        <f t="shared" si="128"/>
        <v>46053</v>
      </c>
      <c r="AN67" s="14">
        <f t="shared" si="128"/>
        <v>46081</v>
      </c>
      <c r="AO67" s="36"/>
      <c r="AP67" s="35"/>
      <c r="AR67" s="1306" t="s">
        <v>248</v>
      </c>
      <c r="AS67" s="1307"/>
      <c r="AU67" s="147">
        <v>0</v>
      </c>
      <c r="AV67" s="1131">
        <f ca="1">AW67</f>
        <v>-11870109.873198416</v>
      </c>
      <c r="AW67" s="119">
        <f ca="1">AV17</f>
        <v>-11870109.873198416</v>
      </c>
      <c r="AX67" s="119"/>
      <c r="AY67" s="119">
        <f ca="1">AW67</f>
        <v>-11870109.873198416</v>
      </c>
      <c r="AZ67" s="119">
        <f t="shared" ref="AZ67:BG67" ca="1" si="129">AY67</f>
        <v>-11870109.873198416</v>
      </c>
      <c r="BA67" s="119">
        <f t="shared" ca="1" si="129"/>
        <v>-11870109.873198416</v>
      </c>
      <c r="BB67" s="119">
        <f t="shared" ca="1" si="129"/>
        <v>-11870109.873198416</v>
      </c>
      <c r="BC67" s="119">
        <f t="shared" ca="1" si="129"/>
        <v>-11870109.873198416</v>
      </c>
      <c r="BD67" s="119">
        <f t="shared" ca="1" si="129"/>
        <v>-11870109.873198416</v>
      </c>
      <c r="BE67" s="119">
        <f t="shared" ca="1" si="129"/>
        <v>-11870109.873198416</v>
      </c>
      <c r="BF67" s="119">
        <f t="shared" ca="1" si="129"/>
        <v>-11870109.873198416</v>
      </c>
      <c r="BG67" s="118">
        <f t="shared" ca="1" si="129"/>
        <v>-11870109.873198416</v>
      </c>
    </row>
    <row r="68" spans="5:67" ht="15" thickBot="1" x14ac:dyDescent="0.4">
      <c r="E68" s="1112"/>
      <c r="F68" s="1132"/>
      <c r="G68" s="1132"/>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30"/>
      <c r="AR68" s="103" t="s">
        <v>249</v>
      </c>
      <c r="AS68" s="392">
        <f>SUM(AW12/AS14)</f>
        <v>11640089.584859572</v>
      </c>
      <c r="AU68" s="9">
        <f t="shared" ref="AU68:AU77" si="130">AU67+1</f>
        <v>1</v>
      </c>
      <c r="AV68" s="2"/>
      <c r="AW68" s="119">
        <f>AW17+AW29</f>
        <v>12206076.504930222</v>
      </c>
      <c r="AX68" s="119"/>
      <c r="AY68" s="119">
        <f>AW17</f>
        <v>692585.33029914449</v>
      </c>
      <c r="AZ68" s="119">
        <f t="shared" ref="AZ68:BG68" si="131">AY68</f>
        <v>692585.33029914449</v>
      </c>
      <c r="BA68" s="119">
        <f t="shared" si="131"/>
        <v>692585.33029914449</v>
      </c>
      <c r="BB68" s="119">
        <f t="shared" si="131"/>
        <v>692585.33029914449</v>
      </c>
      <c r="BC68" s="119">
        <f t="shared" si="131"/>
        <v>692585.33029914449</v>
      </c>
      <c r="BD68" s="119">
        <f t="shared" si="131"/>
        <v>692585.33029914449</v>
      </c>
      <c r="BE68" s="119">
        <f t="shared" si="131"/>
        <v>692585.33029914449</v>
      </c>
      <c r="BF68" s="119">
        <f t="shared" si="131"/>
        <v>692585.33029914449</v>
      </c>
      <c r="BG68" s="118">
        <f t="shared" si="131"/>
        <v>692585.33029914449</v>
      </c>
      <c r="BM68" s="1284" t="s">
        <v>101</v>
      </c>
      <c r="BN68" s="1285"/>
      <c r="BO68" s="1286"/>
    </row>
    <row r="69" spans="5:67" ht="15" thickBot="1" x14ac:dyDescent="0.4">
      <c r="E69" s="1112" t="s">
        <v>12</v>
      </c>
      <c r="F69" s="1119"/>
      <c r="G69" s="1132"/>
      <c r="H69" s="1133"/>
      <c r="I69" s="1134"/>
      <c r="J69" s="1134"/>
      <c r="K69" s="1134"/>
      <c r="L69" s="1134"/>
      <c r="M69" s="1134"/>
      <c r="N69" s="1134"/>
      <c r="O69" s="1134"/>
      <c r="P69" s="1134"/>
      <c r="Q69" s="1134"/>
      <c r="R69" s="1134"/>
      <c r="S69" s="1134"/>
      <c r="T69" s="1134"/>
      <c r="U69" s="1134"/>
      <c r="V69" s="1134"/>
      <c r="W69" s="1134"/>
      <c r="X69" s="1134"/>
      <c r="Y69" s="1134"/>
      <c r="Z69" s="1134"/>
      <c r="AA69" s="1134"/>
      <c r="AB69" s="1134"/>
      <c r="AC69" s="1134"/>
      <c r="AD69" s="1134"/>
      <c r="AE69" s="1134"/>
      <c r="AF69" s="1134"/>
      <c r="AG69" s="1134"/>
      <c r="AH69" s="1134"/>
      <c r="AI69" s="1134"/>
      <c r="AJ69" s="1134"/>
      <c r="AK69" s="1134"/>
      <c r="AL69" s="1134"/>
      <c r="AM69" s="1134"/>
      <c r="AN69" s="1134"/>
      <c r="AO69" s="28"/>
      <c r="AP69" s="30"/>
      <c r="AR69" s="9" t="s">
        <v>251</v>
      </c>
      <c r="AS69" s="142">
        <f>AS68*AS25</f>
        <v>58200.447924297863</v>
      </c>
      <c r="AU69" s="9">
        <f t="shared" si="130"/>
        <v>2</v>
      </c>
      <c r="AV69" s="2"/>
      <c r="AW69" s="119"/>
      <c r="AX69" s="119"/>
      <c r="AY69" s="119">
        <f>AY17+AY29</f>
        <v>12450198.035028825</v>
      </c>
      <c r="AZ69" s="119">
        <f>AY17</f>
        <v>706437.03690512734</v>
      </c>
      <c r="BA69" s="119">
        <f t="shared" ref="BA69:BG69" si="132">AZ69</f>
        <v>706437.03690512734</v>
      </c>
      <c r="BB69" s="119">
        <f t="shared" si="132"/>
        <v>706437.03690512734</v>
      </c>
      <c r="BC69" s="119">
        <f t="shared" si="132"/>
        <v>706437.03690512734</v>
      </c>
      <c r="BD69" s="119">
        <f t="shared" si="132"/>
        <v>706437.03690512734</v>
      </c>
      <c r="BE69" s="119">
        <f t="shared" si="132"/>
        <v>706437.03690512734</v>
      </c>
      <c r="BF69" s="119">
        <f t="shared" si="132"/>
        <v>706437.03690512734</v>
      </c>
      <c r="BG69" s="118">
        <f t="shared" si="132"/>
        <v>706437.03690512734</v>
      </c>
      <c r="BM69" s="95" t="s">
        <v>88</v>
      </c>
      <c r="BN69" s="107" t="s">
        <v>46</v>
      </c>
      <c r="BO69" s="106" t="s">
        <v>45</v>
      </c>
    </row>
    <row r="70" spans="5:67" x14ac:dyDescent="0.35">
      <c r="E70" s="1112" t="s">
        <v>4</v>
      </c>
      <c r="F70" s="1119"/>
      <c r="G70" s="1132"/>
      <c r="H70" s="1135">
        <v>0</v>
      </c>
      <c r="I70" s="1134">
        <f t="shared" ref="I70:AK70" si="133">H74</f>
        <v>6550000</v>
      </c>
      <c r="J70" s="1134">
        <f t="shared" si="133"/>
        <v>6550000</v>
      </c>
      <c r="K70" s="1134">
        <f t="shared" si="133"/>
        <v>6550000</v>
      </c>
      <c r="L70" s="1134">
        <f t="shared" si="133"/>
        <v>6550000</v>
      </c>
      <c r="M70" s="1134">
        <f t="shared" si="133"/>
        <v>6550000</v>
      </c>
      <c r="N70" s="1134">
        <f t="shared" si="133"/>
        <v>6550000</v>
      </c>
      <c r="O70" s="1134">
        <f t="shared" si="133"/>
        <v>6550000</v>
      </c>
      <c r="P70" s="1134">
        <f t="shared" si="133"/>
        <v>6550000</v>
      </c>
      <c r="Q70" s="1134">
        <f t="shared" si="133"/>
        <v>6550000</v>
      </c>
      <c r="R70" s="1134">
        <f t="shared" si="133"/>
        <v>6550000</v>
      </c>
      <c r="S70" s="1134">
        <f t="shared" si="133"/>
        <v>6550000</v>
      </c>
      <c r="T70" s="1134">
        <f t="shared" si="133"/>
        <v>6550000</v>
      </c>
      <c r="U70" s="792">
        <f t="shared" si="133"/>
        <v>6550000</v>
      </c>
      <c r="V70" s="1134">
        <f t="shared" si="133"/>
        <v>6550000</v>
      </c>
      <c r="W70" s="1134">
        <f t="shared" si="133"/>
        <v>6550000</v>
      </c>
      <c r="X70" s="1134">
        <f t="shared" si="133"/>
        <v>6550000</v>
      </c>
      <c r="Y70" s="1134">
        <f t="shared" si="133"/>
        <v>6550000</v>
      </c>
      <c r="Z70" s="1134">
        <f t="shared" si="133"/>
        <v>6550000</v>
      </c>
      <c r="AA70" s="1134">
        <f t="shared" si="133"/>
        <v>6550000</v>
      </c>
      <c r="AB70" s="1134">
        <f t="shared" si="133"/>
        <v>6550000</v>
      </c>
      <c r="AC70" s="1134">
        <f t="shared" si="133"/>
        <v>6550000</v>
      </c>
      <c r="AD70" s="1134">
        <f t="shared" si="133"/>
        <v>6550000</v>
      </c>
      <c r="AE70" s="1134">
        <f t="shared" si="133"/>
        <v>6550000</v>
      </c>
      <c r="AF70" s="1134">
        <f t="shared" si="133"/>
        <v>6550000</v>
      </c>
      <c r="AG70" s="1134">
        <f t="shared" si="133"/>
        <v>6550000</v>
      </c>
      <c r="AH70" s="1134">
        <f t="shared" si="133"/>
        <v>6550000</v>
      </c>
      <c r="AI70" s="1134">
        <f t="shared" si="133"/>
        <v>6550000</v>
      </c>
      <c r="AJ70" s="1134">
        <f t="shared" si="133"/>
        <v>6550000</v>
      </c>
      <c r="AK70" s="1134">
        <f t="shared" si="133"/>
        <v>6550000</v>
      </c>
      <c r="AL70" s="1134">
        <f t="shared" ref="AL70" si="134">AK74</f>
        <v>6550000</v>
      </c>
      <c r="AM70" s="1134">
        <f t="shared" ref="AM70" si="135">AL74</f>
        <v>0</v>
      </c>
      <c r="AN70" s="1134">
        <f t="shared" ref="AN70" si="136">AM74</f>
        <v>0</v>
      </c>
      <c r="AO70" s="31"/>
      <c r="AP70" s="30"/>
      <c r="AR70" s="9" t="s">
        <v>286</v>
      </c>
      <c r="AS70" s="142">
        <f ca="1">AS71*AS58*AS24</f>
        <v>171819.84041454704</v>
      </c>
      <c r="AU70" s="9">
        <f t="shared" si="130"/>
        <v>3</v>
      </c>
      <c r="AV70" s="2"/>
      <c r="AW70" s="119"/>
      <c r="AX70" s="119"/>
      <c r="AY70" s="119"/>
      <c r="AZ70" s="119">
        <f>AZ17+AZ29</f>
        <v>12597688.129474435</v>
      </c>
      <c r="BA70" s="119">
        <f>AZ17</f>
        <v>720565.77764322993</v>
      </c>
      <c r="BB70" s="119">
        <f t="shared" ref="BB70:BG70" si="137">BA70</f>
        <v>720565.77764322993</v>
      </c>
      <c r="BC70" s="119">
        <f t="shared" si="137"/>
        <v>720565.77764322993</v>
      </c>
      <c r="BD70" s="119">
        <f t="shared" si="137"/>
        <v>720565.77764322993</v>
      </c>
      <c r="BE70" s="119">
        <f t="shared" si="137"/>
        <v>720565.77764322993</v>
      </c>
      <c r="BF70" s="119">
        <f t="shared" si="137"/>
        <v>720565.77764322993</v>
      </c>
      <c r="BG70" s="118">
        <f t="shared" si="137"/>
        <v>720565.77764322993</v>
      </c>
      <c r="BM70" s="9" t="s">
        <v>89</v>
      </c>
      <c r="BN70" s="89">
        <f ca="1">BN48-BN46</f>
        <v>535961.76742445701</v>
      </c>
      <c r="BO70" s="1103">
        <f ca="1">BN70/SF</f>
        <v>28.578530842724593</v>
      </c>
    </row>
    <row r="71" spans="5:67" ht="15" thickBot="1" x14ac:dyDescent="0.4">
      <c r="E71" s="34" t="s">
        <v>11</v>
      </c>
      <c r="F71" s="1136"/>
      <c r="G71" s="1132"/>
      <c r="H71" s="1135">
        <f t="shared" ref="H71:AK71" si="138">H74-H70</f>
        <v>6550000</v>
      </c>
      <c r="I71" s="1134">
        <f t="shared" si="138"/>
        <v>0</v>
      </c>
      <c r="J71" s="1134">
        <f t="shared" si="138"/>
        <v>0</v>
      </c>
      <c r="K71" s="1134">
        <f t="shared" si="138"/>
        <v>0</v>
      </c>
      <c r="L71" s="1134">
        <f t="shared" si="138"/>
        <v>0</v>
      </c>
      <c r="M71" s="1134">
        <f t="shared" si="138"/>
        <v>0</v>
      </c>
      <c r="N71" s="1134">
        <f t="shared" si="138"/>
        <v>0</v>
      </c>
      <c r="O71" s="1134">
        <f t="shared" si="138"/>
        <v>0</v>
      </c>
      <c r="P71" s="1134">
        <f t="shared" si="138"/>
        <v>0</v>
      </c>
      <c r="Q71" s="1134">
        <f t="shared" si="138"/>
        <v>0</v>
      </c>
      <c r="R71" s="1134">
        <f t="shared" si="138"/>
        <v>0</v>
      </c>
      <c r="S71" s="1134">
        <f t="shared" si="138"/>
        <v>0</v>
      </c>
      <c r="T71" s="1134">
        <f t="shared" si="138"/>
        <v>0</v>
      </c>
      <c r="U71" s="1134">
        <f t="shared" si="138"/>
        <v>0</v>
      </c>
      <c r="V71" s="1134">
        <f t="shared" si="138"/>
        <v>0</v>
      </c>
      <c r="W71" s="1134">
        <f t="shared" si="138"/>
        <v>0</v>
      </c>
      <c r="X71" s="1134">
        <f t="shared" si="138"/>
        <v>0</v>
      </c>
      <c r="Y71" s="1134">
        <f t="shared" si="138"/>
        <v>0</v>
      </c>
      <c r="Z71" s="1134">
        <f t="shared" si="138"/>
        <v>0</v>
      </c>
      <c r="AA71" s="1134">
        <f t="shared" si="138"/>
        <v>0</v>
      </c>
      <c r="AB71" s="1134">
        <f t="shared" si="138"/>
        <v>0</v>
      </c>
      <c r="AC71" s="1134">
        <f t="shared" si="138"/>
        <v>0</v>
      </c>
      <c r="AD71" s="1134">
        <f t="shared" si="138"/>
        <v>0</v>
      </c>
      <c r="AE71" s="1134">
        <f t="shared" si="138"/>
        <v>0</v>
      </c>
      <c r="AF71" s="1134">
        <f t="shared" si="138"/>
        <v>0</v>
      </c>
      <c r="AG71" s="1134">
        <f t="shared" si="138"/>
        <v>0</v>
      </c>
      <c r="AH71" s="1134">
        <f t="shared" si="138"/>
        <v>0</v>
      </c>
      <c r="AI71" s="1134">
        <f t="shared" si="138"/>
        <v>0</v>
      </c>
      <c r="AJ71" s="1134">
        <f t="shared" si="138"/>
        <v>0</v>
      </c>
      <c r="AK71" s="1134">
        <f t="shared" si="138"/>
        <v>0</v>
      </c>
      <c r="AL71" s="1134">
        <v>0</v>
      </c>
      <c r="AM71" s="1134">
        <f t="shared" ref="AM71" si="139">AM74-AM70</f>
        <v>0</v>
      </c>
      <c r="AN71" s="1134">
        <v>0</v>
      </c>
      <c r="AO71" s="31">
        <f>SUM(H71:AN71)</f>
        <v>6550000</v>
      </c>
      <c r="AP71" s="32">
        <f>+AO71/SF</f>
        <v>349.25882478404606</v>
      </c>
      <c r="AR71" s="71" t="s">
        <v>250</v>
      </c>
      <c r="AS71" s="393">
        <f ca="1">SUM(AS68:AS70)</f>
        <v>11870109.873198416</v>
      </c>
      <c r="AU71" s="9">
        <f t="shared" si="130"/>
        <v>4</v>
      </c>
      <c r="AV71" s="2"/>
      <c r="AW71" s="119"/>
      <c r="AX71" s="119"/>
      <c r="AY71" s="119"/>
      <c r="AZ71" s="119"/>
      <c r="BA71" s="119">
        <f>BA17+BA29</f>
        <v>12747837.986191083</v>
      </c>
      <c r="BB71" s="119">
        <f>BA17</f>
        <v>734977.0931960945</v>
      </c>
      <c r="BC71" s="119">
        <f>BB71</f>
        <v>734977.0931960945</v>
      </c>
      <c r="BD71" s="119">
        <f>BC71</f>
        <v>734977.0931960945</v>
      </c>
      <c r="BE71" s="119">
        <f>BD71</f>
        <v>734977.0931960945</v>
      </c>
      <c r="BF71" s="119">
        <f>BE71</f>
        <v>734977.0931960945</v>
      </c>
      <c r="BG71" s="118">
        <f>BF71</f>
        <v>734977.0931960945</v>
      </c>
      <c r="BM71" s="9" t="s">
        <v>182</v>
      </c>
      <c r="BN71" s="1111">
        <f>BJ34</f>
        <v>0</v>
      </c>
      <c r="BO71" s="1103">
        <f>BN71/SF</f>
        <v>0</v>
      </c>
    </row>
    <row r="72" spans="5:67" ht="15" thickBot="1" x14ac:dyDescent="0.4">
      <c r="E72" s="34" t="s">
        <v>10</v>
      </c>
      <c r="F72" s="1136"/>
      <c r="G72" s="1132"/>
      <c r="H72" s="1135">
        <v>0</v>
      </c>
      <c r="I72" s="1134">
        <v>0</v>
      </c>
      <c r="J72" s="1134">
        <v>0</v>
      </c>
      <c r="K72" s="1134">
        <v>0</v>
      </c>
      <c r="L72" s="1134">
        <v>0</v>
      </c>
      <c r="M72" s="1134">
        <v>0</v>
      </c>
      <c r="N72" s="1134">
        <v>0</v>
      </c>
      <c r="O72" s="1134">
        <v>0</v>
      </c>
      <c r="P72" s="1134">
        <v>0</v>
      </c>
      <c r="Q72" s="1134">
        <v>0</v>
      </c>
      <c r="R72" s="1134">
        <v>0</v>
      </c>
      <c r="S72" s="1134">
        <v>0</v>
      </c>
      <c r="T72" s="1134">
        <v>0</v>
      </c>
      <c r="U72" s="1134">
        <v>0</v>
      </c>
      <c r="V72" s="1134">
        <v>0</v>
      </c>
      <c r="W72" s="1134">
        <v>0</v>
      </c>
      <c r="X72" s="1134">
        <v>0</v>
      </c>
      <c r="Y72" s="1134">
        <v>0</v>
      </c>
      <c r="Z72" s="1134">
        <v>0</v>
      </c>
      <c r="AA72" s="1134">
        <v>0</v>
      </c>
      <c r="AB72" s="1134">
        <v>0</v>
      </c>
      <c r="AC72" s="1134">
        <v>0</v>
      </c>
      <c r="AD72" s="1134">
        <v>0</v>
      </c>
      <c r="AE72" s="1134">
        <v>0</v>
      </c>
      <c r="AF72" s="1134">
        <v>0</v>
      </c>
      <c r="AG72" s="1134">
        <v>0</v>
      </c>
      <c r="AH72" s="1134">
        <v>0</v>
      </c>
      <c r="AI72" s="1134">
        <v>0</v>
      </c>
      <c r="AJ72" s="1134">
        <v>0</v>
      </c>
      <c r="AK72" s="1134">
        <v>0</v>
      </c>
      <c r="AL72" s="1134">
        <f>-(AL70+AL71)</f>
        <v>-6550000</v>
      </c>
      <c r="AM72" s="1134">
        <v>0</v>
      </c>
      <c r="AN72" s="1134">
        <v>0</v>
      </c>
      <c r="AO72" s="33">
        <f>SUM(H72:AN72)</f>
        <v>-6550000</v>
      </c>
      <c r="AP72" s="32">
        <f>-+AO72/SF</f>
        <v>349.25882478404606</v>
      </c>
      <c r="AU72" s="9">
        <f t="shared" si="130"/>
        <v>5</v>
      </c>
      <c r="AV72" s="2"/>
      <c r="AW72" s="119"/>
      <c r="AX72" s="119"/>
      <c r="AY72" s="119"/>
      <c r="AZ72" s="119"/>
      <c r="BA72" s="119"/>
      <c r="BB72" s="119">
        <f>BB17+BB29</f>
        <v>12900685.428324448</v>
      </c>
      <c r="BC72" s="119">
        <f>BB17</f>
        <v>749676.63506001642</v>
      </c>
      <c r="BD72" s="119">
        <f>BC72</f>
        <v>749676.63506001642</v>
      </c>
      <c r="BE72" s="119">
        <f>BD72</f>
        <v>749676.63506001642</v>
      </c>
      <c r="BF72" s="119">
        <f>BE72</f>
        <v>749676.63506001642</v>
      </c>
      <c r="BG72" s="118">
        <f>BF72</f>
        <v>749676.63506001642</v>
      </c>
      <c r="BM72" s="328" t="s">
        <v>84</v>
      </c>
      <c r="BN72" s="355">
        <f ca="1">BN70+BN71</f>
        <v>535961.76742445701</v>
      </c>
      <c r="BO72" s="356">
        <f ca="1">BN72/SF</f>
        <v>28.578530842724593</v>
      </c>
    </row>
    <row r="73" spans="5:67" ht="15" thickBot="1" x14ac:dyDescent="0.4">
      <c r="E73" s="34" t="s">
        <v>295</v>
      </c>
      <c r="F73" s="1136"/>
      <c r="G73" s="1132"/>
      <c r="H73" s="579">
        <v>0</v>
      </c>
      <c r="I73" s="553">
        <v>0</v>
      </c>
      <c r="J73" s="553">
        <v>0</v>
      </c>
      <c r="K73" s="553">
        <v>0</v>
      </c>
      <c r="L73" s="553">
        <v>0</v>
      </c>
      <c r="M73" s="553">
        <v>0</v>
      </c>
      <c r="N73" s="553">
        <v>0</v>
      </c>
      <c r="O73" s="553">
        <v>0</v>
      </c>
      <c r="P73" s="553">
        <v>0</v>
      </c>
      <c r="Q73" s="553">
        <v>0</v>
      </c>
      <c r="R73" s="553">
        <v>0</v>
      </c>
      <c r="S73" s="553">
        <v>0</v>
      </c>
      <c r="T73" s="553">
        <v>0</v>
      </c>
      <c r="U73" s="553">
        <v>0</v>
      </c>
      <c r="V73" s="553">
        <v>0</v>
      </c>
      <c r="W73" s="553">
        <v>0</v>
      </c>
      <c r="X73" s="553">
        <v>0</v>
      </c>
      <c r="Y73" s="553">
        <v>0</v>
      </c>
      <c r="Z73" s="553">
        <f>-Z44</f>
        <v>0</v>
      </c>
      <c r="AA73" s="553">
        <f t="shared" ref="AA73:AB73" si="140">-AA44</f>
        <v>0</v>
      </c>
      <c r="AB73" s="553">
        <f t="shared" si="140"/>
        <v>0</v>
      </c>
      <c r="AC73" s="553">
        <v>0</v>
      </c>
      <c r="AD73" s="553">
        <v>0</v>
      </c>
      <c r="AE73" s="553">
        <v>0</v>
      </c>
      <c r="AF73" s="553">
        <v>0</v>
      </c>
      <c r="AG73" s="553">
        <v>0</v>
      </c>
      <c r="AH73" s="553">
        <v>0</v>
      </c>
      <c r="AI73" s="553">
        <v>0</v>
      </c>
      <c r="AJ73" s="553">
        <v>0</v>
      </c>
      <c r="AK73" s="553">
        <v>0</v>
      </c>
      <c r="AL73" s="553">
        <v>0</v>
      </c>
      <c r="AM73" s="553">
        <v>0</v>
      </c>
      <c r="AN73" s="553">
        <v>0</v>
      </c>
      <c r="AO73" s="33"/>
      <c r="AP73" s="32"/>
      <c r="AR73" s="1281" t="s">
        <v>449</v>
      </c>
      <c r="AS73" s="1283"/>
      <c r="AU73" s="9">
        <f t="shared" si="130"/>
        <v>6</v>
      </c>
      <c r="AV73" s="2"/>
      <c r="AW73" s="119"/>
      <c r="AX73" s="119"/>
      <c r="AY73" s="119"/>
      <c r="AZ73" s="119"/>
      <c r="BA73" s="119"/>
      <c r="BB73" s="119"/>
      <c r="BC73" s="119">
        <f>BC17+BC29</f>
        <v>13056269.145410525</v>
      </c>
      <c r="BD73" s="119">
        <f>BC17</f>
        <v>764670.16776121676</v>
      </c>
      <c r="BE73" s="119">
        <f>BD73</f>
        <v>764670.16776121676</v>
      </c>
      <c r="BF73" s="119">
        <f>BE73</f>
        <v>764670.16776121676</v>
      </c>
      <c r="BG73" s="118">
        <f>BF73</f>
        <v>764670.16776121676</v>
      </c>
    </row>
    <row r="74" spans="5:67" ht="15" thickBot="1" x14ac:dyDescent="0.4">
      <c r="E74" s="1112" t="s">
        <v>1</v>
      </c>
      <c r="F74" s="1119"/>
      <c r="G74" s="1132"/>
      <c r="H74" s="1135">
        <f>IF(SUM($H$44:H44)&lt;$C$16,0,SUM($H$44:H44)-$C$16)+SUM($H$73:H73)</f>
        <v>6550000</v>
      </c>
      <c r="I74" s="1137">
        <f>H74</f>
        <v>6550000</v>
      </c>
      <c r="J74" s="1134">
        <f>I74</f>
        <v>6550000</v>
      </c>
      <c r="K74" s="1134">
        <f t="shared" ref="K74:AK74" si="141">J74</f>
        <v>6550000</v>
      </c>
      <c r="L74" s="1134">
        <f t="shared" si="141"/>
        <v>6550000</v>
      </c>
      <c r="M74" s="1134">
        <f t="shared" si="141"/>
        <v>6550000</v>
      </c>
      <c r="N74" s="1134">
        <f t="shared" si="141"/>
        <v>6550000</v>
      </c>
      <c r="O74" s="1134">
        <f t="shared" si="141"/>
        <v>6550000</v>
      </c>
      <c r="P74" s="1134">
        <f t="shared" si="141"/>
        <v>6550000</v>
      </c>
      <c r="Q74" s="1134">
        <f t="shared" si="141"/>
        <v>6550000</v>
      </c>
      <c r="R74" s="1134">
        <f t="shared" si="141"/>
        <v>6550000</v>
      </c>
      <c r="S74" s="1134">
        <f t="shared" si="141"/>
        <v>6550000</v>
      </c>
      <c r="T74" s="1134">
        <f t="shared" si="141"/>
        <v>6550000</v>
      </c>
      <c r="U74" s="1134">
        <f t="shared" si="141"/>
        <v>6550000</v>
      </c>
      <c r="V74" s="1134">
        <f t="shared" si="141"/>
        <v>6550000</v>
      </c>
      <c r="W74" s="1134">
        <f t="shared" si="141"/>
        <v>6550000</v>
      </c>
      <c r="X74" s="1134">
        <f t="shared" si="141"/>
        <v>6550000</v>
      </c>
      <c r="Y74" s="1134">
        <f t="shared" si="141"/>
        <v>6550000</v>
      </c>
      <c r="Z74" s="1134">
        <f t="shared" si="141"/>
        <v>6550000</v>
      </c>
      <c r="AA74" s="1134">
        <f t="shared" si="141"/>
        <v>6550000</v>
      </c>
      <c r="AB74" s="1134">
        <f t="shared" si="141"/>
        <v>6550000</v>
      </c>
      <c r="AC74" s="1134">
        <f t="shared" si="141"/>
        <v>6550000</v>
      </c>
      <c r="AD74" s="1134">
        <f t="shared" si="141"/>
        <v>6550000</v>
      </c>
      <c r="AE74" s="1134">
        <f t="shared" si="141"/>
        <v>6550000</v>
      </c>
      <c r="AF74" s="1134">
        <f t="shared" si="141"/>
        <v>6550000</v>
      </c>
      <c r="AG74" s="1134">
        <f t="shared" si="141"/>
        <v>6550000</v>
      </c>
      <c r="AH74" s="1134">
        <f t="shared" si="141"/>
        <v>6550000</v>
      </c>
      <c r="AI74" s="1134">
        <f t="shared" si="141"/>
        <v>6550000</v>
      </c>
      <c r="AJ74" s="1134">
        <f t="shared" si="141"/>
        <v>6550000</v>
      </c>
      <c r="AK74" s="1134">
        <f t="shared" si="141"/>
        <v>6550000</v>
      </c>
      <c r="AL74" s="1134">
        <f t="shared" ref="AL74" si="142">SUM(AL70:AL72)</f>
        <v>0</v>
      </c>
      <c r="AM74" s="1134">
        <v>0</v>
      </c>
      <c r="AN74" s="1134">
        <v>0</v>
      </c>
      <c r="AO74" s="31"/>
      <c r="AP74" s="30"/>
      <c r="AR74" s="1308" t="s">
        <v>450</v>
      </c>
      <c r="AS74" s="1309"/>
      <c r="AU74" s="9">
        <f t="shared" si="130"/>
        <v>7</v>
      </c>
      <c r="AV74" s="2"/>
      <c r="AW74" s="119"/>
      <c r="AX74" s="119"/>
      <c r="AY74" s="119"/>
      <c r="AZ74" s="119"/>
      <c r="BA74" s="119"/>
      <c r="BB74" s="119"/>
      <c r="BC74" s="119"/>
      <c r="BD74" s="119">
        <f>BD17+BD29</f>
        <v>13214628.700800685</v>
      </c>
      <c r="BE74" s="119">
        <f>BD17</f>
        <v>779963.57111644105</v>
      </c>
      <c r="BF74" s="119">
        <f>BE74</f>
        <v>779963.57111644105</v>
      </c>
      <c r="BG74" s="118">
        <f>BF74</f>
        <v>779963.57111644105</v>
      </c>
    </row>
    <row r="75" spans="5:67" x14ac:dyDescent="0.35">
      <c r="E75" s="1112"/>
      <c r="F75" s="1119"/>
      <c r="G75" s="1132"/>
      <c r="H75" s="1138"/>
      <c r="I75" s="1139"/>
      <c r="J75" s="1139"/>
      <c r="K75" s="1139"/>
      <c r="L75" s="1139"/>
      <c r="M75" s="1139"/>
      <c r="N75" s="1139"/>
      <c r="O75" s="1139"/>
      <c r="P75" s="1139"/>
      <c r="Q75" s="1139"/>
      <c r="R75" s="1139"/>
      <c r="S75" s="1139"/>
      <c r="T75" s="1139"/>
      <c r="U75" s="1139"/>
      <c r="V75" s="1139"/>
      <c r="W75" s="1139"/>
      <c r="X75" s="1139"/>
      <c r="Y75" s="1139"/>
      <c r="Z75" s="1139"/>
      <c r="AA75" s="1139"/>
      <c r="AB75" s="1139"/>
      <c r="AC75" s="1139"/>
      <c r="AD75" s="1139"/>
      <c r="AE75" s="1139"/>
      <c r="AF75" s="1139"/>
      <c r="AG75" s="1139"/>
      <c r="AH75" s="1139"/>
      <c r="AI75" s="1139"/>
      <c r="AJ75" s="1139"/>
      <c r="AK75" s="1139"/>
      <c r="AL75" s="1139"/>
      <c r="AM75" s="1139"/>
      <c r="AN75" s="1139"/>
      <c r="AO75" s="28"/>
      <c r="AP75" s="30"/>
      <c r="AR75" s="103" t="s">
        <v>451</v>
      </c>
      <c r="AS75" s="37">
        <f>AW12</f>
        <v>692585.33029914449</v>
      </c>
      <c r="AU75" s="9">
        <f t="shared" si="130"/>
        <v>8</v>
      </c>
      <c r="AV75" s="2"/>
      <c r="AW75" s="119"/>
      <c r="AX75" s="119"/>
      <c r="AY75" s="119"/>
      <c r="AZ75" s="119"/>
      <c r="BA75" s="119"/>
      <c r="BB75" s="119"/>
      <c r="BC75" s="119"/>
      <c r="BD75" s="119"/>
      <c r="BE75" s="119">
        <f>BE17+BE29</f>
        <v>13375804.539594926</v>
      </c>
      <c r="BF75" s="119">
        <f>BE17</f>
        <v>795562.84253876982</v>
      </c>
      <c r="BG75" s="118">
        <f>BF75</f>
        <v>795562.84253876982</v>
      </c>
    </row>
    <row r="76" spans="5:67" x14ac:dyDescent="0.35">
      <c r="E76" s="1112" t="s">
        <v>9</v>
      </c>
      <c r="F76" s="1119"/>
      <c r="G76" s="1132"/>
      <c r="H76" s="1140"/>
      <c r="I76" s="1141">
        <f t="shared" ref="I76:AN76" si="143">I70/$C$13</f>
        <v>1</v>
      </c>
      <c r="J76" s="1141">
        <f t="shared" si="143"/>
        <v>1</v>
      </c>
      <c r="K76" s="1141">
        <f t="shared" si="143"/>
        <v>1</v>
      </c>
      <c r="L76" s="1141">
        <f t="shared" si="143"/>
        <v>1</v>
      </c>
      <c r="M76" s="1141">
        <f t="shared" si="143"/>
        <v>1</v>
      </c>
      <c r="N76" s="1141">
        <f t="shared" si="143"/>
        <v>1</v>
      </c>
      <c r="O76" s="1141">
        <f t="shared" si="143"/>
        <v>1</v>
      </c>
      <c r="P76" s="1141">
        <f t="shared" si="143"/>
        <v>1</v>
      </c>
      <c r="Q76" s="1141">
        <f t="shared" si="143"/>
        <v>1</v>
      </c>
      <c r="R76" s="1141">
        <f t="shared" si="143"/>
        <v>1</v>
      </c>
      <c r="S76" s="1141">
        <f t="shared" si="143"/>
        <v>1</v>
      </c>
      <c r="T76" s="1141">
        <f t="shared" si="143"/>
        <v>1</v>
      </c>
      <c r="U76" s="1141">
        <f t="shared" si="143"/>
        <v>1</v>
      </c>
      <c r="V76" s="1141">
        <f t="shared" si="143"/>
        <v>1</v>
      </c>
      <c r="W76" s="1141">
        <f t="shared" si="143"/>
        <v>1</v>
      </c>
      <c r="X76" s="1141">
        <f t="shared" si="143"/>
        <v>1</v>
      </c>
      <c r="Y76" s="1141">
        <f t="shared" si="143"/>
        <v>1</v>
      </c>
      <c r="Z76" s="1141">
        <f t="shared" si="143"/>
        <v>1</v>
      </c>
      <c r="AA76" s="1141">
        <f t="shared" si="143"/>
        <v>1</v>
      </c>
      <c r="AB76" s="1141">
        <f t="shared" si="143"/>
        <v>1</v>
      </c>
      <c r="AC76" s="1141">
        <f t="shared" si="143"/>
        <v>1</v>
      </c>
      <c r="AD76" s="1141">
        <f t="shared" si="143"/>
        <v>1</v>
      </c>
      <c r="AE76" s="1141">
        <f t="shared" si="143"/>
        <v>1</v>
      </c>
      <c r="AF76" s="1141">
        <f t="shared" si="143"/>
        <v>1</v>
      </c>
      <c r="AG76" s="1141">
        <f t="shared" si="143"/>
        <v>1</v>
      </c>
      <c r="AH76" s="1141">
        <f t="shared" si="143"/>
        <v>1</v>
      </c>
      <c r="AI76" s="1141">
        <f t="shared" si="143"/>
        <v>1</v>
      </c>
      <c r="AJ76" s="1141">
        <f t="shared" si="143"/>
        <v>1</v>
      </c>
      <c r="AK76" s="1141">
        <f t="shared" si="143"/>
        <v>1</v>
      </c>
      <c r="AL76" s="1141">
        <f t="shared" si="143"/>
        <v>1</v>
      </c>
      <c r="AM76" s="1141">
        <f t="shared" si="143"/>
        <v>0</v>
      </c>
      <c r="AN76" s="1141">
        <f t="shared" si="143"/>
        <v>0</v>
      </c>
      <c r="AO76" s="31"/>
      <c r="AP76" s="30"/>
      <c r="AR76" s="1142" t="s">
        <v>307</v>
      </c>
      <c r="AS76" s="1143">
        <f>AS14</f>
        <v>5.9499999999999997E-2</v>
      </c>
      <c r="AU76" s="9">
        <f t="shared" si="130"/>
        <v>9</v>
      </c>
      <c r="AV76" s="2"/>
      <c r="AW76" s="119"/>
      <c r="AX76" s="119"/>
      <c r="AY76" s="119"/>
      <c r="AZ76" s="119"/>
      <c r="BA76" s="119"/>
      <c r="BB76" s="119"/>
      <c r="BC76" s="119"/>
      <c r="BD76" s="119"/>
      <c r="BE76" s="119"/>
      <c r="BF76" s="119">
        <f>BF17+BF29</f>
        <v>13539837.997072332</v>
      </c>
      <c r="BG76" s="118">
        <f>BF17</f>
        <v>811474.09938954527</v>
      </c>
    </row>
    <row r="77" spans="5:67" ht="15" thickBot="1" x14ac:dyDescent="0.4">
      <c r="E77" s="1112" t="s">
        <v>8</v>
      </c>
      <c r="F77" s="1119"/>
      <c r="G77" s="1132"/>
      <c r="H77" s="29">
        <f>AVERAGE(I76:AN76)</f>
        <v>0.9375</v>
      </c>
      <c r="I77" s="1139"/>
      <c r="J77" s="1139"/>
      <c r="K77" s="1139"/>
      <c r="L77" s="1139"/>
      <c r="M77" s="1139"/>
      <c r="N77" s="1139"/>
      <c r="O77" s="1139"/>
      <c r="P77" s="1139"/>
      <c r="Q77" s="1139"/>
      <c r="R77" s="1139"/>
      <c r="S77" s="1139"/>
      <c r="T77" s="1139"/>
      <c r="U77" s="1139"/>
      <c r="V77" s="1139"/>
      <c r="W77" s="1139"/>
      <c r="X77" s="1139"/>
      <c r="Y77" s="1139"/>
      <c r="Z77" s="1139"/>
      <c r="AA77" s="1139"/>
      <c r="AB77" s="1139"/>
      <c r="AC77" s="1139"/>
      <c r="AD77" s="1139"/>
      <c r="AE77" s="1139"/>
      <c r="AF77" s="1139"/>
      <c r="AG77" s="1139"/>
      <c r="AH77" s="1139"/>
      <c r="AI77" s="1139"/>
      <c r="AJ77" s="1139"/>
      <c r="AK77" s="1139"/>
      <c r="AL77" s="1139"/>
      <c r="AM77" s="1139"/>
      <c r="AN77" s="1139"/>
      <c r="AO77" s="28"/>
      <c r="AP77" s="1144"/>
      <c r="AR77" s="1145" t="s">
        <v>227</v>
      </c>
      <c r="AS77" s="744">
        <f>AS68</f>
        <v>11640089.584859572</v>
      </c>
      <c r="AU77" s="9">
        <f t="shared" si="130"/>
        <v>10</v>
      </c>
      <c r="AV77" s="2"/>
      <c r="AW77" s="119"/>
      <c r="AX77" s="119"/>
      <c r="AY77" s="119"/>
      <c r="AZ77" s="119"/>
      <c r="BA77" s="119"/>
      <c r="BB77" s="119"/>
      <c r="BC77" s="119"/>
      <c r="BD77" s="119"/>
      <c r="BE77" s="119"/>
      <c r="BF77" s="119"/>
      <c r="BG77" s="118">
        <f>BG17+BG29</f>
        <v>13706771.307608688</v>
      </c>
    </row>
    <row r="78" spans="5:67" ht="15" thickBot="1" x14ac:dyDescent="0.4">
      <c r="E78" s="1112"/>
      <c r="F78" s="1119"/>
      <c r="G78" s="1132"/>
      <c r="H78" s="1138"/>
      <c r="I78" s="1139"/>
      <c r="J78" s="1139"/>
      <c r="K78" s="1139"/>
      <c r="L78" s="1139"/>
      <c r="M78" s="1139"/>
      <c r="N78" s="1139"/>
      <c r="O78" s="1139"/>
      <c r="P78" s="1139"/>
      <c r="Q78" s="1139"/>
      <c r="R78" s="1139"/>
      <c r="S78" s="1139"/>
      <c r="T78" s="1139"/>
      <c r="U78" s="1139"/>
      <c r="V78" s="1139"/>
      <c r="W78" s="1139"/>
      <c r="X78" s="1139"/>
      <c r="Y78" s="1139"/>
      <c r="Z78" s="1139"/>
      <c r="AA78" s="1139"/>
      <c r="AB78" s="1139"/>
      <c r="AC78" s="1139"/>
      <c r="AD78" s="1139"/>
      <c r="AE78" s="1139"/>
      <c r="AF78" s="1139"/>
      <c r="AG78" s="1139"/>
      <c r="AH78" s="1139"/>
      <c r="AI78" s="1139"/>
      <c r="AJ78" s="1139"/>
      <c r="AK78" s="1139"/>
      <c r="AL78" s="1139"/>
      <c r="AM78" s="1139"/>
      <c r="AN78" s="1139"/>
      <c r="AO78" s="28"/>
      <c r="AP78" s="1144"/>
      <c r="AR78" s="9" t="s">
        <v>276</v>
      </c>
      <c r="AS78" s="104"/>
      <c r="AU78" s="138" t="s">
        <v>80</v>
      </c>
      <c r="AV78" s="362">
        <f t="shared" ref="AV78:BG78" si="144">AV65</f>
        <v>0</v>
      </c>
      <c r="AW78" s="362">
        <f t="shared" si="144"/>
        <v>1</v>
      </c>
      <c r="AX78" s="362"/>
      <c r="AY78" s="362">
        <f t="shared" si="144"/>
        <v>2</v>
      </c>
      <c r="AZ78" s="362">
        <f t="shared" si="144"/>
        <v>3</v>
      </c>
      <c r="BA78" s="362">
        <f t="shared" si="144"/>
        <v>4</v>
      </c>
      <c r="BB78" s="362">
        <f t="shared" si="144"/>
        <v>5</v>
      </c>
      <c r="BC78" s="362">
        <f t="shared" si="144"/>
        <v>6</v>
      </c>
      <c r="BD78" s="362">
        <f t="shared" si="144"/>
        <v>7</v>
      </c>
      <c r="BE78" s="362">
        <f t="shared" si="144"/>
        <v>8</v>
      </c>
      <c r="BF78" s="362">
        <f t="shared" si="144"/>
        <v>9</v>
      </c>
      <c r="BG78" s="363">
        <f t="shared" si="144"/>
        <v>10</v>
      </c>
    </row>
    <row r="79" spans="5:67" ht="15" thickBot="1" x14ac:dyDescent="0.4">
      <c r="E79" s="1112" t="s">
        <v>469</v>
      </c>
      <c r="F79" s="1119"/>
      <c r="G79" s="1132"/>
      <c r="H79" s="578">
        <f>SUMPRODUCT(I81:AN81,I83:AN83)/SUM(I83:AN83)</f>
        <v>6.500586492850309E-2</v>
      </c>
      <c r="I79" s="559">
        <v>5.3600000000000002E-2</v>
      </c>
      <c r="J79" s="559">
        <v>5.4300000000000001E-2</v>
      </c>
      <c r="K79" s="559">
        <v>5.4399999999999997E-2</v>
      </c>
      <c r="L79" s="559">
        <v>5.45E-2</v>
      </c>
      <c r="M79" s="559">
        <f>'Offering Memorandum'!BN4-C10</f>
        <v>4.1100000000000012E-2</v>
      </c>
      <c r="N79" s="559">
        <f t="shared" ref="K79:AN80" si="145">M79</f>
        <v>4.1100000000000012E-2</v>
      </c>
      <c r="O79" s="559">
        <f t="shared" si="145"/>
        <v>4.1100000000000012E-2</v>
      </c>
      <c r="P79" s="559">
        <f t="shared" si="145"/>
        <v>4.1100000000000012E-2</v>
      </c>
      <c r="Q79" s="559">
        <f t="shared" si="145"/>
        <v>4.1100000000000012E-2</v>
      </c>
      <c r="R79" s="559">
        <f t="shared" si="145"/>
        <v>4.1100000000000012E-2</v>
      </c>
      <c r="S79" s="559">
        <f t="shared" si="145"/>
        <v>4.1100000000000012E-2</v>
      </c>
      <c r="T79" s="559">
        <f t="shared" si="145"/>
        <v>4.1100000000000012E-2</v>
      </c>
      <c r="U79" s="559">
        <f t="shared" si="145"/>
        <v>4.1100000000000012E-2</v>
      </c>
      <c r="V79" s="559">
        <f t="shared" si="145"/>
        <v>4.1100000000000012E-2</v>
      </c>
      <c r="W79" s="559">
        <f t="shared" si="145"/>
        <v>4.1100000000000012E-2</v>
      </c>
      <c r="X79" s="559">
        <f t="shared" si="145"/>
        <v>4.1100000000000012E-2</v>
      </c>
      <c r="Y79" s="559">
        <f t="shared" si="145"/>
        <v>4.1100000000000012E-2</v>
      </c>
      <c r="Z79" s="559">
        <f t="shared" si="145"/>
        <v>4.1100000000000012E-2</v>
      </c>
      <c r="AA79" s="559">
        <f t="shared" si="145"/>
        <v>4.1100000000000012E-2</v>
      </c>
      <c r="AB79" s="559">
        <f t="shared" si="145"/>
        <v>4.1100000000000012E-2</v>
      </c>
      <c r="AC79" s="559">
        <f t="shared" si="145"/>
        <v>4.1100000000000012E-2</v>
      </c>
      <c r="AD79" s="559">
        <f t="shared" si="145"/>
        <v>4.1100000000000012E-2</v>
      </c>
      <c r="AE79" s="559">
        <f t="shared" si="145"/>
        <v>4.1100000000000012E-2</v>
      </c>
      <c r="AF79" s="559">
        <f t="shared" si="145"/>
        <v>4.1100000000000012E-2</v>
      </c>
      <c r="AG79" s="559">
        <f t="shared" si="145"/>
        <v>4.1100000000000012E-2</v>
      </c>
      <c r="AH79" s="559">
        <f t="shared" si="145"/>
        <v>4.1100000000000012E-2</v>
      </c>
      <c r="AI79" s="559">
        <f t="shared" si="145"/>
        <v>4.1100000000000012E-2</v>
      </c>
      <c r="AJ79" s="559">
        <f t="shared" si="145"/>
        <v>4.1100000000000012E-2</v>
      </c>
      <c r="AK79" s="559">
        <f t="shared" si="145"/>
        <v>4.1100000000000012E-2</v>
      </c>
      <c r="AL79" s="559">
        <f t="shared" si="145"/>
        <v>4.1100000000000012E-2</v>
      </c>
      <c r="AM79" s="559">
        <f t="shared" si="145"/>
        <v>4.1100000000000012E-2</v>
      </c>
      <c r="AN79" s="559">
        <f t="shared" si="145"/>
        <v>4.1100000000000012E-2</v>
      </c>
      <c r="AO79" s="559"/>
      <c r="AP79" s="1144"/>
      <c r="AR79" s="557" t="str">
        <f t="shared" ref="AR79:AR84" si="146">AR27</f>
        <v>Connecticut State &amp; Municipal Transfer Tax</v>
      </c>
      <c r="AS79" s="745">
        <f>$AS$77*AS27</f>
        <v>174601.34377289357</v>
      </c>
      <c r="AU79" s="135" t="s">
        <v>25</v>
      </c>
      <c r="AV79" s="134" t="s">
        <v>77</v>
      </c>
      <c r="AW79" s="133">
        <f t="shared" ref="AW79:BG79" ca="1" si="147">IRR(AW80:AW90)</f>
        <v>3.0499176887239798E-3</v>
      </c>
      <c r="AX79" s="133"/>
      <c r="AY79" s="133">
        <f t="shared" ca="1" si="147"/>
        <v>7.5843860579909661E-2</v>
      </c>
      <c r="AZ79" s="133">
        <f t="shared" ca="1" si="147"/>
        <v>9.2559786580031167E-2</v>
      </c>
      <c r="BA79" s="133">
        <f t="shared" ca="1" si="147"/>
        <v>0.10094219520415737</v>
      </c>
      <c r="BB79" s="133">
        <f t="shared" ca="1" si="147"/>
        <v>0.10594725198855337</v>
      </c>
      <c r="BC79" s="133">
        <f t="shared" ca="1" si="147"/>
        <v>0.10925327963660081</v>
      </c>
      <c r="BD79" s="133">
        <f t="shared" ca="1" si="147"/>
        <v>0.11158594524209531</v>
      </c>
      <c r="BE79" s="133">
        <f t="shared" ca="1" si="147"/>
        <v>0.11331010520637519</v>
      </c>
      <c r="BF79" s="133">
        <f t="shared" ca="1" si="147"/>
        <v>0.1146291964805457</v>
      </c>
      <c r="BG79" s="132">
        <f t="shared" ca="1" si="147"/>
        <v>0.11579855571483444</v>
      </c>
    </row>
    <row r="80" spans="5:67" x14ac:dyDescent="0.35">
      <c r="E80" s="1112" t="s">
        <v>306</v>
      </c>
      <c r="F80" s="1146"/>
      <c r="G80" s="1132"/>
      <c r="H80" s="1138"/>
      <c r="I80" s="361">
        <f>'Offering Memorandum'!BG4</f>
        <v>1.9E-2</v>
      </c>
      <c r="J80" s="599">
        <f>I80</f>
        <v>1.9E-2</v>
      </c>
      <c r="K80" s="599">
        <f t="shared" si="145"/>
        <v>1.9E-2</v>
      </c>
      <c r="L80" s="599">
        <f t="shared" si="145"/>
        <v>1.9E-2</v>
      </c>
      <c r="M80" s="599">
        <f>C10</f>
        <v>2.2599999999999999E-2</v>
      </c>
      <c r="N80" s="599">
        <f t="shared" ref="N80:AF80" si="148">M80</f>
        <v>2.2599999999999999E-2</v>
      </c>
      <c r="O80" s="599">
        <f t="shared" si="148"/>
        <v>2.2599999999999999E-2</v>
      </c>
      <c r="P80" s="599">
        <f t="shared" si="148"/>
        <v>2.2599999999999999E-2</v>
      </c>
      <c r="Q80" s="599">
        <f t="shared" si="148"/>
        <v>2.2599999999999999E-2</v>
      </c>
      <c r="R80" s="599">
        <f t="shared" si="148"/>
        <v>2.2599999999999999E-2</v>
      </c>
      <c r="S80" s="599">
        <f t="shared" si="148"/>
        <v>2.2599999999999999E-2</v>
      </c>
      <c r="T80" s="599">
        <f t="shared" si="148"/>
        <v>2.2599999999999999E-2</v>
      </c>
      <c r="U80" s="599">
        <f t="shared" si="148"/>
        <v>2.2599999999999999E-2</v>
      </c>
      <c r="V80" s="599">
        <f t="shared" si="148"/>
        <v>2.2599999999999999E-2</v>
      </c>
      <c r="W80" s="599">
        <f t="shared" si="148"/>
        <v>2.2599999999999999E-2</v>
      </c>
      <c r="X80" s="599">
        <f t="shared" si="148"/>
        <v>2.2599999999999999E-2</v>
      </c>
      <c r="Y80" s="599">
        <f t="shared" si="148"/>
        <v>2.2599999999999999E-2</v>
      </c>
      <c r="Z80" s="599">
        <f t="shared" si="148"/>
        <v>2.2599999999999999E-2</v>
      </c>
      <c r="AA80" s="599">
        <f t="shared" si="148"/>
        <v>2.2599999999999999E-2</v>
      </c>
      <c r="AB80" s="599">
        <f t="shared" si="148"/>
        <v>2.2599999999999999E-2</v>
      </c>
      <c r="AC80" s="599">
        <f t="shared" si="148"/>
        <v>2.2599999999999999E-2</v>
      </c>
      <c r="AD80" s="599">
        <f t="shared" si="148"/>
        <v>2.2599999999999999E-2</v>
      </c>
      <c r="AE80" s="599">
        <f t="shared" si="148"/>
        <v>2.2599999999999999E-2</v>
      </c>
      <c r="AF80" s="599">
        <f t="shared" si="148"/>
        <v>2.2599999999999999E-2</v>
      </c>
      <c r="AG80" s="599">
        <f t="shared" ref="AG80:AK80" si="149">AF80</f>
        <v>2.2599999999999999E-2</v>
      </c>
      <c r="AH80" s="599">
        <f t="shared" si="149"/>
        <v>2.2599999999999999E-2</v>
      </c>
      <c r="AI80" s="599">
        <f t="shared" si="149"/>
        <v>2.2599999999999999E-2</v>
      </c>
      <c r="AJ80" s="599">
        <f t="shared" si="149"/>
        <v>2.2599999999999999E-2</v>
      </c>
      <c r="AK80" s="599">
        <f t="shared" si="149"/>
        <v>2.2599999999999999E-2</v>
      </c>
      <c r="AL80" s="599">
        <f t="shared" ref="AL80" si="150">AK80</f>
        <v>2.2599999999999999E-2</v>
      </c>
      <c r="AM80" s="599">
        <f t="shared" ref="AM80" si="151">AL80</f>
        <v>2.2599999999999999E-2</v>
      </c>
      <c r="AN80" s="599">
        <f t="shared" ref="AN80" si="152">AM80</f>
        <v>2.2599999999999999E-2</v>
      </c>
      <c r="AO80" s="28"/>
      <c r="AP80" s="1144"/>
      <c r="AR80" s="557" t="str">
        <f t="shared" si="146"/>
        <v>Broker (Outside) Fee</v>
      </c>
      <c r="AS80" s="745">
        <f>$AS$77*AS28</f>
        <v>174601.34377289357</v>
      </c>
      <c r="AU80" s="131">
        <v>0</v>
      </c>
      <c r="AV80" s="1126">
        <f ca="1">AW80</f>
        <v>-4154538.4556194451</v>
      </c>
      <c r="AW80" s="130">
        <f ca="1">AV44</f>
        <v>-4154538.4556194451</v>
      </c>
      <c r="AX80" s="130"/>
      <c r="AY80" s="130">
        <f ca="1">AW80</f>
        <v>-4154538.4556194451</v>
      </c>
      <c r="AZ80" s="130">
        <f t="shared" ref="AZ80:BG80" ca="1" si="153">AY80</f>
        <v>-4154538.4556194451</v>
      </c>
      <c r="BA80" s="130">
        <f t="shared" ca="1" si="153"/>
        <v>-4154538.4556194451</v>
      </c>
      <c r="BB80" s="130">
        <f t="shared" ca="1" si="153"/>
        <v>-4154538.4556194451</v>
      </c>
      <c r="BC80" s="130">
        <f t="shared" ca="1" si="153"/>
        <v>-4154538.4556194451</v>
      </c>
      <c r="BD80" s="130">
        <f t="shared" ca="1" si="153"/>
        <v>-4154538.4556194451</v>
      </c>
      <c r="BE80" s="130">
        <f t="shared" ca="1" si="153"/>
        <v>-4154538.4556194451</v>
      </c>
      <c r="BF80" s="130">
        <f t="shared" ca="1" si="153"/>
        <v>-4154538.4556194451</v>
      </c>
      <c r="BG80" s="129">
        <f t="shared" ca="1" si="153"/>
        <v>-4154538.4556194451</v>
      </c>
    </row>
    <row r="81" spans="3:59" x14ac:dyDescent="0.35">
      <c r="E81" s="1112" t="s">
        <v>283</v>
      </c>
      <c r="F81" s="1119"/>
      <c r="G81" s="1132"/>
      <c r="H81" s="1138"/>
      <c r="I81" s="361">
        <f t="shared" ref="I81:AK81" si="154">I79+I80</f>
        <v>7.2599999999999998E-2</v>
      </c>
      <c r="J81" s="361">
        <f t="shared" si="154"/>
        <v>7.3300000000000004E-2</v>
      </c>
      <c r="K81" s="361">
        <f t="shared" si="154"/>
        <v>7.3399999999999993E-2</v>
      </c>
      <c r="L81" s="361">
        <f t="shared" si="154"/>
        <v>7.3499999999999996E-2</v>
      </c>
      <c r="M81" s="361">
        <f t="shared" si="154"/>
        <v>6.3700000000000007E-2</v>
      </c>
      <c r="N81" s="361">
        <f t="shared" si="154"/>
        <v>6.3700000000000007E-2</v>
      </c>
      <c r="O81" s="361">
        <f t="shared" si="154"/>
        <v>6.3700000000000007E-2</v>
      </c>
      <c r="P81" s="361">
        <f t="shared" si="154"/>
        <v>6.3700000000000007E-2</v>
      </c>
      <c r="Q81" s="361">
        <f t="shared" si="154"/>
        <v>6.3700000000000007E-2</v>
      </c>
      <c r="R81" s="361">
        <f t="shared" si="154"/>
        <v>6.3700000000000007E-2</v>
      </c>
      <c r="S81" s="361">
        <f t="shared" si="154"/>
        <v>6.3700000000000007E-2</v>
      </c>
      <c r="T81" s="361">
        <f t="shared" si="154"/>
        <v>6.3700000000000007E-2</v>
      </c>
      <c r="U81" s="361">
        <f t="shared" si="154"/>
        <v>6.3700000000000007E-2</v>
      </c>
      <c r="V81" s="361">
        <f t="shared" si="154"/>
        <v>6.3700000000000007E-2</v>
      </c>
      <c r="W81" s="361">
        <f t="shared" si="154"/>
        <v>6.3700000000000007E-2</v>
      </c>
      <c r="X81" s="361">
        <f t="shared" si="154"/>
        <v>6.3700000000000007E-2</v>
      </c>
      <c r="Y81" s="361">
        <f t="shared" si="154"/>
        <v>6.3700000000000007E-2</v>
      </c>
      <c r="Z81" s="361">
        <f t="shared" si="154"/>
        <v>6.3700000000000007E-2</v>
      </c>
      <c r="AA81" s="361">
        <f t="shared" si="154"/>
        <v>6.3700000000000007E-2</v>
      </c>
      <c r="AB81" s="361">
        <f t="shared" si="154"/>
        <v>6.3700000000000007E-2</v>
      </c>
      <c r="AC81" s="361">
        <f t="shared" si="154"/>
        <v>6.3700000000000007E-2</v>
      </c>
      <c r="AD81" s="361">
        <f t="shared" si="154"/>
        <v>6.3700000000000007E-2</v>
      </c>
      <c r="AE81" s="361">
        <f t="shared" si="154"/>
        <v>6.3700000000000007E-2</v>
      </c>
      <c r="AF81" s="361">
        <f t="shared" si="154"/>
        <v>6.3700000000000007E-2</v>
      </c>
      <c r="AG81" s="361">
        <f t="shared" si="154"/>
        <v>6.3700000000000007E-2</v>
      </c>
      <c r="AH81" s="361">
        <f t="shared" si="154"/>
        <v>6.3700000000000007E-2</v>
      </c>
      <c r="AI81" s="361">
        <f t="shared" si="154"/>
        <v>6.3700000000000007E-2</v>
      </c>
      <c r="AJ81" s="361">
        <f t="shared" si="154"/>
        <v>6.3700000000000007E-2</v>
      </c>
      <c r="AK81" s="361">
        <f t="shared" si="154"/>
        <v>6.3700000000000007E-2</v>
      </c>
      <c r="AL81" s="361">
        <f t="shared" ref="AL81:AN81" si="155">AL79+AL80</f>
        <v>6.3700000000000007E-2</v>
      </c>
      <c r="AM81" s="361">
        <f t="shared" si="155"/>
        <v>6.3700000000000007E-2</v>
      </c>
      <c r="AN81" s="361">
        <f t="shared" si="155"/>
        <v>6.3700000000000007E-2</v>
      </c>
      <c r="AO81" s="28"/>
      <c r="AP81" s="1144"/>
      <c r="AR81" s="557" t="str">
        <f t="shared" si="146"/>
        <v>Aspect Health (Inside) Fee</v>
      </c>
      <c r="AS81" s="745">
        <f>$AS$77*AS29</f>
        <v>232801.79169719145</v>
      </c>
      <c r="AU81" s="9">
        <f t="shared" ref="AU81:AU90" si="156">AU80+1</f>
        <v>1</v>
      </c>
      <c r="AV81" s="2"/>
      <c r="AW81" s="119">
        <f ca="1">AW39+AW44</f>
        <v>4167209.4559437223</v>
      </c>
      <c r="AX81" s="119"/>
      <c r="AY81" s="124">
        <f ca="1">AW44</f>
        <v>369289.69889161532</v>
      </c>
      <c r="AZ81" s="119">
        <f t="shared" ref="AZ81:BG81" ca="1" si="157">AY81</f>
        <v>369289.69889161532</v>
      </c>
      <c r="BA81" s="119">
        <f t="shared" ca="1" si="157"/>
        <v>369289.69889161532</v>
      </c>
      <c r="BB81" s="119">
        <f t="shared" ca="1" si="157"/>
        <v>369289.69889161532</v>
      </c>
      <c r="BC81" s="119">
        <f t="shared" ca="1" si="157"/>
        <v>369289.69889161532</v>
      </c>
      <c r="BD81" s="119">
        <f t="shared" ca="1" si="157"/>
        <v>369289.69889161532</v>
      </c>
      <c r="BE81" s="119">
        <f t="shared" ca="1" si="157"/>
        <v>369289.69889161532</v>
      </c>
      <c r="BF81" s="119">
        <f t="shared" ca="1" si="157"/>
        <v>369289.69889161532</v>
      </c>
      <c r="BG81" s="118">
        <f t="shared" ca="1" si="157"/>
        <v>369289.69889161532</v>
      </c>
    </row>
    <row r="82" spans="3:59" x14ac:dyDescent="0.35">
      <c r="E82" s="1112"/>
      <c r="F82" s="1119"/>
      <c r="G82" s="1132"/>
      <c r="H82" s="1138"/>
      <c r="I82" s="359"/>
      <c r="J82" s="359"/>
      <c r="K82" s="359"/>
      <c r="L82" s="359"/>
      <c r="M82" s="359"/>
      <c r="N82" s="512"/>
      <c r="O82" s="512"/>
      <c r="P82" s="601"/>
      <c r="Q82" s="512"/>
      <c r="R82" s="512"/>
      <c r="S82" s="512"/>
      <c r="T82" s="512"/>
      <c r="U82" s="512"/>
      <c r="V82" s="512"/>
      <c r="W82" s="512"/>
      <c r="X82" s="512"/>
      <c r="Y82" s="512"/>
      <c r="Z82" s="512"/>
      <c r="AA82" s="512"/>
      <c r="AB82" s="512"/>
      <c r="AC82" s="512"/>
      <c r="AD82" s="512"/>
      <c r="AE82" s="512"/>
      <c r="AF82" s="512"/>
      <c r="AG82" s="512"/>
      <c r="AH82" s="512"/>
      <c r="AI82" s="512"/>
      <c r="AJ82" s="512"/>
      <c r="AK82" s="512"/>
      <c r="AL82" s="512"/>
      <c r="AM82" s="512"/>
      <c r="AN82" s="512"/>
      <c r="AO82" s="28"/>
      <c r="AP82" s="1144"/>
      <c r="AR82" s="557" t="str">
        <f t="shared" si="146"/>
        <v>Accrued Asset Management Fees</v>
      </c>
      <c r="AS82" s="745">
        <f>AS30</f>
        <v>42919.789034773326</v>
      </c>
      <c r="AU82" s="9">
        <f t="shared" si="156"/>
        <v>2</v>
      </c>
      <c r="AV82" s="2"/>
      <c r="AW82" s="119"/>
      <c r="AX82" s="119"/>
      <c r="AY82" s="119">
        <f ca="1">AY39+AY44</f>
        <v>4411330.9860423254</v>
      </c>
      <c r="AZ82" s="119">
        <f ca="1">AY44</f>
        <v>383141.40549759817</v>
      </c>
      <c r="BA82" s="119">
        <f t="shared" ref="BA82:BG82" ca="1" si="158">AZ82</f>
        <v>383141.40549759817</v>
      </c>
      <c r="BB82" s="119">
        <f t="shared" ca="1" si="158"/>
        <v>383141.40549759817</v>
      </c>
      <c r="BC82" s="119">
        <f t="shared" ca="1" si="158"/>
        <v>383141.40549759817</v>
      </c>
      <c r="BD82" s="119">
        <f t="shared" ca="1" si="158"/>
        <v>383141.40549759817</v>
      </c>
      <c r="BE82" s="119">
        <f t="shared" ca="1" si="158"/>
        <v>383141.40549759817</v>
      </c>
      <c r="BF82" s="119">
        <f t="shared" ca="1" si="158"/>
        <v>383141.40549759817</v>
      </c>
      <c r="BG82" s="118">
        <f t="shared" ca="1" si="158"/>
        <v>383141.40549759817</v>
      </c>
    </row>
    <row r="83" spans="3:59" ht="15" thickBot="1" x14ac:dyDescent="0.4">
      <c r="C83" s="12"/>
      <c r="E83" s="1127" t="s">
        <v>7</v>
      </c>
      <c r="F83" s="1128"/>
      <c r="G83" s="1147"/>
      <c r="H83" s="1148"/>
      <c r="I83" s="1031">
        <v>24243.55</v>
      </c>
      <c r="J83" s="1031">
        <v>40712.089999999997</v>
      </c>
      <c r="K83" s="1031">
        <v>39462</v>
      </c>
      <c r="L83" s="1031">
        <v>40692.300000000003</v>
      </c>
      <c r="M83" s="1149">
        <f t="shared" ref="M83:AN83" si="159">(M81*(_xlfn.DAYS(M67,L67)/360))*M70</f>
        <v>34769.583333333336</v>
      </c>
      <c r="N83" s="1149">
        <f t="shared" si="159"/>
        <v>35928.569444444445</v>
      </c>
      <c r="O83" s="1149">
        <f t="shared" si="159"/>
        <v>35928.569444444445</v>
      </c>
      <c r="P83" s="1149">
        <f t="shared" si="159"/>
        <v>33610.597222222226</v>
      </c>
      <c r="Q83" s="1149">
        <f t="shared" si="159"/>
        <v>35928.569444444445</v>
      </c>
      <c r="R83" s="1149">
        <f t="shared" si="159"/>
        <v>34769.583333333336</v>
      </c>
      <c r="S83" s="1149">
        <f t="shared" si="159"/>
        <v>35928.569444444445</v>
      </c>
      <c r="T83" s="1149">
        <f t="shared" si="159"/>
        <v>34769.583333333336</v>
      </c>
      <c r="U83" s="1149">
        <f t="shared" si="159"/>
        <v>35928.569444444445</v>
      </c>
      <c r="V83" s="1149">
        <f t="shared" si="159"/>
        <v>35928.569444444445</v>
      </c>
      <c r="W83" s="1149">
        <f t="shared" si="159"/>
        <v>34769.583333333336</v>
      </c>
      <c r="X83" s="1149">
        <f t="shared" si="159"/>
        <v>35928.569444444445</v>
      </c>
      <c r="Y83" s="1149">
        <f t="shared" si="159"/>
        <v>34769.583333333336</v>
      </c>
      <c r="Z83" s="1149">
        <f t="shared" si="159"/>
        <v>35928.569444444445</v>
      </c>
      <c r="AA83" s="1149">
        <f t="shared" si="159"/>
        <v>35928.569444444445</v>
      </c>
      <c r="AB83" s="1149">
        <f t="shared" si="159"/>
        <v>32451.611111111117</v>
      </c>
      <c r="AC83" s="1149">
        <f t="shared" si="159"/>
        <v>35928.569444444445</v>
      </c>
      <c r="AD83" s="1149">
        <f t="shared" si="159"/>
        <v>34769.583333333336</v>
      </c>
      <c r="AE83" s="1149">
        <f t="shared" si="159"/>
        <v>35928.569444444445</v>
      </c>
      <c r="AF83" s="1149">
        <f t="shared" si="159"/>
        <v>34769.583333333336</v>
      </c>
      <c r="AG83" s="1149">
        <f t="shared" si="159"/>
        <v>35928.569444444445</v>
      </c>
      <c r="AH83" s="1149">
        <f t="shared" si="159"/>
        <v>35928.569444444445</v>
      </c>
      <c r="AI83" s="1149">
        <f t="shared" si="159"/>
        <v>34769.583333333336</v>
      </c>
      <c r="AJ83" s="1149">
        <f t="shared" si="159"/>
        <v>35928.569444444445</v>
      </c>
      <c r="AK83" s="1149">
        <f t="shared" si="159"/>
        <v>34769.583333333336</v>
      </c>
      <c r="AL83" s="1149">
        <f t="shared" si="159"/>
        <v>35928.569444444445</v>
      </c>
      <c r="AM83" s="1149">
        <f t="shared" si="159"/>
        <v>0</v>
      </c>
      <c r="AN83" s="1149">
        <f t="shared" si="159"/>
        <v>0</v>
      </c>
      <c r="AO83" s="27">
        <f>SUM(H83:AN83)</f>
        <v>1063026.9400000006</v>
      </c>
      <c r="AP83" s="26">
        <f>+AO83/SF</f>
        <v>56.682677828729908</v>
      </c>
      <c r="AR83" s="557" t="str">
        <f t="shared" si="146"/>
        <v>Swap Breakage Fees - Permanent Loan</v>
      </c>
      <c r="AS83" s="745">
        <f>AS31</f>
        <v>28807.114413004252</v>
      </c>
      <c r="AU83" s="9">
        <f t="shared" si="156"/>
        <v>3</v>
      </c>
      <c r="AV83" s="2"/>
      <c r="AW83" s="119"/>
      <c r="AX83" s="119"/>
      <c r="AY83" s="119"/>
      <c r="AZ83" s="119">
        <f ca="1">AZ39+AZ44</f>
        <v>4558821.0804879349</v>
      </c>
      <c r="BA83" s="119">
        <f ca="1">AZ44</f>
        <v>397270.14623570075</v>
      </c>
      <c r="BB83" s="119">
        <f t="shared" ref="BB83:BG83" ca="1" si="160">BA83</f>
        <v>397270.14623570075</v>
      </c>
      <c r="BC83" s="119">
        <f t="shared" ca="1" si="160"/>
        <v>397270.14623570075</v>
      </c>
      <c r="BD83" s="119">
        <f t="shared" ca="1" si="160"/>
        <v>397270.14623570075</v>
      </c>
      <c r="BE83" s="119">
        <f t="shared" ca="1" si="160"/>
        <v>397270.14623570075</v>
      </c>
      <c r="BF83" s="119">
        <f t="shared" ca="1" si="160"/>
        <v>397270.14623570075</v>
      </c>
      <c r="BG83" s="118">
        <f t="shared" ca="1" si="160"/>
        <v>397270.14623570075</v>
      </c>
    </row>
    <row r="84" spans="3:59" ht="15" thickBot="1" x14ac:dyDescent="0.4">
      <c r="F84" s="5"/>
      <c r="H84" s="1150"/>
      <c r="I84" s="1150"/>
      <c r="J84" s="1150"/>
      <c r="K84" s="1150"/>
      <c r="L84" s="1150"/>
      <c r="M84" s="1150"/>
      <c r="N84" s="1150"/>
      <c r="O84" s="1150"/>
      <c r="P84" s="1150"/>
      <c r="Q84" s="1150"/>
      <c r="R84" s="1150"/>
      <c r="S84" s="1150"/>
      <c r="T84" s="1150"/>
      <c r="U84" s="1150"/>
      <c r="V84" s="1150"/>
      <c r="W84" s="1150"/>
      <c r="X84" s="1150"/>
      <c r="Y84" s="1150"/>
      <c r="Z84" s="1150"/>
      <c r="AA84" s="1150"/>
      <c r="AB84" s="1150"/>
      <c r="AC84" s="1150"/>
      <c r="AD84" s="1150"/>
      <c r="AE84" s="1150"/>
      <c r="AF84" s="1150"/>
      <c r="AG84" s="1150"/>
      <c r="AH84" s="1150"/>
      <c r="AI84" s="1150"/>
      <c r="AJ84" s="1150"/>
      <c r="AK84" s="1150"/>
      <c r="AL84" s="1150"/>
      <c r="AM84" s="1150"/>
      <c r="AN84" s="1150"/>
      <c r="AO84" s="25"/>
      <c r="AP84" s="24"/>
      <c r="AR84" s="557" t="str">
        <f t="shared" si="146"/>
        <v>Outstanding Rent/TIA Obligations</v>
      </c>
      <c r="AS84" s="745">
        <f>AS32</f>
        <v>179865.21695045359</v>
      </c>
      <c r="AU84" s="9">
        <f t="shared" si="156"/>
        <v>4</v>
      </c>
      <c r="AV84" s="2"/>
      <c r="AW84" s="119"/>
      <c r="AX84" s="119"/>
      <c r="AY84" s="119"/>
      <c r="AZ84" s="119"/>
      <c r="BA84" s="119">
        <f ca="1">BA39+BA44</f>
        <v>4708970.9372045826</v>
      </c>
      <c r="BB84" s="119">
        <f ca="1">BA44</f>
        <v>411681.46178856533</v>
      </c>
      <c r="BC84" s="119">
        <f ca="1">BB84</f>
        <v>411681.46178856533</v>
      </c>
      <c r="BD84" s="119">
        <f ca="1">BC84</f>
        <v>411681.46178856533</v>
      </c>
      <c r="BE84" s="119">
        <f ca="1">BD84</f>
        <v>411681.46178856533</v>
      </c>
      <c r="BF84" s="119">
        <f ca="1">BE84</f>
        <v>411681.46178856533</v>
      </c>
      <c r="BG84" s="118">
        <f ca="1">BF84</f>
        <v>411681.46178856533</v>
      </c>
    </row>
    <row r="85" spans="3:59" ht="15" thickBot="1" x14ac:dyDescent="0.4">
      <c r="E85" s="1287" t="s">
        <v>15</v>
      </c>
      <c r="F85" s="1288"/>
      <c r="G85" s="1288"/>
      <c r="H85" s="1288"/>
      <c r="I85" s="1288"/>
      <c r="J85" s="1288"/>
      <c r="K85" s="1288"/>
      <c r="L85" s="1288"/>
      <c r="M85" s="1288"/>
      <c r="N85" s="1288"/>
      <c r="O85" s="1288"/>
      <c r="P85" s="1288"/>
      <c r="Q85" s="1288"/>
      <c r="R85" s="1288"/>
      <c r="S85" s="1288"/>
      <c r="T85" s="1288"/>
      <c r="U85" s="1288"/>
      <c r="V85" s="1288"/>
      <c r="W85" s="1288"/>
      <c r="X85" s="1288"/>
      <c r="Y85" s="1288"/>
      <c r="Z85" s="1288"/>
      <c r="AA85" s="1288"/>
      <c r="AB85" s="1288"/>
      <c r="AC85" s="1288"/>
      <c r="AD85" s="1288"/>
      <c r="AE85" s="1288"/>
      <c r="AF85" s="1288"/>
      <c r="AG85" s="1288"/>
      <c r="AH85" s="1288"/>
      <c r="AI85" s="1288"/>
      <c r="AJ85" s="1288"/>
      <c r="AK85" s="1288"/>
      <c r="AL85" s="1288"/>
      <c r="AM85" s="1288"/>
      <c r="AN85" s="1288"/>
      <c r="AO85" s="1288"/>
      <c r="AP85" s="1289"/>
      <c r="AR85" s="1151" t="s">
        <v>452</v>
      </c>
      <c r="AS85" s="744">
        <f>AS77-SUM(AS78:AS84)</f>
        <v>10806492.985218363</v>
      </c>
      <c r="AU85" s="9">
        <f t="shared" si="156"/>
        <v>5</v>
      </c>
      <c r="AV85" s="2"/>
      <c r="AW85" s="119"/>
      <c r="AX85" s="119"/>
      <c r="AY85" s="119"/>
      <c r="AZ85" s="119"/>
      <c r="BA85" s="119"/>
      <c r="BB85" s="119">
        <f ca="1">BB39+BB44</f>
        <v>4861818.3793379478</v>
      </c>
      <c r="BC85" s="119">
        <f ca="1">BB44</f>
        <v>426381.00365248724</v>
      </c>
      <c r="BD85" s="119">
        <f ca="1">BC85</f>
        <v>426381.00365248724</v>
      </c>
      <c r="BE85" s="119">
        <f ca="1">BD85</f>
        <v>426381.00365248724</v>
      </c>
      <c r="BF85" s="119">
        <f ca="1">BE85</f>
        <v>426381.00365248724</v>
      </c>
      <c r="BG85" s="118">
        <f ca="1">BF85</f>
        <v>426381.00365248724</v>
      </c>
    </row>
    <row r="86" spans="3:59" ht="15" thickBot="1" x14ac:dyDescent="0.4">
      <c r="E86" s="23"/>
      <c r="F86" s="22"/>
      <c r="G86" s="22"/>
      <c r="H86" s="21">
        <f>0</f>
        <v>0</v>
      </c>
      <c r="I86" s="21">
        <f t="shared" ref="I86" si="161">H86+1</f>
        <v>1</v>
      </c>
      <c r="J86" s="21">
        <f t="shared" ref="J86" si="162">I86+1</f>
        <v>2</v>
      </c>
      <c r="K86" s="21">
        <f t="shared" ref="K86" si="163">J86+1</f>
        <v>3</v>
      </c>
      <c r="L86" s="21">
        <f t="shared" ref="L86" si="164">K86+1</f>
        <v>4</v>
      </c>
      <c r="M86" s="40">
        <f t="shared" ref="M86" si="165">L86+1</f>
        <v>5</v>
      </c>
      <c r="N86" s="40">
        <f t="shared" ref="N86" si="166">M86+1</f>
        <v>6</v>
      </c>
      <c r="O86" s="40">
        <f t="shared" ref="O86" si="167">N86+1</f>
        <v>7</v>
      </c>
      <c r="P86" s="40">
        <f t="shared" ref="P86" si="168">O86+1</f>
        <v>8</v>
      </c>
      <c r="Q86" s="40">
        <f t="shared" ref="Q86" si="169">P86+1</f>
        <v>9</v>
      </c>
      <c r="R86" s="40">
        <f t="shared" ref="R86" si="170">Q86+1</f>
        <v>10</v>
      </c>
      <c r="S86" s="40">
        <f t="shared" ref="S86" si="171">R86+1</f>
        <v>11</v>
      </c>
      <c r="T86" s="40">
        <f t="shared" ref="T86" si="172">S86+1</f>
        <v>12</v>
      </c>
      <c r="U86" s="40">
        <f t="shared" ref="U86" si="173">T86+1</f>
        <v>13</v>
      </c>
      <c r="V86" s="40">
        <f t="shared" ref="V86" si="174">U86+1</f>
        <v>14</v>
      </c>
      <c r="W86" s="40">
        <f t="shared" ref="W86" si="175">V86+1</f>
        <v>15</v>
      </c>
      <c r="X86" s="40">
        <f t="shared" ref="X86" si="176">W86+1</f>
        <v>16</v>
      </c>
      <c r="Y86" s="40">
        <f t="shared" ref="Y86" si="177">X86+1</f>
        <v>17</v>
      </c>
      <c r="Z86" s="40">
        <f t="shared" ref="Z86" si="178">Y86+1</f>
        <v>18</v>
      </c>
      <c r="AA86" s="40">
        <f t="shared" ref="AA86" si="179">Z86+1</f>
        <v>19</v>
      </c>
      <c r="AB86" s="40">
        <f t="shared" ref="AB86" si="180">AA86+1</f>
        <v>20</v>
      </c>
      <c r="AC86" s="40">
        <f t="shared" ref="AC86" si="181">AB86+1</f>
        <v>21</v>
      </c>
      <c r="AD86" s="40">
        <f t="shared" ref="AD86" si="182">AC86+1</f>
        <v>22</v>
      </c>
      <c r="AE86" s="40">
        <f t="shared" ref="AE86" si="183">AD86+1</f>
        <v>23</v>
      </c>
      <c r="AF86" s="40">
        <f t="shared" ref="AF86" si="184">AE86+1</f>
        <v>24</v>
      </c>
      <c r="AG86" s="40">
        <f t="shared" ref="AG86" si="185">AF86+1</f>
        <v>25</v>
      </c>
      <c r="AH86" s="40">
        <f t="shared" ref="AH86" si="186">AG86+1</f>
        <v>26</v>
      </c>
      <c r="AI86" s="40">
        <f t="shared" ref="AI86" si="187">AH86+1</f>
        <v>27</v>
      </c>
      <c r="AJ86" s="40">
        <f t="shared" ref="AJ86" si="188">AI86+1</f>
        <v>28</v>
      </c>
      <c r="AK86" s="40">
        <f t="shared" ref="AK86" si="189">AJ86+1</f>
        <v>29</v>
      </c>
      <c r="AL86" s="40">
        <f t="shared" ref="AL86" si="190">AK86+1</f>
        <v>30</v>
      </c>
      <c r="AM86" s="40">
        <f t="shared" ref="AM86" si="191">AL86+1</f>
        <v>31</v>
      </c>
      <c r="AN86" s="40">
        <f t="shared" ref="AN86" si="192">AM86+1</f>
        <v>32</v>
      </c>
      <c r="AO86" s="39" t="s">
        <v>14</v>
      </c>
      <c r="AP86" s="38" t="s">
        <v>13</v>
      </c>
      <c r="AR86" s="9" t="s">
        <v>453</v>
      </c>
      <c r="AS86" s="104">
        <f>AL58+AL54</f>
        <v>6585928.569444444</v>
      </c>
      <c r="AU86" s="9">
        <f t="shared" si="156"/>
        <v>6</v>
      </c>
      <c r="AV86" s="2"/>
      <c r="AW86" s="119"/>
      <c r="AX86" s="119"/>
      <c r="AY86" s="119"/>
      <c r="AZ86" s="119"/>
      <c r="BA86" s="119"/>
      <c r="BB86" s="119"/>
      <c r="BC86" s="119">
        <f ca="1">BC39+BC44</f>
        <v>5017402.0964240255</v>
      </c>
      <c r="BD86" s="119">
        <f ca="1">BC44</f>
        <v>441374.53635368758</v>
      </c>
      <c r="BE86" s="119">
        <f ca="1">BD86</f>
        <v>441374.53635368758</v>
      </c>
      <c r="BF86" s="119">
        <f ca="1">BE86</f>
        <v>441374.53635368758</v>
      </c>
      <c r="BG86" s="118">
        <f ca="1">BF86</f>
        <v>441374.53635368758</v>
      </c>
    </row>
    <row r="87" spans="3:59" x14ac:dyDescent="0.35">
      <c r="E87" s="1129"/>
      <c r="F87" s="1102"/>
      <c r="G87" s="1102"/>
      <c r="H87" s="1102"/>
      <c r="I87" s="1102"/>
      <c r="J87" s="1102"/>
      <c r="K87" s="1102"/>
      <c r="L87" s="1102"/>
      <c r="M87" s="1102"/>
      <c r="N87" s="1102"/>
      <c r="O87" s="1102"/>
      <c r="P87" s="1102"/>
      <c r="Q87" s="1102"/>
      <c r="R87" s="1102"/>
      <c r="S87" s="1102"/>
      <c r="T87" s="1102"/>
      <c r="U87" s="604"/>
      <c r="V87" s="1102"/>
      <c r="W87" s="1102"/>
      <c r="X87" s="1102"/>
      <c r="Y87" s="1102"/>
      <c r="Z87" s="1102"/>
      <c r="AA87" s="1102"/>
      <c r="AB87" s="1102"/>
      <c r="AC87" s="1102"/>
      <c r="AD87" s="604"/>
      <c r="AE87" s="604"/>
      <c r="AF87" s="1102"/>
      <c r="AG87" s="604"/>
      <c r="AH87" s="1102"/>
      <c r="AI87" s="1102"/>
      <c r="AJ87" s="1102"/>
      <c r="AK87" s="1102"/>
      <c r="AL87" s="1102"/>
      <c r="AM87" s="1102"/>
      <c r="AN87" s="1102"/>
      <c r="AO87" s="1130"/>
      <c r="AP87" s="37"/>
      <c r="AR87" s="9" t="s">
        <v>454</v>
      </c>
      <c r="AS87" s="104">
        <f>AL115</f>
        <v>3845210.2100000009</v>
      </c>
      <c r="AU87" s="9">
        <f t="shared" si="156"/>
        <v>7</v>
      </c>
      <c r="AV87" s="2"/>
      <c r="AW87" s="119"/>
      <c r="AX87" s="119"/>
      <c r="AY87" s="119"/>
      <c r="AZ87" s="119"/>
      <c r="BA87" s="119"/>
      <c r="BB87" s="119"/>
      <c r="BC87" s="119"/>
      <c r="BD87" s="119">
        <f ca="1">BD39+BD44</f>
        <v>5175761.6518141842</v>
      </c>
      <c r="BE87" s="119">
        <f ca="1">BD44</f>
        <v>456667.93970891187</v>
      </c>
      <c r="BF87" s="119">
        <f ca="1">BE87</f>
        <v>456667.93970891187</v>
      </c>
      <c r="BG87" s="118">
        <f ca="1">BF87</f>
        <v>456667.93970891187</v>
      </c>
    </row>
    <row r="88" spans="3:59" x14ac:dyDescent="0.35">
      <c r="E88" s="16" t="s">
        <v>5</v>
      </c>
      <c r="F88" s="15"/>
      <c r="G88" s="15"/>
      <c r="H88" s="14">
        <f>H67</f>
        <v>45120</v>
      </c>
      <c r="I88" s="14">
        <f t="shared" ref="I88:AN88" si="193">I67</f>
        <v>45138</v>
      </c>
      <c r="J88" s="14">
        <f t="shared" si="193"/>
        <v>45169</v>
      </c>
      <c r="K88" s="14">
        <f t="shared" si="193"/>
        <v>45199</v>
      </c>
      <c r="L88" s="14">
        <f t="shared" si="193"/>
        <v>45230</v>
      </c>
      <c r="M88" s="14">
        <f t="shared" si="193"/>
        <v>45260</v>
      </c>
      <c r="N88" s="14">
        <f t="shared" si="193"/>
        <v>45291</v>
      </c>
      <c r="O88" s="14">
        <f t="shared" si="193"/>
        <v>45322</v>
      </c>
      <c r="P88" s="14">
        <f t="shared" si="193"/>
        <v>45351</v>
      </c>
      <c r="Q88" s="14">
        <f t="shared" si="193"/>
        <v>45382</v>
      </c>
      <c r="R88" s="14">
        <f t="shared" si="193"/>
        <v>45412</v>
      </c>
      <c r="S88" s="14">
        <f t="shared" si="193"/>
        <v>45443</v>
      </c>
      <c r="T88" s="14">
        <f t="shared" si="193"/>
        <v>45473</v>
      </c>
      <c r="U88" s="14">
        <f t="shared" si="193"/>
        <v>45504</v>
      </c>
      <c r="V88" s="14">
        <f t="shared" si="193"/>
        <v>45535</v>
      </c>
      <c r="W88" s="14">
        <f t="shared" si="193"/>
        <v>45565</v>
      </c>
      <c r="X88" s="14">
        <f t="shared" si="193"/>
        <v>45596</v>
      </c>
      <c r="Y88" s="14">
        <f t="shared" si="193"/>
        <v>45626</v>
      </c>
      <c r="Z88" s="14">
        <f t="shared" si="193"/>
        <v>45657</v>
      </c>
      <c r="AA88" s="14">
        <f t="shared" si="193"/>
        <v>45688</v>
      </c>
      <c r="AB88" s="14">
        <f t="shared" si="193"/>
        <v>45716</v>
      </c>
      <c r="AC88" s="14">
        <f t="shared" si="193"/>
        <v>45747</v>
      </c>
      <c r="AD88" s="14">
        <f t="shared" si="193"/>
        <v>45777</v>
      </c>
      <c r="AE88" s="14">
        <f t="shared" si="193"/>
        <v>45808</v>
      </c>
      <c r="AF88" s="14">
        <f t="shared" si="193"/>
        <v>45838</v>
      </c>
      <c r="AG88" s="14">
        <f t="shared" si="193"/>
        <v>45869</v>
      </c>
      <c r="AH88" s="14">
        <f t="shared" si="193"/>
        <v>45900</v>
      </c>
      <c r="AI88" s="14">
        <f t="shared" si="193"/>
        <v>45930</v>
      </c>
      <c r="AJ88" s="14">
        <f t="shared" si="193"/>
        <v>45961</v>
      </c>
      <c r="AK88" s="14">
        <f t="shared" si="193"/>
        <v>45991</v>
      </c>
      <c r="AL88" s="14">
        <f t="shared" si="193"/>
        <v>46022</v>
      </c>
      <c r="AM88" s="14">
        <f t="shared" si="193"/>
        <v>46053</v>
      </c>
      <c r="AN88" s="14">
        <f t="shared" si="193"/>
        <v>46081</v>
      </c>
      <c r="AO88" s="36"/>
      <c r="AP88" s="35"/>
      <c r="AR88" s="9" t="s">
        <v>470</v>
      </c>
      <c r="AS88" s="104">
        <f>AL123</f>
        <v>0</v>
      </c>
      <c r="AU88" s="9">
        <f t="shared" si="156"/>
        <v>8</v>
      </c>
      <c r="AV88" s="2"/>
      <c r="AW88" s="119"/>
      <c r="AX88" s="119"/>
      <c r="AY88" s="119"/>
      <c r="AZ88" s="119"/>
      <c r="BA88" s="119"/>
      <c r="BB88" s="119"/>
      <c r="BC88" s="119"/>
      <c r="BD88" s="119"/>
      <c r="BE88" s="119">
        <f ca="1">BE39+BE44</f>
        <v>5336937.4906084249</v>
      </c>
      <c r="BF88" s="119">
        <f ca="1">BE44</f>
        <v>472267.21113124065</v>
      </c>
      <c r="BG88" s="118">
        <f ca="1">BF88</f>
        <v>472267.21113124065</v>
      </c>
    </row>
    <row r="89" spans="3:59" x14ac:dyDescent="0.35">
      <c r="E89" s="1112"/>
      <c r="F89" s="1132"/>
      <c r="G89" s="1132"/>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30"/>
      <c r="AR89" s="1142" t="s">
        <v>159</v>
      </c>
      <c r="AS89" s="746">
        <f>AL132</f>
        <v>375354.19999999925</v>
      </c>
      <c r="AU89" s="9">
        <f t="shared" si="156"/>
        <v>9</v>
      </c>
      <c r="AV89" s="2"/>
      <c r="AW89" s="119"/>
      <c r="AX89" s="119"/>
      <c r="AY89" s="119"/>
      <c r="AZ89" s="119"/>
      <c r="BA89" s="119"/>
      <c r="BB89" s="119"/>
      <c r="BC89" s="119"/>
      <c r="BD89" s="119"/>
      <c r="BE89" s="119"/>
      <c r="BF89" s="119">
        <f ca="1">BF39+BF44</f>
        <v>5500970.9480858315</v>
      </c>
      <c r="BG89" s="118">
        <f ca="1">BF44</f>
        <v>488178.4679820161</v>
      </c>
    </row>
    <row r="90" spans="3:59" ht="15" thickBot="1" x14ac:dyDescent="0.4">
      <c r="E90" s="1112" t="s">
        <v>12</v>
      </c>
      <c r="F90" s="1119"/>
      <c r="G90" s="1132"/>
      <c r="H90" s="1133"/>
      <c r="I90" s="1134"/>
      <c r="J90" s="1134"/>
      <c r="K90" s="1134"/>
      <c r="L90" s="1134"/>
      <c r="M90" s="1134"/>
      <c r="N90" s="1134"/>
      <c r="O90" s="1134"/>
      <c r="P90" s="1134"/>
      <c r="Q90" s="1134"/>
      <c r="R90" s="1134"/>
      <c r="S90" s="1134"/>
      <c r="T90" s="1134"/>
      <c r="U90" s="1134"/>
      <c r="V90" s="1134"/>
      <c r="W90" s="1134"/>
      <c r="X90" s="1134"/>
      <c r="Y90" s="1134"/>
      <c r="Z90" s="1134"/>
      <c r="AA90" s="1134"/>
      <c r="AB90" s="1134"/>
      <c r="AC90" s="1134"/>
      <c r="AD90" s="1134"/>
      <c r="AE90" s="1134"/>
      <c r="AF90" s="1134"/>
      <c r="AG90" s="1134"/>
      <c r="AH90" s="1134"/>
      <c r="AI90" s="1134"/>
      <c r="AJ90" s="1134"/>
      <c r="AK90" s="1134"/>
      <c r="AL90" s="1134"/>
      <c r="AM90" s="1134"/>
      <c r="AN90" s="1134"/>
      <c r="AO90" s="28"/>
      <c r="AP90" s="30"/>
      <c r="AR90" s="1151" t="s">
        <v>455</v>
      </c>
      <c r="AS90" s="744">
        <f>AS85-AS86-AS87-AS88-AS89</f>
        <v>5.7739187031984329E-3</v>
      </c>
      <c r="AU90" s="71">
        <f t="shared" si="156"/>
        <v>10</v>
      </c>
      <c r="AV90" s="65"/>
      <c r="AW90" s="117"/>
      <c r="AX90" s="117"/>
      <c r="AY90" s="117"/>
      <c r="AZ90" s="117"/>
      <c r="BA90" s="117"/>
      <c r="BB90" s="117"/>
      <c r="BC90" s="117"/>
      <c r="BD90" s="117"/>
      <c r="BE90" s="117"/>
      <c r="BF90" s="117"/>
      <c r="BG90" s="116">
        <f ca="1">BG39+BG42</f>
        <v>5678290.6047612363</v>
      </c>
    </row>
    <row r="91" spans="3:59" ht="15" thickBot="1" x14ac:dyDescent="0.4">
      <c r="E91" s="1112" t="s">
        <v>4</v>
      </c>
      <c r="F91" s="1119"/>
      <c r="G91" s="1132"/>
      <c r="H91" s="1135">
        <v>0</v>
      </c>
      <c r="I91" s="1134">
        <f t="shared" ref="I91" si="194">H95</f>
        <v>0</v>
      </c>
      <c r="J91" s="1134">
        <f t="shared" ref="J91" si="195">I95</f>
        <v>0</v>
      </c>
      <c r="K91" s="1134">
        <f t="shared" ref="K91" si="196">J95</f>
        <v>0</v>
      </c>
      <c r="L91" s="1134">
        <f t="shared" ref="L91" si="197">K95</f>
        <v>0</v>
      </c>
      <c r="M91" s="1134">
        <f t="shared" ref="M91" si="198">L95</f>
        <v>0</v>
      </c>
      <c r="N91" s="1134">
        <f t="shared" ref="N91" si="199">M95</f>
        <v>0</v>
      </c>
      <c r="O91" s="1134">
        <f t="shared" ref="O91" si="200">N95</f>
        <v>0</v>
      </c>
      <c r="P91" s="1134">
        <f t="shared" ref="P91" si="201">O95</f>
        <v>0</v>
      </c>
      <c r="Q91" s="1134">
        <f t="shared" ref="Q91" si="202">P95</f>
        <v>0</v>
      </c>
      <c r="R91" s="1134">
        <f t="shared" ref="R91" si="203">Q95</f>
        <v>0</v>
      </c>
      <c r="S91" s="1134">
        <f t="shared" ref="S91" si="204">R95</f>
        <v>0</v>
      </c>
      <c r="T91" s="1134">
        <f t="shared" ref="T91" si="205">S95</f>
        <v>0</v>
      </c>
      <c r="U91" s="792">
        <f t="shared" ref="U91" si="206">T95</f>
        <v>0</v>
      </c>
      <c r="V91" s="1134">
        <f t="shared" ref="V91" si="207">U95</f>
        <v>0</v>
      </c>
      <c r="W91" s="1134">
        <f t="shared" ref="W91" si="208">V95</f>
        <v>0</v>
      </c>
      <c r="X91" s="1134">
        <f t="shared" ref="X91" si="209">W95</f>
        <v>0</v>
      </c>
      <c r="Y91" s="1134">
        <f t="shared" ref="Y91" si="210">X95</f>
        <v>0</v>
      </c>
      <c r="Z91" s="1134">
        <f t="shared" ref="Z91" si="211">Y95</f>
        <v>0</v>
      </c>
      <c r="AA91" s="1134">
        <f t="shared" ref="AA91" si="212">Z95</f>
        <v>0</v>
      </c>
      <c r="AB91" s="1134">
        <f t="shared" ref="AB91" si="213">AA95</f>
        <v>0</v>
      </c>
      <c r="AC91" s="1134">
        <f t="shared" ref="AC91" si="214">AB95</f>
        <v>0</v>
      </c>
      <c r="AD91" s="1134">
        <f t="shared" ref="AD91" si="215">AC95</f>
        <v>0</v>
      </c>
      <c r="AE91" s="1134">
        <f t="shared" ref="AE91" si="216">AD95</f>
        <v>0</v>
      </c>
      <c r="AF91" s="1134">
        <f t="shared" ref="AF91" si="217">AE95</f>
        <v>0</v>
      </c>
      <c r="AG91" s="1134">
        <f t="shared" ref="AG91" si="218">AF95</f>
        <v>0</v>
      </c>
      <c r="AH91" s="1134">
        <f t="shared" ref="AH91" si="219">AG95</f>
        <v>0</v>
      </c>
      <c r="AI91" s="1134">
        <f t="shared" ref="AI91" si="220">AH95</f>
        <v>0</v>
      </c>
      <c r="AJ91" s="1134">
        <f t="shared" ref="AJ91" si="221">AI95</f>
        <v>0</v>
      </c>
      <c r="AK91" s="1134">
        <f t="shared" ref="AK91" si="222">AJ95</f>
        <v>0</v>
      </c>
      <c r="AL91" s="1134">
        <f t="shared" ref="AL91" si="223">AK95</f>
        <v>0</v>
      </c>
      <c r="AM91" s="1134">
        <f t="shared" ref="AM91" si="224">AL95</f>
        <v>0</v>
      </c>
      <c r="AN91" s="1134">
        <f t="shared" ref="AN91" si="225">AM95</f>
        <v>0</v>
      </c>
      <c r="AO91" s="31"/>
      <c r="AP91" s="30"/>
      <c r="AR91" s="1151" t="s">
        <v>645</v>
      </c>
      <c r="AS91" s="744">
        <f>AL139</f>
        <v>0</v>
      </c>
    </row>
    <row r="92" spans="3:59" ht="15" thickBot="1" x14ac:dyDescent="0.4">
      <c r="E92" s="34" t="s">
        <v>11</v>
      </c>
      <c r="F92" s="1136"/>
      <c r="G92" s="1132"/>
      <c r="H92" s="1135">
        <f t="shared" ref="H92:AM92" si="226">H95-H91</f>
        <v>0</v>
      </c>
      <c r="I92" s="1134">
        <f t="shared" si="226"/>
        <v>0</v>
      </c>
      <c r="J92" s="1134">
        <f t="shared" si="226"/>
        <v>0</v>
      </c>
      <c r="K92" s="1134">
        <f t="shared" si="226"/>
        <v>0</v>
      </c>
      <c r="L92" s="1134">
        <v>0</v>
      </c>
      <c r="M92" s="1134">
        <v>0</v>
      </c>
      <c r="N92" s="1134">
        <v>0</v>
      </c>
      <c r="O92" s="1134">
        <f t="shared" si="226"/>
        <v>0</v>
      </c>
      <c r="P92" s="1134">
        <f t="shared" si="226"/>
        <v>0</v>
      </c>
      <c r="Q92" s="1134">
        <f t="shared" si="226"/>
        <v>0</v>
      </c>
      <c r="R92" s="1134">
        <f t="shared" si="226"/>
        <v>0</v>
      </c>
      <c r="S92" s="1134">
        <f t="shared" si="226"/>
        <v>0</v>
      </c>
      <c r="T92" s="1134">
        <f t="shared" si="226"/>
        <v>0</v>
      </c>
      <c r="U92" s="1134">
        <f t="shared" si="226"/>
        <v>0</v>
      </c>
      <c r="V92" s="1134">
        <f t="shared" si="226"/>
        <v>0</v>
      </c>
      <c r="W92" s="1134">
        <f t="shared" si="226"/>
        <v>0</v>
      </c>
      <c r="X92" s="1134">
        <f t="shared" si="226"/>
        <v>0</v>
      </c>
      <c r="Y92" s="1134">
        <f t="shared" si="226"/>
        <v>0</v>
      </c>
      <c r="Z92" s="1134">
        <f t="shared" si="226"/>
        <v>0</v>
      </c>
      <c r="AA92" s="1134">
        <f t="shared" si="226"/>
        <v>0</v>
      </c>
      <c r="AB92" s="1134">
        <f t="shared" si="226"/>
        <v>0</v>
      </c>
      <c r="AC92" s="1134">
        <f t="shared" si="226"/>
        <v>0</v>
      </c>
      <c r="AD92" s="1134">
        <f t="shared" si="226"/>
        <v>0</v>
      </c>
      <c r="AE92" s="1134">
        <f t="shared" si="226"/>
        <v>0</v>
      </c>
      <c r="AF92" s="1134">
        <f t="shared" si="226"/>
        <v>0</v>
      </c>
      <c r="AG92" s="1134">
        <f t="shared" si="226"/>
        <v>0</v>
      </c>
      <c r="AH92" s="1134">
        <f t="shared" si="226"/>
        <v>0</v>
      </c>
      <c r="AI92" s="1134">
        <f t="shared" si="226"/>
        <v>0</v>
      </c>
      <c r="AJ92" s="1134">
        <f t="shared" si="226"/>
        <v>0</v>
      </c>
      <c r="AK92" s="1134">
        <f t="shared" si="226"/>
        <v>0</v>
      </c>
      <c r="AL92" s="1134">
        <f t="shared" si="226"/>
        <v>0</v>
      </c>
      <c r="AM92" s="1134">
        <f t="shared" si="226"/>
        <v>0</v>
      </c>
      <c r="AN92" s="1134">
        <v>0</v>
      </c>
      <c r="AO92" s="31">
        <f>SUM(H92:AN92)</f>
        <v>0</v>
      </c>
      <c r="AP92" s="32">
        <f>+AO92/SF</f>
        <v>0</v>
      </c>
      <c r="AR92" s="747" t="s">
        <v>284</v>
      </c>
      <c r="AS92" s="748">
        <f>AS90-AS91</f>
        <v>5.7739187031984329E-3</v>
      </c>
      <c r="AU92" s="81" t="s">
        <v>35</v>
      </c>
      <c r="AV92" s="80"/>
      <c r="AW92" s="80"/>
      <c r="AX92" s="80"/>
      <c r="AY92" s="80"/>
      <c r="AZ92" s="80"/>
      <c r="BA92" s="80"/>
      <c r="BB92" s="80"/>
      <c r="BC92" s="80"/>
      <c r="BD92" s="80"/>
      <c r="BE92" s="80"/>
      <c r="BF92" s="80"/>
      <c r="BG92" s="79"/>
    </row>
    <row r="93" spans="3:59" ht="15" thickBot="1" x14ac:dyDescent="0.4">
      <c r="E93" s="34" t="s">
        <v>10</v>
      </c>
      <c r="F93" s="1136"/>
      <c r="G93" s="1132"/>
      <c r="H93" s="1135">
        <v>0</v>
      </c>
      <c r="I93" s="1134">
        <v>0</v>
      </c>
      <c r="J93" s="1134">
        <v>0</v>
      </c>
      <c r="K93" s="1134">
        <v>0</v>
      </c>
      <c r="L93" s="1134">
        <v>0</v>
      </c>
      <c r="M93" s="1134">
        <v>0</v>
      </c>
      <c r="N93" s="1134">
        <v>0</v>
      </c>
      <c r="O93" s="1134">
        <v>0</v>
      </c>
      <c r="P93" s="1134">
        <v>0</v>
      </c>
      <c r="Q93" s="1134">
        <v>0</v>
      </c>
      <c r="R93" s="1134">
        <v>0</v>
      </c>
      <c r="S93" s="1134">
        <v>0</v>
      </c>
      <c r="T93" s="1134">
        <v>0</v>
      </c>
      <c r="U93" s="1134">
        <v>0</v>
      </c>
      <c r="V93" s="1134">
        <v>0</v>
      </c>
      <c r="W93" s="1134">
        <v>0</v>
      </c>
      <c r="X93" s="1134">
        <v>0</v>
      </c>
      <c r="Y93" s="1134">
        <v>0</v>
      </c>
      <c r="Z93" s="1134">
        <v>0</v>
      </c>
      <c r="AA93" s="1134">
        <v>0</v>
      </c>
      <c r="AB93" s="1134">
        <v>0</v>
      </c>
      <c r="AC93" s="1134">
        <v>0</v>
      </c>
      <c r="AD93" s="1134">
        <v>0</v>
      </c>
      <c r="AE93" s="1134">
        <v>0</v>
      </c>
      <c r="AF93" s="1134">
        <v>0</v>
      </c>
      <c r="AG93" s="1134">
        <v>0</v>
      </c>
      <c r="AH93" s="1134">
        <v>0</v>
      </c>
      <c r="AI93" s="1134">
        <v>0</v>
      </c>
      <c r="AJ93" s="1134">
        <v>0</v>
      </c>
      <c r="AK93" s="1134">
        <v>0</v>
      </c>
      <c r="AL93" s="1134">
        <v>0</v>
      </c>
      <c r="AM93" s="1134">
        <v>0</v>
      </c>
      <c r="AN93" s="1134">
        <f>-(AN91+AN92)</f>
        <v>0</v>
      </c>
      <c r="AO93" s="33">
        <f>SUM(H93:AN93)</f>
        <v>0</v>
      </c>
      <c r="AP93" s="32">
        <f>-+AO93/SF</f>
        <v>0</v>
      </c>
      <c r="AU93" s="78" t="s">
        <v>51</v>
      </c>
      <c r="AV93" s="77"/>
      <c r="AW93" s="77"/>
      <c r="AX93" s="77"/>
      <c r="AY93" s="77"/>
      <c r="AZ93" s="77"/>
      <c r="BA93" s="77"/>
      <c r="BB93" s="77"/>
      <c r="BC93" s="77"/>
      <c r="BD93" s="77"/>
      <c r="BE93" s="77"/>
      <c r="BF93" s="77"/>
      <c r="BG93" s="76"/>
    </row>
    <row r="94" spans="3:59" x14ac:dyDescent="0.35">
      <c r="E94" s="34" t="s">
        <v>295</v>
      </c>
      <c r="F94" s="1136"/>
      <c r="G94" s="1132"/>
      <c r="H94" s="579">
        <v>0</v>
      </c>
      <c r="I94" s="553">
        <v>0</v>
      </c>
      <c r="J94" s="553">
        <v>0</v>
      </c>
      <c r="K94" s="553">
        <v>0</v>
      </c>
      <c r="L94" s="553">
        <v>0</v>
      </c>
      <c r="M94" s="553">
        <v>0</v>
      </c>
      <c r="N94" s="553">
        <v>0</v>
      </c>
      <c r="O94" s="553">
        <v>0</v>
      </c>
      <c r="P94" s="553">
        <v>0</v>
      </c>
      <c r="Q94" s="553">
        <v>0</v>
      </c>
      <c r="R94" s="553">
        <v>0</v>
      </c>
      <c r="S94" s="553">
        <v>0</v>
      </c>
      <c r="T94" s="553">
        <v>0</v>
      </c>
      <c r="U94" s="553">
        <v>0</v>
      </c>
      <c r="V94" s="553">
        <v>0</v>
      </c>
      <c r="W94" s="553">
        <v>0</v>
      </c>
      <c r="X94" s="553">
        <v>0</v>
      </c>
      <c r="Y94" s="553">
        <v>0</v>
      </c>
      <c r="Z94" s="553">
        <f>Z73</f>
        <v>0</v>
      </c>
      <c r="AA94" s="553">
        <f t="shared" ref="AA94:AB94" si="227">AA73</f>
        <v>0</v>
      </c>
      <c r="AB94" s="553">
        <f t="shared" si="227"/>
        <v>0</v>
      </c>
      <c r="AC94" s="553">
        <v>0</v>
      </c>
      <c r="AD94" s="553">
        <v>0</v>
      </c>
      <c r="AE94" s="553">
        <v>0</v>
      </c>
      <c r="AF94" s="553">
        <v>0</v>
      </c>
      <c r="AG94" s="553">
        <v>0</v>
      </c>
      <c r="AH94" s="553">
        <v>0</v>
      </c>
      <c r="AI94" s="553">
        <v>0</v>
      </c>
      <c r="AJ94" s="553">
        <v>0</v>
      </c>
      <c r="AK94" s="553">
        <v>0</v>
      </c>
      <c r="AL94" s="553">
        <v>0</v>
      </c>
      <c r="AM94" s="553">
        <v>0</v>
      </c>
      <c r="AN94" s="553">
        <v>0</v>
      </c>
      <c r="AO94" s="33"/>
      <c r="AP94" s="32"/>
      <c r="AU94" s="75"/>
      <c r="AV94" s="74"/>
      <c r="AW94" s="74"/>
      <c r="AX94" s="74"/>
      <c r="AY94" s="74"/>
      <c r="AZ94" s="74"/>
      <c r="BA94" s="74"/>
      <c r="BB94" s="74"/>
      <c r="BC94" s="74"/>
      <c r="BD94" s="74"/>
      <c r="BE94" s="74"/>
      <c r="BF94" s="74"/>
      <c r="BG94" s="73"/>
    </row>
    <row r="95" spans="3:59" x14ac:dyDescent="0.35">
      <c r="E95" s="1112" t="s">
        <v>1</v>
      </c>
      <c r="F95" s="1119"/>
      <c r="G95" s="1132"/>
      <c r="H95" s="1135">
        <v>0</v>
      </c>
      <c r="I95" s="1134">
        <v>0</v>
      </c>
      <c r="J95" s="1134">
        <v>0</v>
      </c>
      <c r="K95" s="1134">
        <v>0</v>
      </c>
      <c r="L95" s="1134">
        <v>0</v>
      </c>
      <c r="M95" s="1134">
        <v>0</v>
      </c>
      <c r="N95" s="1134">
        <v>0</v>
      </c>
      <c r="O95" s="1134">
        <v>0</v>
      </c>
      <c r="P95" s="1134">
        <v>0</v>
      </c>
      <c r="Q95" s="1134">
        <v>0</v>
      </c>
      <c r="R95" s="1134">
        <v>0</v>
      </c>
      <c r="S95" s="1134">
        <v>0</v>
      </c>
      <c r="T95" s="1134">
        <v>0</v>
      </c>
      <c r="U95" s="1134">
        <v>0</v>
      </c>
      <c r="V95" s="1134">
        <v>0</v>
      </c>
      <c r="W95" s="1134">
        <v>0</v>
      </c>
      <c r="X95" s="1134">
        <v>0</v>
      </c>
      <c r="Y95" s="1134">
        <v>0</v>
      </c>
      <c r="Z95" s="1134">
        <v>0</v>
      </c>
      <c r="AA95" s="1134">
        <v>0</v>
      </c>
      <c r="AB95" s="1134">
        <v>0</v>
      </c>
      <c r="AC95" s="1134">
        <v>0</v>
      </c>
      <c r="AD95" s="1134">
        <v>0</v>
      </c>
      <c r="AE95" s="1134">
        <v>0</v>
      </c>
      <c r="AF95" s="1134">
        <v>0</v>
      </c>
      <c r="AG95" s="1134">
        <v>0</v>
      </c>
      <c r="AH95" s="1134">
        <v>0</v>
      </c>
      <c r="AI95" s="1134">
        <v>0</v>
      </c>
      <c r="AJ95" s="1134">
        <v>0</v>
      </c>
      <c r="AK95" s="1134">
        <v>0</v>
      </c>
      <c r="AL95" s="1134">
        <v>0</v>
      </c>
      <c r="AM95" s="1134">
        <v>0</v>
      </c>
      <c r="AN95" s="1134">
        <v>0</v>
      </c>
      <c r="AO95" s="31"/>
      <c r="AP95" s="30"/>
      <c r="AS95" s="10"/>
      <c r="AU95" s="332"/>
      <c r="AV95" s="1105">
        <f>AV78</f>
        <v>0</v>
      </c>
      <c r="AW95" s="1105">
        <f t="shared" ref="AW95:BG95" si="228">AW78</f>
        <v>1</v>
      </c>
      <c r="AX95" s="1105"/>
      <c r="AY95" s="1105">
        <f t="shared" si="228"/>
        <v>2</v>
      </c>
      <c r="AZ95" s="1105">
        <f t="shared" si="228"/>
        <v>3</v>
      </c>
      <c r="BA95" s="1105">
        <f t="shared" si="228"/>
        <v>4</v>
      </c>
      <c r="BB95" s="1105">
        <f t="shared" si="228"/>
        <v>5</v>
      </c>
      <c r="BC95" s="1105">
        <f t="shared" si="228"/>
        <v>6</v>
      </c>
      <c r="BD95" s="1105">
        <f t="shared" si="228"/>
        <v>7</v>
      </c>
      <c r="BE95" s="1105">
        <f t="shared" si="228"/>
        <v>8</v>
      </c>
      <c r="BF95" s="1105">
        <f t="shared" si="228"/>
        <v>9</v>
      </c>
      <c r="BG95" s="1106">
        <f t="shared" si="228"/>
        <v>10</v>
      </c>
    </row>
    <row r="96" spans="3:59" x14ac:dyDescent="0.35">
      <c r="E96" s="1112"/>
      <c r="F96" s="1119"/>
      <c r="G96" s="1132"/>
      <c r="H96" s="1138"/>
      <c r="I96" s="1139"/>
      <c r="J96" s="1139"/>
      <c r="K96" s="1139"/>
      <c r="L96" s="1139"/>
      <c r="M96" s="1139"/>
      <c r="N96" s="1139"/>
      <c r="O96" s="1139"/>
      <c r="P96" s="1139"/>
      <c r="Q96" s="1139"/>
      <c r="R96" s="1139"/>
      <c r="S96" s="1139"/>
      <c r="T96" s="1139"/>
      <c r="U96" s="1139"/>
      <c r="V96" s="1139"/>
      <c r="W96" s="1139"/>
      <c r="X96" s="1139"/>
      <c r="Y96" s="1139"/>
      <c r="Z96" s="1139"/>
      <c r="AA96" s="1139"/>
      <c r="AB96" s="1139"/>
      <c r="AC96" s="1139"/>
      <c r="AD96" s="1139"/>
      <c r="AE96" s="1139"/>
      <c r="AF96" s="1139"/>
      <c r="AG96" s="1139"/>
      <c r="AH96" s="1139"/>
      <c r="AI96" s="1139"/>
      <c r="AJ96" s="1139"/>
      <c r="AK96" s="1139"/>
      <c r="AL96" s="1139"/>
      <c r="AM96" s="1139"/>
      <c r="AN96" s="1139"/>
      <c r="AO96" s="28"/>
      <c r="AP96" s="30"/>
      <c r="AR96" s="230"/>
      <c r="AS96" s="10"/>
      <c r="AU96" s="1108" t="s">
        <v>31</v>
      </c>
      <c r="AV96" s="1109">
        <f>AV8</f>
        <v>46022</v>
      </c>
      <c r="AW96" s="1109">
        <f>EOMONTH(AV96,12)</f>
        <v>46387</v>
      </c>
      <c r="AX96" s="1109"/>
      <c r="AY96" s="1109">
        <f>EOMONTH(AW96,12)</f>
        <v>46752</v>
      </c>
      <c r="AZ96" s="1109">
        <f t="shared" ref="AZ96:BG96" si="229">EOMONTH(AY96,12)</f>
        <v>47118</v>
      </c>
      <c r="BA96" s="1109">
        <f t="shared" si="229"/>
        <v>47483</v>
      </c>
      <c r="BB96" s="1109">
        <f t="shared" si="229"/>
        <v>47848</v>
      </c>
      <c r="BC96" s="1109">
        <f t="shared" si="229"/>
        <v>48213</v>
      </c>
      <c r="BD96" s="1109">
        <f t="shared" si="229"/>
        <v>48579</v>
      </c>
      <c r="BE96" s="1109">
        <f t="shared" si="229"/>
        <v>48944</v>
      </c>
      <c r="BF96" s="1109">
        <f t="shared" si="229"/>
        <v>49309</v>
      </c>
      <c r="BG96" s="1110">
        <f t="shared" si="229"/>
        <v>49674</v>
      </c>
    </row>
    <row r="97" spans="5:59" x14ac:dyDescent="0.35">
      <c r="E97" s="1112" t="s">
        <v>9</v>
      </c>
      <c r="F97" s="1119"/>
      <c r="G97" s="1132"/>
      <c r="H97" s="1140"/>
      <c r="I97" s="1141">
        <f t="shared" ref="I97:AN97" si="230">I91/$C$13</f>
        <v>0</v>
      </c>
      <c r="J97" s="1141">
        <f t="shared" si="230"/>
        <v>0</v>
      </c>
      <c r="K97" s="1141">
        <f t="shared" si="230"/>
        <v>0</v>
      </c>
      <c r="L97" s="1141">
        <f t="shared" si="230"/>
        <v>0</v>
      </c>
      <c r="M97" s="1141">
        <f t="shared" si="230"/>
        <v>0</v>
      </c>
      <c r="N97" s="1141">
        <f t="shared" si="230"/>
        <v>0</v>
      </c>
      <c r="O97" s="1141">
        <f t="shared" si="230"/>
        <v>0</v>
      </c>
      <c r="P97" s="1141">
        <f t="shared" si="230"/>
        <v>0</v>
      </c>
      <c r="Q97" s="1141">
        <f t="shared" si="230"/>
        <v>0</v>
      </c>
      <c r="R97" s="1141">
        <f t="shared" si="230"/>
        <v>0</v>
      </c>
      <c r="S97" s="1141">
        <f t="shared" si="230"/>
        <v>0</v>
      </c>
      <c r="T97" s="1141">
        <f t="shared" si="230"/>
        <v>0</v>
      </c>
      <c r="U97" s="1141">
        <f t="shared" si="230"/>
        <v>0</v>
      </c>
      <c r="V97" s="1141">
        <f t="shared" si="230"/>
        <v>0</v>
      </c>
      <c r="W97" s="1141">
        <f t="shared" si="230"/>
        <v>0</v>
      </c>
      <c r="X97" s="1141">
        <f t="shared" si="230"/>
        <v>0</v>
      </c>
      <c r="Y97" s="1141">
        <f t="shared" si="230"/>
        <v>0</v>
      </c>
      <c r="Z97" s="1141">
        <f t="shared" si="230"/>
        <v>0</v>
      </c>
      <c r="AA97" s="1141">
        <f t="shared" si="230"/>
        <v>0</v>
      </c>
      <c r="AB97" s="1141">
        <f t="shared" si="230"/>
        <v>0</v>
      </c>
      <c r="AC97" s="1141">
        <f t="shared" si="230"/>
        <v>0</v>
      </c>
      <c r="AD97" s="1141">
        <f t="shared" si="230"/>
        <v>0</v>
      </c>
      <c r="AE97" s="1141">
        <f t="shared" si="230"/>
        <v>0</v>
      </c>
      <c r="AF97" s="1141">
        <f t="shared" si="230"/>
        <v>0</v>
      </c>
      <c r="AG97" s="1141">
        <f t="shared" si="230"/>
        <v>0</v>
      </c>
      <c r="AH97" s="1141">
        <f t="shared" si="230"/>
        <v>0</v>
      </c>
      <c r="AI97" s="1141">
        <f t="shared" si="230"/>
        <v>0</v>
      </c>
      <c r="AJ97" s="1141">
        <f t="shared" si="230"/>
        <v>0</v>
      </c>
      <c r="AK97" s="1141">
        <f t="shared" si="230"/>
        <v>0</v>
      </c>
      <c r="AL97" s="1141">
        <f t="shared" si="230"/>
        <v>0</v>
      </c>
      <c r="AM97" s="1141">
        <f t="shared" si="230"/>
        <v>0</v>
      </c>
      <c r="AN97" s="1141">
        <f t="shared" si="230"/>
        <v>0</v>
      </c>
      <c r="AO97" s="31"/>
      <c r="AP97" s="30"/>
      <c r="AS97" s="10"/>
      <c r="AU97" s="1112"/>
      <c r="AV97" s="1113"/>
      <c r="AW97" s="1113"/>
      <c r="AX97" s="1113"/>
      <c r="AY97" s="1113"/>
      <c r="AZ97" s="1113"/>
      <c r="BA97" s="1113"/>
      <c r="BB97" s="1113"/>
      <c r="BC97" s="1113"/>
      <c r="BD97" s="1113"/>
      <c r="BE97" s="1113"/>
      <c r="BF97" s="1113"/>
      <c r="BG97" s="1114"/>
    </row>
    <row r="98" spans="5:59" x14ac:dyDescent="0.35">
      <c r="E98" s="1112" t="s">
        <v>8</v>
      </c>
      <c r="F98" s="1119"/>
      <c r="G98" s="1132"/>
      <c r="H98" s="29">
        <f>AVERAGE(I97:AN97)</f>
        <v>0</v>
      </c>
      <c r="I98" s="1139"/>
      <c r="J98" s="1139"/>
      <c r="K98" s="1139"/>
      <c r="L98" s="1139"/>
      <c r="M98" s="1139"/>
      <c r="N98" s="1139"/>
      <c r="O98" s="1139"/>
      <c r="P98" s="1139"/>
      <c r="Q98" s="1139"/>
      <c r="R98" s="1139"/>
      <c r="S98" s="1139"/>
      <c r="T98" s="1139"/>
      <c r="U98" s="1139"/>
      <c r="V98" s="1139"/>
      <c r="W98" s="1139"/>
      <c r="X98" s="1139"/>
      <c r="Y98" s="1139"/>
      <c r="Z98" s="1139"/>
      <c r="AA98" s="1139"/>
      <c r="AB98" s="1139"/>
      <c r="AC98" s="1139"/>
      <c r="AD98" s="1139"/>
      <c r="AE98" s="1139"/>
      <c r="AF98" s="1139"/>
      <c r="AG98" s="1139"/>
      <c r="AH98" s="1139"/>
      <c r="AI98" s="1139"/>
      <c r="AJ98" s="1139"/>
      <c r="AK98" s="1139"/>
      <c r="AL98" s="1139"/>
      <c r="AM98" s="1139"/>
      <c r="AN98" s="1139"/>
      <c r="AO98" s="28"/>
      <c r="AP98" s="1144"/>
      <c r="AU98" s="1152" t="s">
        <v>28</v>
      </c>
      <c r="AV98" s="1153">
        <f ca="1">'JV Waterfall'!F40</f>
        <v>-415453.84556194453</v>
      </c>
      <c r="AW98" s="1153">
        <f ca="1">'JV Waterfall'!G36</f>
        <v>36928.969889161534</v>
      </c>
      <c r="AX98" s="1153"/>
      <c r="AY98" s="1153">
        <f ca="1">'JV Waterfall'!H36</f>
        <v>38314.140549759817</v>
      </c>
      <c r="AZ98" s="1153">
        <f ca="1">'JV Waterfall'!I36</f>
        <v>39727.014623570081</v>
      </c>
      <c r="BA98" s="1153">
        <f ca="1">'JV Waterfall'!J36</f>
        <v>41168.146178856528</v>
      </c>
      <c r="BB98" s="1153">
        <f ca="1">'JV Waterfall'!K36</f>
        <v>42638.10036524872</v>
      </c>
      <c r="BC98" s="1153">
        <f ca="1">'JV Waterfall'!L36</f>
        <v>44137.453635368758</v>
      </c>
      <c r="BD98" s="1153">
        <f ca="1">'JV Waterfall'!M36</f>
        <v>45666.793970891187</v>
      </c>
      <c r="BE98" s="1153">
        <f ca="1">'JV Waterfall'!N36</f>
        <v>47226.721113124069</v>
      </c>
      <c r="BF98" s="1153">
        <f ca="1">'JV Waterfall'!O36</f>
        <v>48817.846798201615</v>
      </c>
      <c r="BG98" s="1154">
        <f ca="1">'JV Waterfall'!P36</f>
        <v>566790.42586221907</v>
      </c>
    </row>
    <row r="99" spans="5:59" x14ac:dyDescent="0.35">
      <c r="E99" s="1112"/>
      <c r="F99" s="1119"/>
      <c r="G99" s="1132"/>
      <c r="H99" s="1138"/>
      <c r="I99" s="1139"/>
      <c r="J99" s="1139"/>
      <c r="K99" s="1139"/>
      <c r="L99" s="1139"/>
      <c r="M99" s="1139"/>
      <c r="N99" s="1139"/>
      <c r="O99" s="1139"/>
      <c r="P99" s="1139"/>
      <c r="Q99" s="1139"/>
      <c r="R99" s="1139"/>
      <c r="S99" s="1139"/>
      <c r="T99" s="1139"/>
      <c r="U99" s="1139"/>
      <c r="V99" s="1139"/>
      <c r="W99" s="1139"/>
      <c r="X99" s="1139"/>
      <c r="Y99" s="1139"/>
      <c r="Z99" s="1139"/>
      <c r="AA99" s="1139"/>
      <c r="AB99" s="1139"/>
      <c r="AC99" s="1139"/>
      <c r="AD99" s="1139"/>
      <c r="AE99" s="1139"/>
      <c r="AF99" s="1139"/>
      <c r="AG99" s="1139"/>
      <c r="AH99" s="1139"/>
      <c r="AI99" s="1139"/>
      <c r="AJ99" s="1139"/>
      <c r="AK99" s="1139"/>
      <c r="AL99" s="1139"/>
      <c r="AM99" s="1139"/>
      <c r="AN99" s="1139"/>
      <c r="AO99" s="28"/>
      <c r="AP99" s="1144"/>
      <c r="AS99" s="10"/>
      <c r="AU99" s="1152" t="s">
        <v>27</v>
      </c>
      <c r="AV99" s="1153"/>
      <c r="AW99" s="1153">
        <f ca="1">'JV Waterfall'!G37</f>
        <v>10386.346139048614</v>
      </c>
      <c r="AX99" s="1153"/>
      <c r="AY99" s="1153">
        <f ca="1">'JV Waterfall'!H37</f>
        <v>10386.346139048614</v>
      </c>
      <c r="AZ99" s="1153">
        <f ca="1">'JV Waterfall'!I37</f>
        <v>10386.346139048614</v>
      </c>
      <c r="BA99" s="1153">
        <f ca="1">'JV Waterfall'!J37</f>
        <v>10386.346139048614</v>
      </c>
      <c r="BB99" s="1153">
        <f ca="1">'JV Waterfall'!K37</f>
        <v>10386.346139048614</v>
      </c>
      <c r="BC99" s="1153">
        <f ca="1">'JV Waterfall'!L37</f>
        <v>10386.346139048614</v>
      </c>
      <c r="BD99" s="1153">
        <f ca="1">'JV Waterfall'!M37</f>
        <v>10386.346139048614</v>
      </c>
      <c r="BE99" s="1153">
        <f ca="1">'JV Waterfall'!N37</f>
        <v>10386.346139048614</v>
      </c>
      <c r="BF99" s="1153">
        <f ca="1">'JV Waterfall'!O37</f>
        <v>10386.346139048614</v>
      </c>
      <c r="BG99" s="1154">
        <f ca="1">'JV Waterfall'!P37</f>
        <v>10386.346139048614</v>
      </c>
    </row>
    <row r="100" spans="5:59" x14ac:dyDescent="0.35">
      <c r="E100" s="1112" t="s">
        <v>559</v>
      </c>
      <c r="F100" s="1119"/>
      <c r="G100" s="1132"/>
      <c r="H100" s="578" t="e">
        <f>SUMPRODUCT(I102:AN102,I104:AN104)/SUM(I104:AN104)</f>
        <v>#DIV/0!</v>
      </c>
      <c r="I100" s="559">
        <f>I79</f>
        <v>5.3600000000000002E-2</v>
      </c>
      <c r="J100" s="559">
        <f>J79</f>
        <v>5.4300000000000001E-2</v>
      </c>
      <c r="K100" s="559">
        <f t="shared" ref="K100:AN100" si="231">K79</f>
        <v>5.4399999999999997E-2</v>
      </c>
      <c r="L100" s="559">
        <f t="shared" si="231"/>
        <v>5.45E-2</v>
      </c>
      <c r="M100" s="559">
        <f t="shared" si="231"/>
        <v>4.1100000000000012E-2</v>
      </c>
      <c r="N100" s="559">
        <f t="shared" si="231"/>
        <v>4.1100000000000012E-2</v>
      </c>
      <c r="O100" s="559">
        <f t="shared" si="231"/>
        <v>4.1100000000000012E-2</v>
      </c>
      <c r="P100" s="559">
        <f t="shared" si="231"/>
        <v>4.1100000000000012E-2</v>
      </c>
      <c r="Q100" s="559">
        <f t="shared" si="231"/>
        <v>4.1100000000000012E-2</v>
      </c>
      <c r="R100" s="559">
        <f t="shared" si="231"/>
        <v>4.1100000000000012E-2</v>
      </c>
      <c r="S100" s="559">
        <f t="shared" si="231"/>
        <v>4.1100000000000012E-2</v>
      </c>
      <c r="T100" s="559">
        <f t="shared" si="231"/>
        <v>4.1100000000000012E-2</v>
      </c>
      <c r="U100" s="559">
        <f t="shared" si="231"/>
        <v>4.1100000000000012E-2</v>
      </c>
      <c r="V100" s="559">
        <f t="shared" si="231"/>
        <v>4.1100000000000012E-2</v>
      </c>
      <c r="W100" s="559">
        <f t="shared" si="231"/>
        <v>4.1100000000000012E-2</v>
      </c>
      <c r="X100" s="559">
        <f t="shared" si="231"/>
        <v>4.1100000000000012E-2</v>
      </c>
      <c r="Y100" s="559">
        <f t="shared" si="231"/>
        <v>4.1100000000000012E-2</v>
      </c>
      <c r="Z100" s="559">
        <f t="shared" si="231"/>
        <v>4.1100000000000012E-2</v>
      </c>
      <c r="AA100" s="559">
        <f t="shared" si="231"/>
        <v>4.1100000000000012E-2</v>
      </c>
      <c r="AB100" s="559">
        <f t="shared" si="231"/>
        <v>4.1100000000000012E-2</v>
      </c>
      <c r="AC100" s="559">
        <f t="shared" si="231"/>
        <v>4.1100000000000012E-2</v>
      </c>
      <c r="AD100" s="559">
        <f t="shared" si="231"/>
        <v>4.1100000000000012E-2</v>
      </c>
      <c r="AE100" s="559">
        <f t="shared" si="231"/>
        <v>4.1100000000000012E-2</v>
      </c>
      <c r="AF100" s="559">
        <f t="shared" si="231"/>
        <v>4.1100000000000012E-2</v>
      </c>
      <c r="AG100" s="559">
        <f t="shared" si="231"/>
        <v>4.1100000000000012E-2</v>
      </c>
      <c r="AH100" s="559">
        <f t="shared" si="231"/>
        <v>4.1100000000000012E-2</v>
      </c>
      <c r="AI100" s="559">
        <f t="shared" si="231"/>
        <v>4.1100000000000012E-2</v>
      </c>
      <c r="AJ100" s="559">
        <f t="shared" si="231"/>
        <v>4.1100000000000012E-2</v>
      </c>
      <c r="AK100" s="559">
        <f t="shared" si="231"/>
        <v>4.1100000000000012E-2</v>
      </c>
      <c r="AL100" s="559">
        <f t="shared" si="231"/>
        <v>4.1100000000000012E-2</v>
      </c>
      <c r="AM100" s="559">
        <f t="shared" si="231"/>
        <v>4.1100000000000012E-2</v>
      </c>
      <c r="AN100" s="559">
        <f t="shared" si="231"/>
        <v>4.1100000000000012E-2</v>
      </c>
      <c r="AO100" s="559"/>
      <c r="AP100" s="1144"/>
      <c r="AS100" s="12"/>
      <c r="AU100" s="1152" t="s">
        <v>26</v>
      </c>
      <c r="AV100" s="1153">
        <f t="shared" ref="AV100:BG100" ca="1" si="232">AV98+AV99</f>
        <v>-415453.84556194453</v>
      </c>
      <c r="AW100" s="1153">
        <f t="shared" ca="1" si="232"/>
        <v>47315.316028210145</v>
      </c>
      <c r="AX100" s="1153"/>
      <c r="AY100" s="1153">
        <f t="shared" ca="1" si="232"/>
        <v>48700.486688808429</v>
      </c>
      <c r="AZ100" s="1153">
        <f t="shared" ca="1" si="232"/>
        <v>50113.360762618693</v>
      </c>
      <c r="BA100" s="1153">
        <f t="shared" ca="1" si="232"/>
        <v>51554.49231790514</v>
      </c>
      <c r="BB100" s="1153">
        <f t="shared" ca="1" si="232"/>
        <v>53024.446504297332</v>
      </c>
      <c r="BC100" s="1153">
        <f t="shared" ca="1" si="232"/>
        <v>54523.79977441737</v>
      </c>
      <c r="BD100" s="1153">
        <f t="shared" ca="1" si="232"/>
        <v>56053.140109939799</v>
      </c>
      <c r="BE100" s="1153">
        <f t="shared" ca="1" si="232"/>
        <v>57613.067252172681</v>
      </c>
      <c r="BF100" s="1153">
        <f t="shared" ca="1" si="232"/>
        <v>59204.192937250227</v>
      </c>
      <c r="BG100" s="1154">
        <f t="shared" ca="1" si="232"/>
        <v>577176.77200126764</v>
      </c>
    </row>
    <row r="101" spans="5:59" x14ac:dyDescent="0.35">
      <c r="E101" s="1112" t="s">
        <v>306</v>
      </c>
      <c r="F101" s="1146"/>
      <c r="G101" s="1132"/>
      <c r="H101" s="1138"/>
      <c r="I101" s="361">
        <f>I80</f>
        <v>1.9E-2</v>
      </c>
      <c r="J101" s="599">
        <f>I101</f>
        <v>1.9E-2</v>
      </c>
      <c r="K101" s="599">
        <f t="shared" ref="K101" si="233">J101</f>
        <v>1.9E-2</v>
      </c>
      <c r="L101" s="599">
        <f t="shared" ref="L101" si="234">K101</f>
        <v>1.9E-2</v>
      </c>
      <c r="M101" s="599">
        <f t="shared" ref="M101" si="235">L101</f>
        <v>1.9E-2</v>
      </c>
      <c r="N101" s="599">
        <f t="shared" ref="N101" si="236">M101</f>
        <v>1.9E-2</v>
      </c>
      <c r="O101" s="599">
        <f t="shared" ref="O101" si="237">N101</f>
        <v>1.9E-2</v>
      </c>
      <c r="P101" s="599">
        <f t="shared" ref="P101" si="238">O101</f>
        <v>1.9E-2</v>
      </c>
      <c r="Q101" s="599">
        <f t="shared" ref="Q101" si="239">P101</f>
        <v>1.9E-2</v>
      </c>
      <c r="R101" s="599">
        <f t="shared" ref="R101" si="240">Q101</f>
        <v>1.9E-2</v>
      </c>
      <c r="S101" s="599">
        <f t="shared" ref="S101" si="241">R101</f>
        <v>1.9E-2</v>
      </c>
      <c r="T101" s="599">
        <f t="shared" ref="T101" si="242">S101</f>
        <v>1.9E-2</v>
      </c>
      <c r="U101" s="599">
        <f t="shared" ref="U101" si="243">T101</f>
        <v>1.9E-2</v>
      </c>
      <c r="V101" s="599">
        <f t="shared" ref="V101" si="244">U101</f>
        <v>1.9E-2</v>
      </c>
      <c r="W101" s="599">
        <f t="shared" ref="W101" si="245">V101</f>
        <v>1.9E-2</v>
      </c>
      <c r="X101" s="599">
        <f t="shared" ref="X101" si="246">W101</f>
        <v>1.9E-2</v>
      </c>
      <c r="Y101" s="599">
        <f t="shared" ref="Y101" si="247">X101</f>
        <v>1.9E-2</v>
      </c>
      <c r="Z101" s="599">
        <f t="shared" ref="Z101" si="248">Y101</f>
        <v>1.9E-2</v>
      </c>
      <c r="AA101" s="599">
        <f t="shared" ref="AA101" si="249">Z101</f>
        <v>1.9E-2</v>
      </c>
      <c r="AB101" s="599">
        <f t="shared" ref="AB101" si="250">AA101</f>
        <v>1.9E-2</v>
      </c>
      <c r="AC101" s="599">
        <f t="shared" ref="AC101" si="251">AB101</f>
        <v>1.9E-2</v>
      </c>
      <c r="AD101" s="599">
        <f t="shared" ref="AD101" si="252">AC101</f>
        <v>1.9E-2</v>
      </c>
      <c r="AE101" s="599">
        <f t="shared" ref="AE101" si="253">AD101</f>
        <v>1.9E-2</v>
      </c>
      <c r="AF101" s="599">
        <f t="shared" ref="AF101" si="254">AE101</f>
        <v>1.9E-2</v>
      </c>
      <c r="AG101" s="599">
        <f t="shared" ref="AG101" si="255">AF101</f>
        <v>1.9E-2</v>
      </c>
      <c r="AH101" s="599">
        <f t="shared" ref="AH101" si="256">AG101</f>
        <v>1.9E-2</v>
      </c>
      <c r="AI101" s="599">
        <f t="shared" ref="AI101" si="257">AH101</f>
        <v>1.9E-2</v>
      </c>
      <c r="AJ101" s="599">
        <f t="shared" ref="AJ101" si="258">AI101</f>
        <v>1.9E-2</v>
      </c>
      <c r="AK101" s="599">
        <f t="shared" ref="AK101" si="259">AJ101</f>
        <v>1.9E-2</v>
      </c>
      <c r="AL101" s="599">
        <f t="shared" ref="AL101" si="260">AK101</f>
        <v>1.9E-2</v>
      </c>
      <c r="AM101" s="599">
        <f t="shared" ref="AM101" si="261">AL101</f>
        <v>1.9E-2</v>
      </c>
      <c r="AN101" s="599">
        <f t="shared" ref="AN101" si="262">AM101</f>
        <v>1.9E-2</v>
      </c>
      <c r="AO101" s="28"/>
      <c r="AP101" s="1144"/>
      <c r="AU101" s="9"/>
      <c r="AV101" s="2"/>
      <c r="AW101" s="2"/>
      <c r="AX101" s="2"/>
      <c r="AY101" s="2"/>
      <c r="AZ101" s="2"/>
      <c r="BA101" s="2"/>
      <c r="BB101" s="2"/>
      <c r="BC101" s="2"/>
      <c r="BD101" s="2"/>
      <c r="BE101" s="2"/>
      <c r="BF101" s="2"/>
      <c r="BG101" s="30"/>
    </row>
    <row r="102" spans="5:59" x14ac:dyDescent="0.35">
      <c r="E102" s="1112" t="s">
        <v>283</v>
      </c>
      <c r="F102" s="1119"/>
      <c r="G102" s="1132"/>
      <c r="H102" s="1138"/>
      <c r="I102" s="361">
        <f t="shared" ref="I102:AN102" si="263">I100+I101</f>
        <v>7.2599999999999998E-2</v>
      </c>
      <c r="J102" s="361">
        <f t="shared" si="263"/>
        <v>7.3300000000000004E-2</v>
      </c>
      <c r="K102" s="361">
        <f t="shared" si="263"/>
        <v>7.3399999999999993E-2</v>
      </c>
      <c r="L102" s="361">
        <f t="shared" si="263"/>
        <v>7.3499999999999996E-2</v>
      </c>
      <c r="M102" s="361">
        <f t="shared" si="263"/>
        <v>6.0100000000000015E-2</v>
      </c>
      <c r="N102" s="361">
        <f t="shared" si="263"/>
        <v>6.0100000000000015E-2</v>
      </c>
      <c r="O102" s="361">
        <f t="shared" si="263"/>
        <v>6.0100000000000015E-2</v>
      </c>
      <c r="P102" s="361">
        <f t="shared" si="263"/>
        <v>6.0100000000000015E-2</v>
      </c>
      <c r="Q102" s="361">
        <f t="shared" si="263"/>
        <v>6.0100000000000015E-2</v>
      </c>
      <c r="R102" s="361">
        <f t="shared" si="263"/>
        <v>6.0100000000000015E-2</v>
      </c>
      <c r="S102" s="361">
        <f t="shared" si="263"/>
        <v>6.0100000000000015E-2</v>
      </c>
      <c r="T102" s="361">
        <f t="shared" si="263"/>
        <v>6.0100000000000015E-2</v>
      </c>
      <c r="U102" s="361">
        <f t="shared" si="263"/>
        <v>6.0100000000000015E-2</v>
      </c>
      <c r="V102" s="361">
        <f t="shared" si="263"/>
        <v>6.0100000000000015E-2</v>
      </c>
      <c r="W102" s="361">
        <f t="shared" si="263"/>
        <v>6.0100000000000015E-2</v>
      </c>
      <c r="X102" s="361">
        <f t="shared" si="263"/>
        <v>6.0100000000000015E-2</v>
      </c>
      <c r="Y102" s="361">
        <f t="shared" si="263"/>
        <v>6.0100000000000015E-2</v>
      </c>
      <c r="Z102" s="361">
        <f t="shared" si="263"/>
        <v>6.0100000000000015E-2</v>
      </c>
      <c r="AA102" s="361">
        <f t="shared" si="263"/>
        <v>6.0100000000000015E-2</v>
      </c>
      <c r="AB102" s="361">
        <f t="shared" si="263"/>
        <v>6.0100000000000015E-2</v>
      </c>
      <c r="AC102" s="361">
        <f t="shared" si="263"/>
        <v>6.0100000000000015E-2</v>
      </c>
      <c r="AD102" s="361">
        <f t="shared" si="263"/>
        <v>6.0100000000000015E-2</v>
      </c>
      <c r="AE102" s="361">
        <f t="shared" si="263"/>
        <v>6.0100000000000015E-2</v>
      </c>
      <c r="AF102" s="361">
        <f t="shared" si="263"/>
        <v>6.0100000000000015E-2</v>
      </c>
      <c r="AG102" s="361">
        <f t="shared" si="263"/>
        <v>6.0100000000000015E-2</v>
      </c>
      <c r="AH102" s="361">
        <f t="shared" si="263"/>
        <v>6.0100000000000015E-2</v>
      </c>
      <c r="AI102" s="361">
        <f t="shared" si="263"/>
        <v>6.0100000000000015E-2</v>
      </c>
      <c r="AJ102" s="361">
        <f t="shared" si="263"/>
        <v>6.0100000000000015E-2</v>
      </c>
      <c r="AK102" s="361">
        <f t="shared" si="263"/>
        <v>6.0100000000000015E-2</v>
      </c>
      <c r="AL102" s="361">
        <f t="shared" si="263"/>
        <v>6.0100000000000015E-2</v>
      </c>
      <c r="AM102" s="361">
        <f t="shared" si="263"/>
        <v>6.0100000000000015E-2</v>
      </c>
      <c r="AN102" s="361">
        <f t="shared" si="263"/>
        <v>6.0100000000000015E-2</v>
      </c>
      <c r="AO102" s="28"/>
      <c r="AP102" s="1144"/>
      <c r="AR102" s="230"/>
      <c r="AS102" s="10"/>
      <c r="AU102" s="68" t="s">
        <v>25</v>
      </c>
      <c r="AV102" s="2"/>
      <c r="AW102" s="2"/>
      <c r="AX102" s="2"/>
      <c r="AY102" s="2"/>
      <c r="AZ102" s="2"/>
      <c r="BA102" s="2"/>
      <c r="BB102" s="2"/>
      <c r="BC102" s="2"/>
      <c r="BD102" s="2"/>
      <c r="BE102" s="2"/>
      <c r="BF102" s="2"/>
      <c r="BG102" s="67">
        <f ca="1">IRR(AV100:BG100)</f>
        <v>0.13861658054268999</v>
      </c>
    </row>
    <row r="103" spans="5:59" ht="15" thickBot="1" x14ac:dyDescent="0.4">
      <c r="E103" s="1112"/>
      <c r="F103" s="1119"/>
      <c r="G103" s="1132"/>
      <c r="H103" s="1138"/>
      <c r="I103" s="359"/>
      <c r="J103" s="359"/>
      <c r="K103" s="359"/>
      <c r="L103" s="359"/>
      <c r="M103" s="359"/>
      <c r="N103" s="512"/>
      <c r="O103" s="512"/>
      <c r="P103" s="601"/>
      <c r="Q103" s="512"/>
      <c r="R103" s="512"/>
      <c r="S103" s="512"/>
      <c r="T103" s="512"/>
      <c r="U103" s="512"/>
      <c r="V103" s="512"/>
      <c r="W103" s="512"/>
      <c r="X103" s="512"/>
      <c r="Y103" s="512"/>
      <c r="Z103" s="512"/>
      <c r="AA103" s="512"/>
      <c r="AB103" s="512"/>
      <c r="AC103" s="512"/>
      <c r="AD103" s="512"/>
      <c r="AE103" s="512"/>
      <c r="AF103" s="512"/>
      <c r="AG103" s="512"/>
      <c r="AH103" s="512"/>
      <c r="AI103" s="512"/>
      <c r="AJ103" s="512"/>
      <c r="AK103" s="512"/>
      <c r="AL103" s="512"/>
      <c r="AM103" s="512"/>
      <c r="AN103" s="512"/>
      <c r="AO103" s="28"/>
      <c r="AP103" s="1144"/>
      <c r="AS103" s="10"/>
      <c r="AU103" s="66" t="s">
        <v>24</v>
      </c>
      <c r="AV103" s="65"/>
      <c r="AW103" s="65"/>
      <c r="AX103" s="65"/>
      <c r="AY103" s="65"/>
      <c r="AZ103" s="65"/>
      <c r="BA103" s="65"/>
      <c r="BB103" s="65"/>
      <c r="BC103" s="65"/>
      <c r="BD103" s="65"/>
      <c r="BE103" s="65"/>
      <c r="BF103" s="65"/>
      <c r="BG103" s="1155">
        <f ca="1">SUM(AW98:BG98)/-AV98</f>
        <v>2.2900633202696992</v>
      </c>
    </row>
    <row r="104" spans="5:59" ht="15" thickBot="1" x14ac:dyDescent="0.4">
      <c r="E104" s="1127" t="s">
        <v>7</v>
      </c>
      <c r="F104" s="1128"/>
      <c r="G104" s="1147"/>
      <c r="H104" s="1148"/>
      <c r="I104" s="1149">
        <f t="shared" ref="I104" si="264">-(I91*(((1+I102)^(_xlfn.DAYS(H88,I88)/365)))-I91)</f>
        <v>0</v>
      </c>
      <c r="J104" s="1149">
        <f t="shared" ref="J104" si="265">-(J91*(((1+J102)^(_xlfn.DAYS(I88,J88)/365)))-J91)</f>
        <v>0</v>
      </c>
      <c r="K104" s="1149">
        <f t="shared" ref="K104" si="266">-(K91*(((1+K102)^(_xlfn.DAYS(J88,K88)/365)))-K91)</f>
        <v>0</v>
      </c>
      <c r="L104" s="1149">
        <f t="shared" ref="L104" si="267">-(L91*(((1+L102)^(_xlfn.DAYS(K88,L88)/365)))-L91)</f>
        <v>0</v>
      </c>
      <c r="M104" s="1149">
        <f t="shared" ref="M104" si="268">-(M91*(((1+M102)^(_xlfn.DAYS(L88,M88)/365)))-M91)</f>
        <v>0</v>
      </c>
      <c r="N104" s="1149">
        <f t="shared" ref="N104" si="269">-(N91*(((1+N102)^(_xlfn.DAYS(M88,N88)/365)))-N91)</f>
        <v>0</v>
      </c>
      <c r="O104" s="1149">
        <f t="shared" ref="O104:P104" si="270">-(O91*(((1+O102)^(_xlfn.DAYS(N88,O88)/365)))-O91)</f>
        <v>0</v>
      </c>
      <c r="P104" s="1149">
        <f t="shared" si="270"/>
        <v>0</v>
      </c>
      <c r="Q104" s="1149">
        <f t="shared" ref="Q104" si="271">-(Q91*(((1+Q102)^(_xlfn.DAYS(P88,Q88)/365)))-Q91)</f>
        <v>0</v>
      </c>
      <c r="R104" s="1149">
        <f t="shared" ref="R104" si="272">-(R91*(((1+R102)^(_xlfn.DAYS(Q88,R88)/365)))-R91)</f>
        <v>0</v>
      </c>
      <c r="S104" s="1149">
        <f t="shared" ref="S104" si="273">-(S91*(((1+S102)^(_xlfn.DAYS(R88,S88)/365)))-S91)</f>
        <v>0</v>
      </c>
      <c r="T104" s="1149">
        <f t="shared" ref="T104" si="274">-(T91*(((1+T102)^(_xlfn.DAYS(S88,T88)/365)))-T91)</f>
        <v>0</v>
      </c>
      <c r="U104" s="1149">
        <f t="shared" ref="U104" si="275">-(U91*(((1+U102)^(_xlfn.DAYS(T88,U88)/365)))-U91)</f>
        <v>0</v>
      </c>
      <c r="V104" s="1149">
        <f t="shared" ref="V104" si="276">-(V91*(((1+V102)^(_xlfn.DAYS(U88,V88)/365)))-V91)</f>
        <v>0</v>
      </c>
      <c r="W104" s="1149">
        <f t="shared" ref="W104" si="277">-(W91*(((1+W102)^(_xlfn.DAYS(V88,W88)/365)))-W91)</f>
        <v>0</v>
      </c>
      <c r="X104" s="1149">
        <f t="shared" ref="X104" si="278">-(X91*(((1+X102)^(_xlfn.DAYS(W88,X88)/365)))-X91)</f>
        <v>0</v>
      </c>
      <c r="Y104" s="1149">
        <f t="shared" ref="Y104" si="279">-(Y91*(((1+Y102)^(_xlfn.DAYS(X88,Y88)/365)))-Y91)</f>
        <v>0</v>
      </c>
      <c r="Z104" s="1149">
        <f t="shared" ref="Z104" si="280">-(Z91*(((1+Z102)^(_xlfn.DAYS(Y88,Z88)/365)))-Z91)</f>
        <v>0</v>
      </c>
      <c r="AA104" s="1149">
        <f t="shared" ref="AA104" si="281">-(AA91*(((1+AA102)^(_xlfn.DAYS(Z88,AA88)/365)))-AA91)</f>
        <v>0</v>
      </c>
      <c r="AB104" s="1149">
        <f t="shared" ref="AB104" si="282">-(AB91*(((1+AB102)^(_xlfn.DAYS(AA88,AB88)/365)))-AB91)</f>
        <v>0</v>
      </c>
      <c r="AC104" s="1149">
        <f t="shared" ref="AC104" si="283">-(AC91*(((1+AC102)^(_xlfn.DAYS(AB88,AC88)/365)))-AC91)</f>
        <v>0</v>
      </c>
      <c r="AD104" s="1149">
        <f t="shared" ref="AD104" si="284">-(AD91*(((1+AD102)^(_xlfn.DAYS(AC88,AD88)/365)))-AD91)</f>
        <v>0</v>
      </c>
      <c r="AE104" s="1149">
        <f t="shared" ref="AE104" si="285">-(AE91*(((1+AE102)^(_xlfn.DAYS(AD88,AE88)/365)))-AE91)</f>
        <v>0</v>
      </c>
      <c r="AF104" s="1149">
        <f t="shared" ref="AF104" si="286">-(AF91*(((1+AF102)^(_xlfn.DAYS(AE88,AF88)/365)))-AF91)</f>
        <v>0</v>
      </c>
      <c r="AG104" s="1149">
        <f t="shared" ref="AG104" si="287">-(AG91*(((1+AG102)^(_xlfn.DAYS(AF88,AG88)/365)))-AG91)</f>
        <v>0</v>
      </c>
      <c r="AH104" s="1149">
        <f t="shared" ref="AH104" si="288">-(AH91*(((1+AH102)^(_xlfn.DAYS(AG88,AH88)/365)))-AH91)</f>
        <v>0</v>
      </c>
      <c r="AI104" s="1149">
        <f t="shared" ref="AI104" si="289">-(AI91*(((1+AI102)^(_xlfn.DAYS(AH88,AI88)/365)))-AI91)</f>
        <v>0</v>
      </c>
      <c r="AJ104" s="1149">
        <f t="shared" ref="AJ104" si="290">-(AJ91*(((1+AJ102)^(_xlfn.DAYS(AI88,AJ88)/365)))-AJ91)</f>
        <v>0</v>
      </c>
      <c r="AK104" s="1149">
        <f t="shared" ref="AK104" si="291">-(AK91*(((1+AK102)^(_xlfn.DAYS(AJ88,AK88)/365)))-AK91)</f>
        <v>0</v>
      </c>
      <c r="AL104" s="1149">
        <f t="shared" ref="AL104" si="292">-(AL91*(((1+AL102)^(_xlfn.DAYS(AK88,AL88)/365)))-AL91)</f>
        <v>0</v>
      </c>
      <c r="AM104" s="1149">
        <f t="shared" ref="AM104" si="293">-(AM91*(((1+AM102)^(_xlfn.DAYS(AL88,AM88)/365)))-AM91)</f>
        <v>0</v>
      </c>
      <c r="AN104" s="1149">
        <f t="shared" ref="AN104" si="294">-(AN91*(((1+AN102)^(_xlfn.DAYS(AM88,AN88)/365)))-AN91)</f>
        <v>0</v>
      </c>
      <c r="AO104" s="27">
        <f>SUM(H104:AN104)</f>
        <v>0</v>
      </c>
      <c r="AP104" s="26">
        <f>+AO104/SF</f>
        <v>0</v>
      </c>
    </row>
    <row r="105" spans="5:59" ht="15" thickBot="1" x14ac:dyDescent="0.4">
      <c r="F105" s="5"/>
      <c r="H105" s="1150"/>
      <c r="I105" s="1150"/>
      <c r="J105" s="1150"/>
      <c r="K105" s="1150"/>
      <c r="L105" s="1150"/>
      <c r="M105" s="1150"/>
      <c r="N105" s="1150"/>
      <c r="O105" s="1150"/>
      <c r="P105" s="1150"/>
      <c r="Q105" s="1150"/>
      <c r="R105" s="1150"/>
      <c r="S105" s="1150"/>
      <c r="T105" s="1150"/>
      <c r="U105" s="1150"/>
      <c r="V105" s="1150"/>
      <c r="W105" s="1150"/>
      <c r="X105" s="1150"/>
      <c r="Y105" s="1150"/>
      <c r="Z105" s="1150"/>
      <c r="AA105" s="1150"/>
      <c r="AB105" s="1150"/>
      <c r="AC105" s="1150"/>
      <c r="AD105" s="1150"/>
      <c r="AE105" s="1150"/>
      <c r="AF105" s="1150"/>
      <c r="AG105" s="1150"/>
      <c r="AH105" s="1150"/>
      <c r="AI105" s="1150"/>
      <c r="AJ105" s="1150"/>
      <c r="AK105" s="1150"/>
      <c r="AL105" s="1150"/>
      <c r="AM105" s="1150"/>
      <c r="AN105" s="1150"/>
      <c r="AO105" s="25"/>
      <c r="AP105" s="24"/>
      <c r="AS105" s="10"/>
      <c r="AU105" s="81" t="s">
        <v>35</v>
      </c>
      <c r="AV105" s="80"/>
      <c r="AW105" s="80"/>
      <c r="AX105" s="80"/>
      <c r="AY105" s="80"/>
      <c r="AZ105" s="80"/>
      <c r="BA105" s="80"/>
      <c r="BB105" s="79"/>
    </row>
    <row r="106" spans="5:59" ht="15" thickBot="1" x14ac:dyDescent="0.4">
      <c r="E106" s="1287" t="s">
        <v>6</v>
      </c>
      <c r="F106" s="1288"/>
      <c r="G106" s="1288"/>
      <c r="H106" s="1288"/>
      <c r="I106" s="1288"/>
      <c r="J106" s="1288"/>
      <c r="K106" s="1288"/>
      <c r="L106" s="1288"/>
      <c r="M106" s="1288"/>
      <c r="N106" s="1288"/>
      <c r="O106" s="1288"/>
      <c r="P106" s="1288"/>
      <c r="Q106" s="1288"/>
      <c r="R106" s="1288"/>
      <c r="S106" s="1288"/>
      <c r="T106" s="1288"/>
      <c r="U106" s="1288"/>
      <c r="V106" s="1288"/>
      <c r="W106" s="1288"/>
      <c r="X106" s="1288"/>
      <c r="Y106" s="1288"/>
      <c r="Z106" s="1288"/>
      <c r="AA106" s="1288"/>
      <c r="AB106" s="1288"/>
      <c r="AC106" s="1288"/>
      <c r="AD106" s="1288"/>
      <c r="AE106" s="1288"/>
      <c r="AF106" s="1288"/>
      <c r="AG106" s="1288"/>
      <c r="AH106" s="1288"/>
      <c r="AI106" s="1288"/>
      <c r="AJ106" s="1288"/>
      <c r="AK106" s="1288"/>
      <c r="AL106" s="1288"/>
      <c r="AM106" s="1288"/>
      <c r="AN106" s="1288"/>
      <c r="AO106" s="1288"/>
      <c r="AP106" s="1289"/>
      <c r="AS106" s="12"/>
      <c r="AU106" s="78" t="s">
        <v>33</v>
      </c>
      <c r="AV106" s="77"/>
      <c r="AW106" s="77"/>
      <c r="AX106" s="77"/>
      <c r="AY106" s="77"/>
      <c r="AZ106" s="77"/>
      <c r="BA106" s="77"/>
      <c r="BB106" s="76"/>
    </row>
    <row r="107" spans="5:59" ht="15" thickBot="1" x14ac:dyDescent="0.4">
      <c r="E107" s="23"/>
      <c r="F107" s="22"/>
      <c r="G107" s="22"/>
      <c r="H107" s="21">
        <f>0</f>
        <v>0</v>
      </c>
      <c r="I107" s="21">
        <f t="shared" ref="I107:Z107" si="295">H107+1</f>
        <v>1</v>
      </c>
      <c r="J107" s="21">
        <f t="shared" si="295"/>
        <v>2</v>
      </c>
      <c r="K107" s="21">
        <f t="shared" si="295"/>
        <v>3</v>
      </c>
      <c r="L107" s="21">
        <f t="shared" si="295"/>
        <v>4</v>
      </c>
      <c r="M107" s="21">
        <f t="shared" si="295"/>
        <v>5</v>
      </c>
      <c r="N107" s="21">
        <f t="shared" si="295"/>
        <v>6</v>
      </c>
      <c r="O107" s="21">
        <f t="shared" si="295"/>
        <v>7</v>
      </c>
      <c r="P107" s="21">
        <f t="shared" si="295"/>
        <v>8</v>
      </c>
      <c r="Q107" s="21">
        <f t="shared" si="295"/>
        <v>9</v>
      </c>
      <c r="R107" s="21">
        <f t="shared" si="295"/>
        <v>10</v>
      </c>
      <c r="S107" s="21">
        <f t="shared" si="295"/>
        <v>11</v>
      </c>
      <c r="T107" s="21">
        <f t="shared" si="295"/>
        <v>12</v>
      </c>
      <c r="U107" s="21">
        <f t="shared" si="295"/>
        <v>13</v>
      </c>
      <c r="V107" s="21">
        <f t="shared" si="295"/>
        <v>14</v>
      </c>
      <c r="W107" s="21">
        <f t="shared" si="295"/>
        <v>15</v>
      </c>
      <c r="X107" s="21">
        <f t="shared" si="295"/>
        <v>16</v>
      </c>
      <c r="Y107" s="21">
        <f t="shared" si="295"/>
        <v>17</v>
      </c>
      <c r="Z107" s="21">
        <f t="shared" si="295"/>
        <v>18</v>
      </c>
      <c r="AA107" s="21">
        <f t="shared" ref="AA107:AK107" si="296">Z107+1</f>
        <v>19</v>
      </c>
      <c r="AB107" s="21">
        <f t="shared" si="296"/>
        <v>20</v>
      </c>
      <c r="AC107" s="21">
        <f t="shared" si="296"/>
        <v>21</v>
      </c>
      <c r="AD107" s="21">
        <f t="shared" si="296"/>
        <v>22</v>
      </c>
      <c r="AE107" s="21">
        <f t="shared" si="296"/>
        <v>23</v>
      </c>
      <c r="AF107" s="21">
        <f t="shared" si="296"/>
        <v>24</v>
      </c>
      <c r="AG107" s="21">
        <f t="shared" si="296"/>
        <v>25</v>
      </c>
      <c r="AH107" s="21">
        <f t="shared" si="296"/>
        <v>26</v>
      </c>
      <c r="AI107" s="21">
        <f t="shared" si="296"/>
        <v>27</v>
      </c>
      <c r="AJ107" s="21">
        <f t="shared" si="296"/>
        <v>28</v>
      </c>
      <c r="AK107" s="21">
        <f t="shared" si="296"/>
        <v>29</v>
      </c>
      <c r="AL107" s="21">
        <f t="shared" ref="AL107" si="297">AK107+1</f>
        <v>30</v>
      </c>
      <c r="AM107" s="21">
        <f t="shared" ref="AM107" si="298">AL107+1</f>
        <v>31</v>
      </c>
      <c r="AN107" s="21">
        <f t="shared" ref="AN107" si="299">AM107+1</f>
        <v>32</v>
      </c>
      <c r="AO107" s="21"/>
      <c r="AP107" s="20"/>
      <c r="AU107" s="75"/>
      <c r="AV107" s="74"/>
      <c r="AW107" s="74"/>
      <c r="AX107" s="74"/>
      <c r="AY107" s="74"/>
      <c r="AZ107" s="74"/>
      <c r="BA107" s="74"/>
      <c r="BB107" s="73"/>
      <c r="BD107" s="1156"/>
    </row>
    <row r="108" spans="5:59" x14ac:dyDescent="0.35">
      <c r="E108" s="19"/>
      <c r="F108" s="18"/>
      <c r="G108" s="18"/>
      <c r="H108" s="17"/>
      <c r="I108" s="17"/>
      <c r="J108" s="17"/>
      <c r="K108" s="17"/>
      <c r="L108" s="17"/>
      <c r="M108" s="17"/>
      <c r="N108" s="17"/>
      <c r="O108" s="17"/>
      <c r="P108" s="17"/>
      <c r="Q108" s="17"/>
      <c r="R108" s="17"/>
      <c r="S108" s="17"/>
      <c r="T108" s="17"/>
      <c r="U108" s="794"/>
      <c r="V108" s="17"/>
      <c r="W108" s="17"/>
      <c r="X108" s="17"/>
      <c r="Y108" s="17"/>
      <c r="Z108" s="17"/>
      <c r="AA108" s="17"/>
      <c r="AB108" s="17"/>
      <c r="AC108" s="17"/>
      <c r="AD108" s="604"/>
      <c r="AE108" s="604"/>
      <c r="AF108" s="17"/>
      <c r="AG108" s="794"/>
      <c r="AH108" s="17"/>
      <c r="AI108" s="17"/>
      <c r="AJ108" s="17"/>
      <c r="AK108" s="17"/>
      <c r="AL108" s="17"/>
      <c r="AM108" s="17"/>
      <c r="AN108" s="17"/>
      <c r="AO108" s="149"/>
      <c r="AP108" s="148"/>
      <c r="AU108" s="332"/>
      <c r="AV108" s="1105">
        <f t="shared" ref="AV108:BB108" si="300">AV95</f>
        <v>0</v>
      </c>
      <c r="AW108" s="1105">
        <f t="shared" si="300"/>
        <v>1</v>
      </c>
      <c r="AX108" s="1105"/>
      <c r="AY108" s="1105">
        <f t="shared" si="300"/>
        <v>2</v>
      </c>
      <c r="AZ108" s="1105">
        <f t="shared" si="300"/>
        <v>3</v>
      </c>
      <c r="BA108" s="1105">
        <f t="shared" si="300"/>
        <v>4</v>
      </c>
      <c r="BB108" s="1106">
        <f t="shared" si="300"/>
        <v>5</v>
      </c>
    </row>
    <row r="109" spans="5:59" x14ac:dyDescent="0.35">
      <c r="E109" s="16" t="s">
        <v>5</v>
      </c>
      <c r="F109" s="15"/>
      <c r="G109" s="15"/>
      <c r="H109" s="14">
        <f t="shared" ref="H109:AN109" si="301">H67</f>
        <v>45120</v>
      </c>
      <c r="I109" s="14">
        <f t="shared" si="301"/>
        <v>45138</v>
      </c>
      <c r="J109" s="14">
        <f t="shared" si="301"/>
        <v>45169</v>
      </c>
      <c r="K109" s="14">
        <f t="shared" si="301"/>
        <v>45199</v>
      </c>
      <c r="L109" s="14">
        <f t="shared" si="301"/>
        <v>45230</v>
      </c>
      <c r="M109" s="14">
        <f t="shared" si="301"/>
        <v>45260</v>
      </c>
      <c r="N109" s="14">
        <f t="shared" si="301"/>
        <v>45291</v>
      </c>
      <c r="O109" s="14">
        <f t="shared" si="301"/>
        <v>45322</v>
      </c>
      <c r="P109" s="14">
        <f t="shared" si="301"/>
        <v>45351</v>
      </c>
      <c r="Q109" s="14">
        <f t="shared" si="301"/>
        <v>45382</v>
      </c>
      <c r="R109" s="14">
        <f t="shared" si="301"/>
        <v>45412</v>
      </c>
      <c r="S109" s="14">
        <f t="shared" si="301"/>
        <v>45443</v>
      </c>
      <c r="T109" s="14">
        <f t="shared" si="301"/>
        <v>45473</v>
      </c>
      <c r="U109" s="14">
        <f t="shared" si="301"/>
        <v>45504</v>
      </c>
      <c r="V109" s="14">
        <f t="shared" si="301"/>
        <v>45535</v>
      </c>
      <c r="W109" s="14">
        <f t="shared" si="301"/>
        <v>45565</v>
      </c>
      <c r="X109" s="14">
        <f t="shared" si="301"/>
        <v>45596</v>
      </c>
      <c r="Y109" s="14">
        <f t="shared" si="301"/>
        <v>45626</v>
      </c>
      <c r="Z109" s="14">
        <f t="shared" si="301"/>
        <v>45657</v>
      </c>
      <c r="AA109" s="14">
        <f t="shared" si="301"/>
        <v>45688</v>
      </c>
      <c r="AB109" s="14">
        <f t="shared" si="301"/>
        <v>45716</v>
      </c>
      <c r="AC109" s="14">
        <f t="shared" si="301"/>
        <v>45747</v>
      </c>
      <c r="AD109" s="14">
        <f t="shared" si="301"/>
        <v>45777</v>
      </c>
      <c r="AE109" s="14">
        <f t="shared" si="301"/>
        <v>45808</v>
      </c>
      <c r="AF109" s="14">
        <f t="shared" si="301"/>
        <v>45838</v>
      </c>
      <c r="AG109" s="14">
        <f t="shared" si="301"/>
        <v>45869</v>
      </c>
      <c r="AH109" s="14">
        <f t="shared" si="301"/>
        <v>45900</v>
      </c>
      <c r="AI109" s="14">
        <f t="shared" si="301"/>
        <v>45930</v>
      </c>
      <c r="AJ109" s="14">
        <f t="shared" si="301"/>
        <v>45961</v>
      </c>
      <c r="AK109" s="14">
        <f t="shared" si="301"/>
        <v>45991</v>
      </c>
      <c r="AL109" s="14">
        <f t="shared" si="301"/>
        <v>46022</v>
      </c>
      <c r="AM109" s="14">
        <f t="shared" si="301"/>
        <v>46053</v>
      </c>
      <c r="AN109" s="14">
        <f t="shared" si="301"/>
        <v>46081</v>
      </c>
      <c r="AO109" s="28"/>
      <c r="AP109" s="30"/>
      <c r="AR109" s="230"/>
      <c r="AU109" s="1108" t="s">
        <v>31</v>
      </c>
      <c r="AV109" s="1109">
        <f>AV96</f>
        <v>46022</v>
      </c>
      <c r="AW109" s="1109">
        <f>EOMONTH(AV109,12)</f>
        <v>46387</v>
      </c>
      <c r="AX109" s="1109"/>
      <c r="AY109" s="1109">
        <f>EOMONTH(AW109,12)</f>
        <v>46752</v>
      </c>
      <c r="AZ109" s="1109">
        <f>EOMONTH(AY109,12)</f>
        <v>47118</v>
      </c>
      <c r="BA109" s="1109">
        <f>EOMONTH(AZ109,12)</f>
        <v>47483</v>
      </c>
      <c r="BB109" s="1110">
        <f>EOMONTH(BA109,12)</f>
        <v>47848</v>
      </c>
    </row>
    <row r="110" spans="5:59" x14ac:dyDescent="0.35">
      <c r="E110" s="1112"/>
      <c r="F110" s="1132"/>
      <c r="G110" s="1132"/>
      <c r="H110" s="331"/>
      <c r="I110" s="331"/>
      <c r="J110" s="1227"/>
      <c r="K110" s="331"/>
      <c r="L110" s="331"/>
      <c r="M110" s="331"/>
      <c r="N110" s="331"/>
      <c r="O110" s="331"/>
      <c r="P110" s="331"/>
      <c r="Q110" s="331"/>
      <c r="R110" s="331"/>
      <c r="S110" s="331"/>
      <c r="T110" s="331"/>
      <c r="U110" s="331"/>
      <c r="V110" s="331"/>
      <c r="W110" s="331"/>
      <c r="X110" s="352"/>
      <c r="Y110" s="352"/>
      <c r="Z110" s="352"/>
      <c r="AA110" s="331"/>
      <c r="AB110" s="331"/>
      <c r="AC110" s="331"/>
      <c r="AD110" s="331"/>
      <c r="AE110" s="331"/>
      <c r="AF110" s="331"/>
      <c r="AG110" s="331"/>
      <c r="AH110" s="331"/>
      <c r="AI110" s="331"/>
      <c r="AJ110" s="331"/>
      <c r="AK110" s="331"/>
      <c r="AL110" s="331"/>
      <c r="AM110" s="331"/>
      <c r="AN110" s="331"/>
      <c r="AO110" s="28"/>
      <c r="AP110" s="30"/>
      <c r="AU110" s="1112"/>
      <c r="AV110" s="1113"/>
      <c r="AW110" s="1113"/>
      <c r="AX110" s="1113"/>
      <c r="AY110" s="1113"/>
      <c r="AZ110" s="1113"/>
      <c r="BA110" s="1113"/>
      <c r="BB110" s="1114"/>
    </row>
    <row r="111" spans="5:59" x14ac:dyDescent="0.35">
      <c r="E111" s="11" t="s">
        <v>279</v>
      </c>
      <c r="F111" s="1132"/>
      <c r="G111" s="1132"/>
      <c r="H111" s="1157"/>
      <c r="I111" s="1298">
        <v>1</v>
      </c>
      <c r="J111" s="1298"/>
      <c r="K111" s="1298"/>
      <c r="L111" s="1298">
        <f>I111+1</f>
        <v>2</v>
      </c>
      <c r="M111" s="1298"/>
      <c r="N111" s="1298"/>
      <c r="O111" s="1298">
        <f>L111+1</f>
        <v>3</v>
      </c>
      <c r="P111" s="1298"/>
      <c r="Q111" s="1298"/>
      <c r="R111" s="1298">
        <f>O111+1</f>
        <v>4</v>
      </c>
      <c r="S111" s="1298"/>
      <c r="T111" s="1299"/>
      <c r="U111" s="1158"/>
      <c r="V111" s="572">
        <f>R111+1</f>
        <v>5</v>
      </c>
      <c r="W111" s="573"/>
      <c r="X111" s="1290">
        <f>V111+1</f>
        <v>6</v>
      </c>
      <c r="Y111" s="1290"/>
      <c r="Z111" s="1291"/>
      <c r="AA111" s="1290">
        <f>X111+1</f>
        <v>7</v>
      </c>
      <c r="AB111" s="1290"/>
      <c r="AC111" s="1291"/>
      <c r="AD111" s="605"/>
      <c r="AE111" s="750">
        <v>8</v>
      </c>
      <c r="AF111" s="573"/>
      <c r="AG111" s="605"/>
      <c r="AH111" s="572">
        <f>AE111+1</f>
        <v>9</v>
      </c>
      <c r="AI111" s="573"/>
      <c r="AJ111" s="1299">
        <f>AH111+1</f>
        <v>10</v>
      </c>
      <c r="AK111" s="1290"/>
      <c r="AL111" s="1291"/>
      <c r="AM111" s="1299" t="s">
        <v>539</v>
      </c>
      <c r="AN111" s="1291"/>
      <c r="AO111" s="28"/>
      <c r="AP111" s="30"/>
      <c r="AR111" s="230"/>
      <c r="AU111" s="1152" t="s">
        <v>28</v>
      </c>
      <c r="AV111" s="1153">
        <f ca="1">'JV Waterfall'!V40</f>
        <v>-415453.84556194453</v>
      </c>
      <c r="AW111" s="1153">
        <f ca="1">'JV Waterfall'!W36</f>
        <v>36928.969889161534</v>
      </c>
      <c r="AX111" s="1153"/>
      <c r="AY111" s="1153">
        <f ca="1">'JV Waterfall'!X36</f>
        <v>38314.140549759817</v>
      </c>
      <c r="AZ111" s="1153">
        <f ca="1">'JV Waterfall'!Y36</f>
        <v>39727.014623570081</v>
      </c>
      <c r="BA111" s="1153">
        <f ca="1">'JV Waterfall'!Z36</f>
        <v>41168.146178856528</v>
      </c>
      <c r="BB111" s="1154">
        <f ca="1">'JV Waterfall'!AA36</f>
        <v>486181.83793379483</v>
      </c>
      <c r="BE111" s="1156"/>
    </row>
    <row r="112" spans="5:59" x14ac:dyDescent="0.35">
      <c r="E112" s="9"/>
      <c r="F112" s="1132"/>
      <c r="G112" s="1132"/>
      <c r="H112" s="1159"/>
      <c r="I112" s="1160"/>
      <c r="J112" s="1161"/>
      <c r="K112" s="1162"/>
      <c r="L112" s="1160"/>
      <c r="M112" s="1161"/>
      <c r="N112" s="1162"/>
      <c r="O112" s="1160"/>
      <c r="P112" s="1161"/>
      <c r="Q112" s="1162"/>
      <c r="R112" s="1160"/>
      <c r="S112" s="1161"/>
      <c r="T112" s="1162"/>
      <c r="U112" s="1160"/>
      <c r="V112" s="1161"/>
      <c r="W112" s="1162"/>
      <c r="X112" s="1160"/>
      <c r="Y112" s="1161"/>
      <c r="Z112" s="1162"/>
      <c r="AA112" s="1160"/>
      <c r="AB112" s="1161"/>
      <c r="AC112" s="1162"/>
      <c r="AD112" s="1160"/>
      <c r="AE112" s="1161"/>
      <c r="AF112" s="1162"/>
      <c r="AG112" s="1160"/>
      <c r="AH112" s="1161"/>
      <c r="AI112" s="1162"/>
      <c r="AJ112" s="1160"/>
      <c r="AK112" s="1161"/>
      <c r="AL112" s="1162"/>
      <c r="AM112" s="1160"/>
      <c r="AN112" s="1162"/>
      <c r="AO112" s="28"/>
      <c r="AP112" s="30"/>
      <c r="AU112" s="1152" t="s">
        <v>27</v>
      </c>
      <c r="AV112" s="1153"/>
      <c r="AW112" s="1153">
        <f ca="1">'JV Waterfall'!W37</f>
        <v>10386.346139048614</v>
      </c>
      <c r="AX112" s="1153"/>
      <c r="AY112" s="1153">
        <f ca="1">'JV Waterfall'!X37</f>
        <v>10386.346139048614</v>
      </c>
      <c r="AZ112" s="1153">
        <f ca="1">'JV Waterfall'!Y37</f>
        <v>10386.346139048614</v>
      </c>
      <c r="BA112" s="1153">
        <f ca="1">'JV Waterfall'!Z37</f>
        <v>10386.346139048614</v>
      </c>
      <c r="BB112" s="1154">
        <f ca="1">'JV Waterfall'!AA37</f>
        <v>10386.346139048614</v>
      </c>
    </row>
    <row r="113" spans="5:54" x14ac:dyDescent="0.35">
      <c r="E113" s="9" t="s">
        <v>2</v>
      </c>
      <c r="F113" s="1132"/>
      <c r="G113" s="1132"/>
      <c r="H113" s="1135">
        <f>+H132</f>
        <v>0</v>
      </c>
      <c r="I113" s="1137">
        <f t="shared" ref="I113:AK113" si="302">+H117</f>
        <v>-3551440.2100000009</v>
      </c>
      <c r="J113" s="1134">
        <f t="shared" si="302"/>
        <v>-3551440.2100000009</v>
      </c>
      <c r="K113" s="1163">
        <f t="shared" si="302"/>
        <v>-3551440.2100000009</v>
      </c>
      <c r="L113" s="1137">
        <f t="shared" si="302"/>
        <v>-3551440.2100000009</v>
      </c>
      <c r="M113" s="1134">
        <f t="shared" si="302"/>
        <v>-3551440.2100000009</v>
      </c>
      <c r="N113" s="1163">
        <f t="shared" si="302"/>
        <v>-3551440.2100000009</v>
      </c>
      <c r="O113" s="1137">
        <f t="shared" si="302"/>
        <v>-3551440.2100000009</v>
      </c>
      <c r="P113" s="1134">
        <f t="shared" si="302"/>
        <v>-3551440.2100000009</v>
      </c>
      <c r="Q113" s="1163">
        <f t="shared" si="302"/>
        <v>-3551440.2100000009</v>
      </c>
      <c r="R113" s="1137">
        <f t="shared" si="302"/>
        <v>-3551440.2100000009</v>
      </c>
      <c r="S113" s="1134">
        <f t="shared" si="302"/>
        <v>-3551440.2100000009</v>
      </c>
      <c r="T113" s="1163">
        <f t="shared" si="302"/>
        <v>-3551440.2100000009</v>
      </c>
      <c r="U113" s="1137">
        <f t="shared" si="302"/>
        <v>-3551440.2100000009</v>
      </c>
      <c r="V113" s="1134">
        <f t="shared" si="302"/>
        <v>-3551440.2100000009</v>
      </c>
      <c r="W113" s="1163">
        <f t="shared" si="302"/>
        <v>-3551440.2100000009</v>
      </c>
      <c r="X113" s="1137">
        <f t="shared" si="302"/>
        <v>-3551440.2100000009</v>
      </c>
      <c r="Y113" s="1134">
        <f t="shared" si="302"/>
        <v>-3551440.2100000009</v>
      </c>
      <c r="Z113" s="1163">
        <f t="shared" si="302"/>
        <v>-3551440.2100000009</v>
      </c>
      <c r="AA113" s="1137">
        <f t="shared" si="302"/>
        <v>-3551440.2100000009</v>
      </c>
      <c r="AB113" s="1134">
        <f t="shared" si="302"/>
        <v>-3551440.2100000009</v>
      </c>
      <c r="AC113" s="1163">
        <f t="shared" si="302"/>
        <v>-3551440.2100000009</v>
      </c>
      <c r="AD113" s="1137">
        <f t="shared" si="302"/>
        <v>-3551440.2100000009</v>
      </c>
      <c r="AE113" s="1134">
        <f t="shared" si="302"/>
        <v>-3551440.2100000009</v>
      </c>
      <c r="AF113" s="1163">
        <f t="shared" si="302"/>
        <v>-3551440.2100000009</v>
      </c>
      <c r="AG113" s="1137">
        <f t="shared" si="302"/>
        <v>-3551440.2100000009</v>
      </c>
      <c r="AH113" s="1134">
        <f t="shared" si="302"/>
        <v>-3551440.2100000009</v>
      </c>
      <c r="AI113" s="1163">
        <f t="shared" si="302"/>
        <v>-3551440.2100000009</v>
      </c>
      <c r="AJ113" s="1137">
        <f t="shared" si="302"/>
        <v>-3551440.2100000009</v>
      </c>
      <c r="AK113" s="1134">
        <f t="shared" si="302"/>
        <v>-3551440.2100000009</v>
      </c>
      <c r="AL113" s="1163">
        <f t="shared" ref="AL113" si="303">+AK117</f>
        <v>-3845210.2100000009</v>
      </c>
      <c r="AM113" s="1137">
        <f t="shared" ref="AM113" si="304">+AL117</f>
        <v>0</v>
      </c>
      <c r="AN113" s="1163">
        <f t="shared" ref="AN113" si="305">+AM117</f>
        <v>0</v>
      </c>
      <c r="AO113" s="519"/>
      <c r="AP113" s="30"/>
      <c r="AU113" s="1152" t="s">
        <v>26</v>
      </c>
      <c r="AV113" s="1153">
        <f t="shared" ref="AV113:BB113" ca="1" si="306">AV111+AV112</f>
        <v>-415453.84556194453</v>
      </c>
      <c r="AW113" s="1153">
        <f t="shared" ca="1" si="306"/>
        <v>47315.316028210145</v>
      </c>
      <c r="AX113" s="1153"/>
      <c r="AY113" s="1153">
        <f t="shared" ca="1" si="306"/>
        <v>48700.486688808429</v>
      </c>
      <c r="AZ113" s="1153">
        <f t="shared" ca="1" si="306"/>
        <v>50113.360762618693</v>
      </c>
      <c r="BA113" s="1153">
        <f t="shared" ca="1" si="306"/>
        <v>51554.49231790514</v>
      </c>
      <c r="BB113" s="1154">
        <f t="shared" ca="1" si="306"/>
        <v>496568.18407284346</v>
      </c>
    </row>
    <row r="114" spans="5:54" x14ac:dyDescent="0.35">
      <c r="E114" s="7">
        <f>C22</f>
        <v>0</v>
      </c>
      <c r="F114" s="1132"/>
      <c r="G114" s="1132"/>
      <c r="H114" s="1137">
        <f t="shared" ref="H114:AM114" si="307">(IF(H$137&lt;0,H$137,IF(H$107=$AN$107,MIN(-H113),0)))*$E$114</f>
        <v>0</v>
      </c>
      <c r="I114" s="1137">
        <f t="shared" si="307"/>
        <v>0</v>
      </c>
      <c r="J114" s="1134">
        <f t="shared" si="307"/>
        <v>0</v>
      </c>
      <c r="K114" s="1134">
        <f t="shared" si="307"/>
        <v>0</v>
      </c>
      <c r="L114" s="1137">
        <f t="shared" si="307"/>
        <v>0</v>
      </c>
      <c r="M114" s="1134">
        <f t="shared" si="307"/>
        <v>0</v>
      </c>
      <c r="N114" s="1134">
        <f t="shared" si="307"/>
        <v>0</v>
      </c>
      <c r="O114" s="1137">
        <f t="shared" si="307"/>
        <v>0</v>
      </c>
      <c r="P114" s="1134">
        <f t="shared" si="307"/>
        <v>0</v>
      </c>
      <c r="Q114" s="1134">
        <f t="shared" si="307"/>
        <v>0</v>
      </c>
      <c r="R114" s="1137">
        <f t="shared" si="307"/>
        <v>0</v>
      </c>
      <c r="S114" s="1134">
        <f t="shared" si="307"/>
        <v>0</v>
      </c>
      <c r="T114" s="1134">
        <f t="shared" si="307"/>
        <v>0</v>
      </c>
      <c r="U114" s="1137">
        <f t="shared" si="307"/>
        <v>0</v>
      </c>
      <c r="V114" s="1134">
        <f t="shared" si="307"/>
        <v>0</v>
      </c>
      <c r="W114" s="1134">
        <f t="shared" si="307"/>
        <v>0</v>
      </c>
      <c r="X114" s="1137">
        <f t="shared" si="307"/>
        <v>0</v>
      </c>
      <c r="Y114" s="1134">
        <f t="shared" si="307"/>
        <v>0</v>
      </c>
      <c r="Z114" s="1134">
        <f t="shared" si="307"/>
        <v>0</v>
      </c>
      <c r="AA114" s="1137">
        <f t="shared" si="307"/>
        <v>0</v>
      </c>
      <c r="AB114" s="1134">
        <f t="shared" si="307"/>
        <v>0</v>
      </c>
      <c r="AC114" s="1134">
        <f t="shared" si="307"/>
        <v>0</v>
      </c>
      <c r="AD114" s="1137">
        <f t="shared" si="307"/>
        <v>0</v>
      </c>
      <c r="AE114" s="1134">
        <f t="shared" si="307"/>
        <v>0</v>
      </c>
      <c r="AF114" s="1134">
        <f t="shared" si="307"/>
        <v>0</v>
      </c>
      <c r="AG114" s="1137">
        <f t="shared" si="307"/>
        <v>0</v>
      </c>
      <c r="AH114" s="1134">
        <f t="shared" si="307"/>
        <v>0</v>
      </c>
      <c r="AI114" s="1134">
        <f t="shared" si="307"/>
        <v>0</v>
      </c>
      <c r="AJ114" s="1137">
        <f t="shared" si="307"/>
        <v>0</v>
      </c>
      <c r="AK114" s="1134">
        <f t="shared" si="307"/>
        <v>0</v>
      </c>
      <c r="AL114" s="1163">
        <v>0</v>
      </c>
      <c r="AM114" s="1137">
        <f t="shared" si="307"/>
        <v>0</v>
      </c>
      <c r="AN114" s="1163">
        <v>0</v>
      </c>
      <c r="AO114" s="28"/>
      <c r="AP114" s="30"/>
      <c r="AU114" s="9"/>
      <c r="AV114" s="2"/>
      <c r="AW114" s="2"/>
      <c r="AX114" s="2"/>
      <c r="AY114" s="2"/>
      <c r="AZ114" s="2"/>
      <c r="BA114" s="2"/>
      <c r="BB114" s="30"/>
    </row>
    <row r="115" spans="5:54" x14ac:dyDescent="0.35">
      <c r="E115" s="8">
        <f>C21</f>
        <v>1</v>
      </c>
      <c r="F115" s="1132"/>
      <c r="G115" s="1132"/>
      <c r="H115" s="1137">
        <f t="shared" ref="H115:X115" si="308">(IF(H$61&lt;0,H$61,IF(H$107=$AN$107,MIN(-H113),0)))*$E$115</f>
        <v>-3551440.2100000009</v>
      </c>
      <c r="I115" s="1137">
        <f t="shared" si="308"/>
        <v>0</v>
      </c>
      <c r="J115" s="1134">
        <f t="shared" si="308"/>
        <v>0</v>
      </c>
      <c r="K115" s="1134">
        <f t="shared" si="308"/>
        <v>0</v>
      </c>
      <c r="L115" s="1137">
        <f t="shared" si="308"/>
        <v>0</v>
      </c>
      <c r="M115" s="1134">
        <f t="shared" si="308"/>
        <v>0</v>
      </c>
      <c r="N115" s="1163">
        <f t="shared" si="308"/>
        <v>0</v>
      </c>
      <c r="O115" s="1134">
        <f>-O44</f>
        <v>0</v>
      </c>
      <c r="P115" s="1134">
        <f>-P44</f>
        <v>0</v>
      </c>
      <c r="Q115" s="1163">
        <f t="shared" ref="Q115" si="309">-Q44</f>
        <v>0</v>
      </c>
      <c r="R115" s="1137">
        <f t="shared" si="308"/>
        <v>0</v>
      </c>
      <c r="S115" s="1134">
        <f>-S44</f>
        <v>0</v>
      </c>
      <c r="T115" s="1163">
        <f t="shared" ref="T115" si="310">-T44</f>
        <v>0</v>
      </c>
      <c r="U115" s="1137">
        <f t="shared" si="308"/>
        <v>0</v>
      </c>
      <c r="V115" s="1134">
        <f>-V44</f>
        <v>0</v>
      </c>
      <c r="W115" s="1163">
        <f t="shared" ref="W115" si="311">-W44</f>
        <v>0</v>
      </c>
      <c r="X115" s="1137">
        <f t="shared" si="308"/>
        <v>0</v>
      </c>
      <c r="Y115" s="1134">
        <f>-Y44</f>
        <v>0</v>
      </c>
      <c r="Z115" s="1163">
        <f>-Z44</f>
        <v>0</v>
      </c>
      <c r="AA115" s="1137">
        <f t="shared" ref="AA115" si="312">(IF(AA$61&lt;0,AA$61,IF(AA$107=$AN$107,MIN(-AA113),0)))*$E$115</f>
        <v>0</v>
      </c>
      <c r="AB115" s="1134">
        <f>-AB44</f>
        <v>0</v>
      </c>
      <c r="AC115" s="1163">
        <f t="shared" ref="AC115" si="313">-AC44</f>
        <v>0</v>
      </c>
      <c r="AD115" s="1134">
        <f>-AD44</f>
        <v>0</v>
      </c>
      <c r="AE115" s="1134">
        <f>-AE44</f>
        <v>0</v>
      </c>
      <c r="AF115" s="1163">
        <f t="shared" ref="AF115" si="314">-AF44</f>
        <v>0</v>
      </c>
      <c r="AG115" s="1137">
        <f t="shared" ref="AG115:AJ115" si="315">(IF(AG$61&lt;0,AG$61,IF(AG$107=$AN$107,MIN(-AG113),0)))*$E$115</f>
        <v>0</v>
      </c>
      <c r="AH115" s="1134">
        <f>-AH44</f>
        <v>0</v>
      </c>
      <c r="AI115" s="1163">
        <f t="shared" ref="AI115" si="316">-AI44</f>
        <v>0</v>
      </c>
      <c r="AJ115" s="1137">
        <f t="shared" si="315"/>
        <v>0</v>
      </c>
      <c r="AK115" s="1134">
        <f>-AK44</f>
        <v>-293770</v>
      </c>
      <c r="AL115" s="1134">
        <f>(IF(AL$61&lt;0,AL$61,IF(AL$107=$AL$107,MIN(-AL113),0)))*$E$115</f>
        <v>3845210.2100000009</v>
      </c>
      <c r="AM115" s="1137">
        <f t="shared" ref="AM115:AN115" si="317">(IF(AM$61&lt;0,AM$61,IF(AM$107=$AN$107,MIN(-AM113),0)))*$E$115</f>
        <v>0</v>
      </c>
      <c r="AN115" s="1163">
        <f t="shared" si="317"/>
        <v>0</v>
      </c>
      <c r="AO115" s="28"/>
      <c r="AP115" s="30"/>
      <c r="AR115" s="12"/>
      <c r="AU115" s="68" t="s">
        <v>25</v>
      </c>
      <c r="AV115" s="2"/>
      <c r="AW115" s="2"/>
      <c r="AX115" s="2"/>
      <c r="AY115" s="2"/>
      <c r="AZ115" s="2"/>
      <c r="BA115" s="2"/>
      <c r="BB115" s="67">
        <f ca="1">IRR(AV113:BB113)</f>
        <v>0.13028360554211682</v>
      </c>
    </row>
    <row r="116" spans="5:54" ht="15" thickBot="1" x14ac:dyDescent="0.4">
      <c r="E116" s="9"/>
      <c r="F116" s="1132"/>
      <c r="G116" s="1132"/>
      <c r="H116" s="1164"/>
      <c r="I116" s="1165"/>
      <c r="J116" s="1166"/>
      <c r="K116" s="1167"/>
      <c r="L116" s="1165"/>
      <c r="M116" s="1166"/>
      <c r="N116" s="1167"/>
      <c r="O116" s="1165"/>
      <c r="P116" s="1166"/>
      <c r="Q116" s="1167"/>
      <c r="R116" s="1165"/>
      <c r="S116" s="1166"/>
      <c r="T116" s="1167"/>
      <c r="U116" s="1165"/>
      <c r="V116" s="1166"/>
      <c r="W116" s="1167"/>
      <c r="X116" s="1165"/>
      <c r="Y116" s="1166"/>
      <c r="Z116" s="1167"/>
      <c r="AA116" s="1165"/>
      <c r="AB116" s="1166"/>
      <c r="AC116" s="1167"/>
      <c r="AD116" s="1165"/>
      <c r="AE116" s="1166"/>
      <c r="AF116" s="1167"/>
      <c r="AG116" s="1165"/>
      <c r="AH116" s="1166"/>
      <c r="AI116" s="1167"/>
      <c r="AJ116" s="1165"/>
      <c r="AK116" s="1166"/>
      <c r="AL116" s="1167"/>
      <c r="AM116" s="1165"/>
      <c r="AN116" s="1167"/>
      <c r="AO116" s="28"/>
      <c r="AP116" s="1168"/>
      <c r="AR116" s="12"/>
      <c r="AU116" s="66" t="s">
        <v>24</v>
      </c>
      <c r="AV116" s="65"/>
      <c r="AW116" s="65"/>
      <c r="AX116" s="65"/>
      <c r="AY116" s="65"/>
      <c r="AZ116" s="65"/>
      <c r="BA116" s="65"/>
      <c r="BB116" s="1155">
        <f ca="1">SUM(AW111:BB111)/-AV111</f>
        <v>1.5460685128725624</v>
      </c>
    </row>
    <row r="117" spans="5:54" x14ac:dyDescent="0.35">
      <c r="E117" s="9" t="s">
        <v>1</v>
      </c>
      <c r="F117" s="1132"/>
      <c r="G117" s="1132"/>
      <c r="H117" s="1135">
        <f t="shared" ref="H117:AK117" si="318">+SUM(H113:H115)</f>
        <v>-3551440.2100000009</v>
      </c>
      <c r="I117" s="1137">
        <f t="shared" si="318"/>
        <v>-3551440.2100000009</v>
      </c>
      <c r="J117" s="1134">
        <f t="shared" si="318"/>
        <v>-3551440.2100000009</v>
      </c>
      <c r="K117" s="1163">
        <f t="shared" si="318"/>
        <v>-3551440.2100000009</v>
      </c>
      <c r="L117" s="1137">
        <f t="shared" si="318"/>
        <v>-3551440.2100000009</v>
      </c>
      <c r="M117" s="1134">
        <f t="shared" si="318"/>
        <v>-3551440.2100000009</v>
      </c>
      <c r="N117" s="1163">
        <f t="shared" si="318"/>
        <v>-3551440.2100000009</v>
      </c>
      <c r="O117" s="1137">
        <f t="shared" si="318"/>
        <v>-3551440.2100000009</v>
      </c>
      <c r="P117" s="1134">
        <f t="shared" si="318"/>
        <v>-3551440.2100000009</v>
      </c>
      <c r="Q117" s="1163">
        <f t="shared" si="318"/>
        <v>-3551440.2100000009</v>
      </c>
      <c r="R117" s="1137">
        <f t="shared" si="318"/>
        <v>-3551440.2100000009</v>
      </c>
      <c r="S117" s="1134">
        <f t="shared" si="318"/>
        <v>-3551440.2100000009</v>
      </c>
      <c r="T117" s="1163">
        <f t="shared" si="318"/>
        <v>-3551440.2100000009</v>
      </c>
      <c r="U117" s="1137">
        <f t="shared" si="318"/>
        <v>-3551440.2100000009</v>
      </c>
      <c r="V117" s="1134">
        <f t="shared" si="318"/>
        <v>-3551440.2100000009</v>
      </c>
      <c r="W117" s="1163">
        <f t="shared" si="318"/>
        <v>-3551440.2100000009</v>
      </c>
      <c r="X117" s="1137">
        <f t="shared" si="318"/>
        <v>-3551440.2100000009</v>
      </c>
      <c r="Y117" s="1134">
        <f t="shared" si="318"/>
        <v>-3551440.2100000009</v>
      </c>
      <c r="Z117" s="1163">
        <f>+SUM(Z113:Z115)</f>
        <v>-3551440.2100000009</v>
      </c>
      <c r="AA117" s="1137">
        <f t="shared" si="318"/>
        <v>-3551440.2100000009</v>
      </c>
      <c r="AB117" s="1134">
        <f t="shared" si="318"/>
        <v>-3551440.2100000009</v>
      </c>
      <c r="AC117" s="1163">
        <f t="shared" si="318"/>
        <v>-3551440.2100000009</v>
      </c>
      <c r="AD117" s="1137">
        <f t="shared" si="318"/>
        <v>-3551440.2100000009</v>
      </c>
      <c r="AE117" s="1134">
        <f t="shared" si="318"/>
        <v>-3551440.2100000009</v>
      </c>
      <c r="AF117" s="1163">
        <f t="shared" si="318"/>
        <v>-3551440.2100000009</v>
      </c>
      <c r="AG117" s="1137">
        <f t="shared" si="318"/>
        <v>-3551440.2100000009</v>
      </c>
      <c r="AH117" s="1134">
        <f t="shared" si="318"/>
        <v>-3551440.2100000009</v>
      </c>
      <c r="AI117" s="1163">
        <f t="shared" si="318"/>
        <v>-3551440.2100000009</v>
      </c>
      <c r="AJ117" s="1137">
        <f t="shared" si="318"/>
        <v>-3551440.2100000009</v>
      </c>
      <c r="AK117" s="1134">
        <f t="shared" si="318"/>
        <v>-3845210.2100000009</v>
      </c>
      <c r="AL117" s="1163">
        <f t="shared" ref="AL117:AN117" si="319">+SUM(AL113:AL115)</f>
        <v>0</v>
      </c>
      <c r="AM117" s="1137">
        <f t="shared" si="319"/>
        <v>0</v>
      </c>
      <c r="AN117" s="1163">
        <f t="shared" si="319"/>
        <v>0</v>
      </c>
      <c r="AO117" s="28"/>
      <c r="AP117" s="1168"/>
      <c r="AR117" s="484"/>
      <c r="AW117" s="1225"/>
    </row>
    <row r="118" spans="5:54" x14ac:dyDescent="0.35">
      <c r="E118" s="9"/>
      <c r="F118" s="1132"/>
      <c r="G118" s="1132"/>
      <c r="H118" s="1135"/>
      <c r="I118" s="1137"/>
      <c r="J118" s="1134"/>
      <c r="K118" s="1163"/>
      <c r="L118" s="1137"/>
      <c r="M118" s="1134"/>
      <c r="N118" s="1163"/>
      <c r="O118" s="1137"/>
      <c r="P118" s="1134"/>
      <c r="Q118" s="1163"/>
      <c r="R118" s="1137"/>
      <c r="S118" s="1134"/>
      <c r="T118" s="1163"/>
      <c r="U118" s="1137"/>
      <c r="V118" s="1134"/>
      <c r="W118" s="1163"/>
      <c r="X118" s="1137"/>
      <c r="Y118" s="1134"/>
      <c r="Z118" s="1163"/>
      <c r="AA118" s="1137"/>
      <c r="AB118" s="1134"/>
      <c r="AC118" s="1163"/>
      <c r="AD118" s="1137"/>
      <c r="AE118" s="1134"/>
      <c r="AF118" s="1163"/>
      <c r="AG118" s="1137"/>
      <c r="AH118" s="1134"/>
      <c r="AI118" s="1163"/>
      <c r="AJ118" s="1137"/>
      <c r="AK118" s="1134"/>
      <c r="AL118" s="1163"/>
      <c r="AM118" s="1137"/>
      <c r="AN118" s="1163"/>
      <c r="AO118" s="28"/>
      <c r="AP118" s="30"/>
      <c r="AR118" s="12"/>
    </row>
    <row r="119" spans="5:54" x14ac:dyDescent="0.35">
      <c r="E119" s="9" t="s">
        <v>0</v>
      </c>
      <c r="F119" s="1132"/>
      <c r="G119" s="1132"/>
      <c r="H119" s="1135">
        <f t="shared" ref="H119:AN119" si="320">H61-SUM(H114:H115)</f>
        <v>0</v>
      </c>
      <c r="I119" s="1137">
        <f t="shared" si="320"/>
        <v>3601.61</v>
      </c>
      <c r="J119" s="1134">
        <f t="shared" si="320"/>
        <v>4719.49</v>
      </c>
      <c r="K119" s="1163">
        <f t="shared" si="320"/>
        <v>5969.57</v>
      </c>
      <c r="L119" s="1137">
        <f t="shared" si="320"/>
        <v>4739.2700000000004</v>
      </c>
      <c r="M119" s="1134">
        <f t="shared" si="320"/>
        <v>10661.99</v>
      </c>
      <c r="N119" s="1163">
        <f t="shared" si="320"/>
        <v>32071.43</v>
      </c>
      <c r="O119" s="1137">
        <f t="shared" si="320"/>
        <v>-35928.559999999998</v>
      </c>
      <c r="P119" s="1134">
        <f t="shared" si="320"/>
        <v>21771.38</v>
      </c>
      <c r="Q119" s="1163">
        <f t="shared" si="320"/>
        <v>19453.41</v>
      </c>
      <c r="R119" s="1137">
        <f t="shared" si="320"/>
        <v>20612.39</v>
      </c>
      <c r="S119" s="1134">
        <f t="shared" si="320"/>
        <v>19453.41</v>
      </c>
      <c r="T119" s="1163">
        <f t="shared" si="320"/>
        <v>20612.39</v>
      </c>
      <c r="U119" s="1137">
        <f t="shared" si="320"/>
        <v>19453.41</v>
      </c>
      <c r="V119" s="1134">
        <f t="shared" si="320"/>
        <v>19453.41</v>
      </c>
      <c r="W119" s="1163">
        <f t="shared" si="320"/>
        <v>20612.39</v>
      </c>
      <c r="X119" s="1137">
        <f>X61-SUM(X114:X115)</f>
        <v>19453.41</v>
      </c>
      <c r="Y119" s="1134">
        <f t="shared" si="320"/>
        <v>20612.39</v>
      </c>
      <c r="Z119" s="1163">
        <f>Z61-SUM(Z114:Z115)</f>
        <v>-35928.559999999998</v>
      </c>
      <c r="AA119" s="1137">
        <f t="shared" si="320"/>
        <v>20561.05</v>
      </c>
      <c r="AB119" s="1134">
        <f t="shared" si="320"/>
        <v>24038</v>
      </c>
      <c r="AC119" s="1163">
        <f t="shared" si="320"/>
        <v>20561.05</v>
      </c>
      <c r="AD119" s="1137">
        <f t="shared" si="320"/>
        <v>21720.03</v>
      </c>
      <c r="AE119" s="1134">
        <f t="shared" si="320"/>
        <v>20561.05</v>
      </c>
      <c r="AF119" s="1163">
        <f t="shared" si="320"/>
        <v>21720.03</v>
      </c>
      <c r="AG119" s="1137">
        <f t="shared" si="320"/>
        <v>20561.05</v>
      </c>
      <c r="AH119" s="1134">
        <f t="shared" si="320"/>
        <v>20561.05</v>
      </c>
      <c r="AI119" s="1163">
        <f t="shared" si="320"/>
        <v>21720.03</v>
      </c>
      <c r="AJ119" s="1137">
        <f t="shared" si="320"/>
        <v>20561.05</v>
      </c>
      <c r="AK119" s="1134">
        <f t="shared" si="320"/>
        <v>21720.039999999979</v>
      </c>
      <c r="AL119" s="1163">
        <f>AL61-SUM(AL114:AL115)</f>
        <v>375354.19999999925</v>
      </c>
      <c r="AM119" s="1137">
        <f t="shared" si="320"/>
        <v>0</v>
      </c>
      <c r="AN119" s="1163">
        <f t="shared" si="320"/>
        <v>0</v>
      </c>
      <c r="AO119" s="28"/>
      <c r="AP119" s="30"/>
    </row>
    <row r="120" spans="5:54" x14ac:dyDescent="0.35">
      <c r="E120" s="9"/>
      <c r="F120" s="1132"/>
      <c r="G120" s="1132"/>
      <c r="H120" s="1135"/>
      <c r="I120" s="1137"/>
      <c r="J120" s="1134"/>
      <c r="K120" s="1163"/>
      <c r="L120" s="1137"/>
      <c r="M120" s="1134"/>
      <c r="N120" s="1163"/>
      <c r="O120" s="1137"/>
      <c r="P120" s="1134"/>
      <c r="Q120" s="1163"/>
      <c r="R120" s="1137"/>
      <c r="S120" s="1134"/>
      <c r="T120" s="1163"/>
      <c r="U120" s="1137"/>
      <c r="V120" s="1134"/>
      <c r="W120" s="1163"/>
      <c r="X120" s="1137"/>
      <c r="Y120" s="1134"/>
      <c r="Z120" s="1163"/>
      <c r="AA120" s="1137"/>
      <c r="AB120" s="1134"/>
      <c r="AC120" s="1163"/>
      <c r="AD120" s="1137"/>
      <c r="AE120" s="1134"/>
      <c r="AF120" s="1163"/>
      <c r="AG120" s="1137"/>
      <c r="AH120" s="1134"/>
      <c r="AI120" s="1163"/>
      <c r="AJ120" s="1137"/>
      <c r="AK120" s="1134"/>
      <c r="AL120" s="1163"/>
      <c r="AM120" s="1137"/>
      <c r="AN120" s="1163"/>
      <c r="AO120" s="28"/>
      <c r="AP120" s="30"/>
    </row>
    <row r="121" spans="5:54" x14ac:dyDescent="0.35">
      <c r="E121" s="332" t="s">
        <v>281</v>
      </c>
      <c r="F121" s="1132"/>
      <c r="G121" s="1132"/>
      <c r="H121" s="1169"/>
      <c r="I121" s="1170"/>
      <c r="J121" s="1132"/>
      <c r="K121" s="1171"/>
      <c r="L121" s="1170"/>
      <c r="M121" s="1132"/>
      <c r="N121" s="1171"/>
      <c r="O121" s="1170"/>
      <c r="P121" s="1132"/>
      <c r="Q121" s="1171"/>
      <c r="R121" s="1170"/>
      <c r="S121" s="1132"/>
      <c r="T121" s="1171"/>
      <c r="U121" s="1170"/>
      <c r="V121" s="1132"/>
      <c r="W121" s="1171"/>
      <c r="X121" s="1170"/>
      <c r="Y121" s="1132"/>
      <c r="Z121" s="1171"/>
      <c r="AA121" s="1170"/>
      <c r="AB121" s="1132"/>
      <c r="AC121" s="1171"/>
      <c r="AD121" s="1170"/>
      <c r="AE121" s="1132"/>
      <c r="AF121" s="1171"/>
      <c r="AG121" s="1170"/>
      <c r="AH121" s="1132"/>
      <c r="AI121" s="1171"/>
      <c r="AJ121" s="1170"/>
      <c r="AK121" s="1132"/>
      <c r="AL121" s="1171"/>
      <c r="AM121" s="1170"/>
      <c r="AN121" s="1171"/>
      <c r="AO121" s="28"/>
      <c r="AP121" s="30"/>
    </row>
    <row r="122" spans="5:54" x14ac:dyDescent="0.35">
      <c r="E122" s="1112"/>
      <c r="F122" s="1132"/>
      <c r="G122" s="1132"/>
      <c r="H122" s="1169"/>
      <c r="I122" s="1170"/>
      <c r="J122" s="1132"/>
      <c r="K122" s="1171"/>
      <c r="L122" s="1170"/>
      <c r="M122" s="1132"/>
      <c r="N122" s="1171"/>
      <c r="O122" s="1170"/>
      <c r="P122" s="1132"/>
      <c r="Q122" s="1171"/>
      <c r="R122" s="1170"/>
      <c r="S122" s="1132"/>
      <c r="T122" s="1171"/>
      <c r="U122" s="1170"/>
      <c r="V122" s="1132"/>
      <c r="W122" s="1171"/>
      <c r="X122" s="1170"/>
      <c r="Y122" s="1132"/>
      <c r="Z122" s="1171"/>
      <c r="AA122" s="1170"/>
      <c r="AB122" s="1132"/>
      <c r="AC122" s="1171"/>
      <c r="AD122" s="1170"/>
      <c r="AE122" s="1132"/>
      <c r="AF122" s="1171"/>
      <c r="AG122" s="1170"/>
      <c r="AH122" s="1132"/>
      <c r="AI122" s="1171"/>
      <c r="AJ122" s="1170"/>
      <c r="AK122" s="1132"/>
      <c r="AL122" s="1171"/>
      <c r="AM122" s="1170"/>
      <c r="AN122" s="1171"/>
      <c r="AO122" s="28"/>
      <c r="AP122" s="30"/>
    </row>
    <row r="123" spans="5:54" x14ac:dyDescent="0.35">
      <c r="E123" s="7">
        <f>1-E124</f>
        <v>0</v>
      </c>
      <c r="F123" s="1132"/>
      <c r="G123" s="1132"/>
      <c r="H123" s="1135">
        <f t="shared" ref="H123:AN123" si="321">+IF(H107=$AN$107,H119*$E$123,0)</f>
        <v>0</v>
      </c>
      <c r="I123" s="1137">
        <f t="shared" si="321"/>
        <v>0</v>
      </c>
      <c r="J123" s="1134">
        <f t="shared" si="321"/>
        <v>0</v>
      </c>
      <c r="K123" s="1163">
        <f t="shared" si="321"/>
        <v>0</v>
      </c>
      <c r="L123" s="1137">
        <f t="shared" si="321"/>
        <v>0</v>
      </c>
      <c r="M123" s="1134">
        <f t="shared" si="321"/>
        <v>0</v>
      </c>
      <c r="N123" s="1163">
        <f t="shared" si="321"/>
        <v>0</v>
      </c>
      <c r="O123" s="1137">
        <f t="shared" si="321"/>
        <v>0</v>
      </c>
      <c r="P123" s="1134">
        <f t="shared" si="321"/>
        <v>0</v>
      </c>
      <c r="Q123" s="1163">
        <f t="shared" si="321"/>
        <v>0</v>
      </c>
      <c r="R123" s="1137">
        <f t="shared" si="321"/>
        <v>0</v>
      </c>
      <c r="S123" s="1134">
        <f t="shared" si="321"/>
        <v>0</v>
      </c>
      <c r="T123" s="1163">
        <f t="shared" si="321"/>
        <v>0</v>
      </c>
      <c r="U123" s="1137">
        <f t="shared" si="321"/>
        <v>0</v>
      </c>
      <c r="V123" s="1134">
        <f t="shared" si="321"/>
        <v>0</v>
      </c>
      <c r="W123" s="1163">
        <f t="shared" si="321"/>
        <v>0</v>
      </c>
      <c r="X123" s="1137">
        <f t="shared" si="321"/>
        <v>0</v>
      </c>
      <c r="Y123" s="1134">
        <f t="shared" si="321"/>
        <v>0</v>
      </c>
      <c r="Z123" s="1163">
        <f t="shared" si="321"/>
        <v>0</v>
      </c>
      <c r="AA123" s="1137">
        <f t="shared" si="321"/>
        <v>0</v>
      </c>
      <c r="AB123" s="1134">
        <f t="shared" si="321"/>
        <v>0</v>
      </c>
      <c r="AC123" s="1163">
        <f t="shared" si="321"/>
        <v>0</v>
      </c>
      <c r="AD123" s="1137">
        <f t="shared" si="321"/>
        <v>0</v>
      </c>
      <c r="AE123" s="1134">
        <f t="shared" si="321"/>
        <v>0</v>
      </c>
      <c r="AF123" s="1163">
        <f t="shared" si="321"/>
        <v>0</v>
      </c>
      <c r="AG123" s="1137">
        <f t="shared" si="321"/>
        <v>0</v>
      </c>
      <c r="AH123" s="1134">
        <f t="shared" si="321"/>
        <v>0</v>
      </c>
      <c r="AI123" s="1163">
        <f t="shared" si="321"/>
        <v>0</v>
      </c>
      <c r="AJ123" s="1137">
        <f t="shared" si="321"/>
        <v>0</v>
      </c>
      <c r="AK123" s="1134">
        <f t="shared" si="321"/>
        <v>0</v>
      </c>
      <c r="AL123" s="1163">
        <f t="shared" si="321"/>
        <v>0</v>
      </c>
      <c r="AM123" s="1137">
        <f t="shared" si="321"/>
        <v>0</v>
      </c>
      <c r="AN123" s="1163">
        <f t="shared" si="321"/>
        <v>0</v>
      </c>
      <c r="AO123" s="28"/>
      <c r="AP123" s="30"/>
      <c r="AR123" s="12"/>
    </row>
    <row r="124" spans="5:54" x14ac:dyDescent="0.35">
      <c r="E124" s="8">
        <f>C21</f>
        <v>1</v>
      </c>
      <c r="F124" s="1132"/>
      <c r="G124" s="1132"/>
      <c r="H124" s="1135">
        <f t="shared" ref="H124:AN124" si="322">+IF(H107=$AN$107,H119*$E$124,0)</f>
        <v>0</v>
      </c>
      <c r="I124" s="1137">
        <f t="shared" si="322"/>
        <v>0</v>
      </c>
      <c r="J124" s="1134">
        <f t="shared" si="322"/>
        <v>0</v>
      </c>
      <c r="K124" s="1163">
        <f t="shared" si="322"/>
        <v>0</v>
      </c>
      <c r="L124" s="1137">
        <f t="shared" si="322"/>
        <v>0</v>
      </c>
      <c r="M124" s="1134">
        <f t="shared" si="322"/>
        <v>0</v>
      </c>
      <c r="N124" s="1163">
        <f t="shared" si="322"/>
        <v>0</v>
      </c>
      <c r="O124" s="1137">
        <f t="shared" si="322"/>
        <v>0</v>
      </c>
      <c r="P124" s="1134">
        <f t="shared" si="322"/>
        <v>0</v>
      </c>
      <c r="Q124" s="1163">
        <f t="shared" si="322"/>
        <v>0</v>
      </c>
      <c r="R124" s="1137">
        <f t="shared" si="322"/>
        <v>0</v>
      </c>
      <c r="S124" s="1134">
        <f t="shared" si="322"/>
        <v>0</v>
      </c>
      <c r="T124" s="1163">
        <f t="shared" si="322"/>
        <v>0</v>
      </c>
      <c r="U124" s="1137">
        <f t="shared" si="322"/>
        <v>0</v>
      </c>
      <c r="V124" s="1134">
        <f t="shared" si="322"/>
        <v>0</v>
      </c>
      <c r="W124" s="1163">
        <f t="shared" si="322"/>
        <v>0</v>
      </c>
      <c r="X124" s="1137">
        <f t="shared" si="322"/>
        <v>0</v>
      </c>
      <c r="Y124" s="1134">
        <f t="shared" si="322"/>
        <v>0</v>
      </c>
      <c r="Z124" s="1163">
        <f t="shared" si="322"/>
        <v>0</v>
      </c>
      <c r="AA124" s="1137">
        <f t="shared" si="322"/>
        <v>0</v>
      </c>
      <c r="AB124" s="1134">
        <f t="shared" si="322"/>
        <v>0</v>
      </c>
      <c r="AC124" s="1163">
        <f t="shared" si="322"/>
        <v>0</v>
      </c>
      <c r="AD124" s="1137">
        <f t="shared" si="322"/>
        <v>0</v>
      </c>
      <c r="AE124" s="1134">
        <f t="shared" si="322"/>
        <v>0</v>
      </c>
      <c r="AF124" s="1163">
        <f t="shared" si="322"/>
        <v>0</v>
      </c>
      <c r="AG124" s="1137">
        <f t="shared" si="322"/>
        <v>0</v>
      </c>
      <c r="AH124" s="1134">
        <f t="shared" si="322"/>
        <v>0</v>
      </c>
      <c r="AI124" s="1163">
        <f t="shared" si="322"/>
        <v>0</v>
      </c>
      <c r="AJ124" s="1137">
        <f t="shared" si="322"/>
        <v>0</v>
      </c>
      <c r="AK124" s="1134">
        <f t="shared" si="322"/>
        <v>0</v>
      </c>
      <c r="AL124" s="1163">
        <f>+IF(AL107=$AL$107,AL119*$E$124,0)</f>
        <v>375354.19999999925</v>
      </c>
      <c r="AM124" s="1137">
        <f t="shared" si="322"/>
        <v>0</v>
      </c>
      <c r="AN124" s="1163">
        <f t="shared" si="322"/>
        <v>0</v>
      </c>
      <c r="AO124" s="28"/>
      <c r="AP124" s="30"/>
      <c r="AR124" s="230"/>
    </row>
    <row r="125" spans="5:54" x14ac:dyDescent="0.35">
      <c r="E125" s="9"/>
      <c r="F125" s="1132"/>
      <c r="G125" s="359"/>
      <c r="H125" s="1135"/>
      <c r="I125" s="1137"/>
      <c r="J125" s="1134"/>
      <c r="K125" s="1163"/>
      <c r="L125" s="1137"/>
      <c r="M125" s="1134"/>
      <c r="N125" s="1163"/>
      <c r="O125" s="1137"/>
      <c r="P125" s="1134"/>
      <c r="Q125" s="1163"/>
      <c r="R125" s="1137"/>
      <c r="S125" s="1134"/>
      <c r="T125" s="1163"/>
      <c r="U125" s="1137"/>
      <c r="V125" s="1134"/>
      <c r="W125" s="1163"/>
      <c r="X125" s="1137"/>
      <c r="Y125" s="1134"/>
      <c r="Z125" s="1163"/>
      <c r="AA125" s="1137"/>
      <c r="AB125" s="1134"/>
      <c r="AC125" s="1163"/>
      <c r="AD125" s="1137"/>
      <c r="AE125" s="1134"/>
      <c r="AF125" s="1163"/>
      <c r="AG125" s="1137"/>
      <c r="AH125" s="1134"/>
      <c r="AI125" s="1163"/>
      <c r="AJ125" s="1137"/>
      <c r="AK125" s="1134"/>
      <c r="AL125" s="1163"/>
      <c r="AM125" s="1137"/>
      <c r="AN125" s="1163"/>
      <c r="AO125" s="520"/>
      <c r="AP125" s="30"/>
      <c r="AS125" s="12"/>
    </row>
    <row r="126" spans="5:54" x14ac:dyDescent="0.35">
      <c r="E126" s="11" t="s">
        <v>280</v>
      </c>
      <c r="F126" s="1132"/>
      <c r="G126" s="1132"/>
      <c r="H126" s="1135"/>
      <c r="I126" s="1137"/>
      <c r="J126" s="1134"/>
      <c r="K126" s="1163"/>
      <c r="L126" s="1137"/>
      <c r="M126" s="1134"/>
      <c r="N126" s="1163"/>
      <c r="O126" s="1137"/>
      <c r="P126" s="1134"/>
      <c r="Q126" s="1163"/>
      <c r="R126" s="1137"/>
      <c r="S126" s="1134"/>
      <c r="T126" s="1163"/>
      <c r="U126" s="1137"/>
      <c r="V126" s="1134"/>
      <c r="W126" s="1163"/>
      <c r="X126" s="1137"/>
      <c r="Y126" s="1134"/>
      <c r="Z126" s="1163"/>
      <c r="AA126" s="1137"/>
      <c r="AB126" s="1134"/>
      <c r="AC126" s="1163"/>
      <c r="AD126" s="1137"/>
      <c r="AE126" s="1134"/>
      <c r="AF126" s="1163"/>
      <c r="AG126" s="1137"/>
      <c r="AH126" s="1134"/>
      <c r="AI126" s="1163"/>
      <c r="AJ126" s="1137"/>
      <c r="AK126" s="1134"/>
      <c r="AL126" s="1163"/>
      <c r="AM126" s="1137"/>
      <c r="AN126" s="1163"/>
      <c r="AO126" s="28"/>
      <c r="AP126" s="30"/>
    </row>
    <row r="127" spans="5:54" x14ac:dyDescent="0.35">
      <c r="E127" s="9"/>
      <c r="F127" s="1132"/>
      <c r="G127" s="1132"/>
      <c r="H127" s="1135"/>
      <c r="I127" s="1137"/>
      <c r="J127" s="1134"/>
      <c r="K127" s="1163"/>
      <c r="L127" s="1137"/>
      <c r="M127" s="1134"/>
      <c r="N127" s="1163"/>
      <c r="O127" s="1137"/>
      <c r="P127" s="1134"/>
      <c r="Q127" s="1163"/>
      <c r="R127" s="1137"/>
      <c r="S127" s="1134"/>
      <c r="T127" s="1163"/>
      <c r="U127" s="1137"/>
      <c r="V127" s="1134"/>
      <c r="W127" s="1163"/>
      <c r="X127" s="1137"/>
      <c r="Y127" s="1134"/>
      <c r="Z127" s="1163"/>
      <c r="AA127" s="1137"/>
      <c r="AB127" s="1134"/>
      <c r="AC127" s="1163"/>
      <c r="AD127" s="1137"/>
      <c r="AE127" s="1134"/>
      <c r="AF127" s="1163"/>
      <c r="AG127" s="1137"/>
      <c r="AH127" s="1134"/>
      <c r="AI127" s="1163"/>
      <c r="AJ127" s="1137"/>
      <c r="AK127" s="1134"/>
      <c r="AL127" s="1163"/>
      <c r="AM127" s="1137"/>
      <c r="AN127" s="1163"/>
      <c r="AO127" s="28"/>
      <c r="AP127" s="142"/>
      <c r="AS127" s="1226"/>
    </row>
    <row r="128" spans="5:54" x14ac:dyDescent="0.35">
      <c r="E128" s="13" t="s">
        <v>4</v>
      </c>
      <c r="F128" s="1132"/>
      <c r="G128" s="1132"/>
      <c r="H128" s="1135"/>
      <c r="I128" s="1137">
        <f t="shared" ref="I128:AK128" si="323">+H135</f>
        <v>0</v>
      </c>
      <c r="J128" s="1134">
        <f t="shared" si="323"/>
        <v>-8663.7349571188752</v>
      </c>
      <c r="K128" s="1163">
        <f t="shared" si="323"/>
        <v>-37123.453494379166</v>
      </c>
      <c r="L128" s="1137">
        <f t="shared" si="323"/>
        <v>-63262.784982050413</v>
      </c>
      <c r="M128" s="1134">
        <f t="shared" si="323"/>
        <v>-93388.885473768489</v>
      </c>
      <c r="N128" s="1163">
        <f t="shared" si="323"/>
        <v>-114835.80029477307</v>
      </c>
      <c r="O128" s="1137">
        <f t="shared" si="323"/>
        <v>-115943.57827647781</v>
      </c>
      <c r="P128" s="1134">
        <f t="shared" si="323"/>
        <v>-188141.65350078337</v>
      </c>
      <c r="Q128" s="1163">
        <f t="shared" si="323"/>
        <v>-197408.88530859727</v>
      </c>
      <c r="R128" s="1137">
        <f t="shared" si="323"/>
        <v>-211134.68343781144</v>
      </c>
      <c r="S128" s="1134">
        <f t="shared" si="323"/>
        <v>-228134.75082613481</v>
      </c>
      <c r="T128" s="1163">
        <f t="shared" si="323"/>
        <v>-241860.54895534902</v>
      </c>
      <c r="U128" s="1137">
        <f t="shared" si="323"/>
        <v>-253357.06392386305</v>
      </c>
      <c r="V128" s="1134">
        <f t="shared" si="323"/>
        <v>-273835.70380314242</v>
      </c>
      <c r="W128" s="1163">
        <f t="shared" si="323"/>
        <v>-287561.50193235662</v>
      </c>
      <c r="X128" s="1137">
        <f t="shared" si="323"/>
        <v>-299058.01690087066</v>
      </c>
      <c r="Y128" s="1134">
        <f t="shared" si="323"/>
        <v>-320754.74519063794</v>
      </c>
      <c r="Z128" s="1163">
        <f t="shared" si="323"/>
        <v>-332251.26015915198</v>
      </c>
      <c r="AA128" s="1137">
        <f t="shared" si="323"/>
        <v>-401359.03814085672</v>
      </c>
      <c r="AB128" s="1134">
        <f t="shared" si="323"/>
        <v>-424674.8027612337</v>
      </c>
      <c r="AC128" s="1163">
        <f t="shared" si="323"/>
        <v>-430605.1118112976</v>
      </c>
      <c r="AD128" s="1137">
        <f t="shared" si="323"/>
        <v>-443223.27034346201</v>
      </c>
      <c r="AE128" s="1134">
        <f t="shared" si="323"/>
        <v>-465035.43633844308</v>
      </c>
      <c r="AF128" s="1163">
        <f t="shared" si="323"/>
        <v>-477653.59487060749</v>
      </c>
      <c r="AG128" s="1137">
        <f t="shared" si="323"/>
        <v>-488042.47024207172</v>
      </c>
      <c r="AH128" s="1134">
        <f t="shared" si="323"/>
        <v>-513668.64804085501</v>
      </c>
      <c r="AI128" s="1163">
        <f t="shared" si="323"/>
        <v>-526286.80657301936</v>
      </c>
      <c r="AJ128" s="1137">
        <f t="shared" si="323"/>
        <v>-536675.68194448354</v>
      </c>
      <c r="AK128" s="1134">
        <f t="shared" si="323"/>
        <v>-563598.10298723856</v>
      </c>
      <c r="AL128" s="1163">
        <f t="shared" ref="AL128" si="324">+AK135</f>
        <v>-576642.98109842883</v>
      </c>
      <c r="AM128" s="571">
        <v>0</v>
      </c>
      <c r="AN128" s="554">
        <v>0</v>
      </c>
      <c r="AO128" s="521"/>
      <c r="AP128" s="30"/>
    </row>
    <row r="129" spans="2:44" x14ac:dyDescent="0.35">
      <c r="E129" s="1112" t="str">
        <f>+"Accrued Preferred Return of "&amp;TEXT(C29,"0.00%")</f>
        <v>Accrued Preferred Return of 11.00%</v>
      </c>
      <c r="F129" s="1132"/>
      <c r="G129" s="1132"/>
      <c r="H129" s="1135"/>
      <c r="I129" s="1137">
        <f t="shared" ref="I129:AK129" si="325">+IFERROR(IF($AN$107&lt;I$107,0,(-MIN(-I117)*($C$29/365*(_xlfn.DAYS(I109,H109))))),0)</f>
        <v>-19265.346892602745</v>
      </c>
      <c r="J129" s="1134">
        <f t="shared" si="325"/>
        <v>-33179.208537260289</v>
      </c>
      <c r="K129" s="1134">
        <f t="shared" si="325"/>
        <v>-32108.911487671241</v>
      </c>
      <c r="L129" s="1137">
        <f t="shared" si="325"/>
        <v>-33179.208537260289</v>
      </c>
      <c r="M129" s="1134">
        <f t="shared" si="325"/>
        <v>-32108.911487671241</v>
      </c>
      <c r="N129" s="1134">
        <f t="shared" si="325"/>
        <v>-33179.208537260289</v>
      </c>
      <c r="O129" s="1137">
        <f t="shared" si="325"/>
        <v>-33179.208537260289</v>
      </c>
      <c r="P129" s="1134">
        <f t="shared" si="325"/>
        <v>-31038.614438082204</v>
      </c>
      <c r="Q129" s="1134">
        <f t="shared" si="325"/>
        <v>-33179.208537260289</v>
      </c>
      <c r="R129" s="1137">
        <f t="shared" si="325"/>
        <v>-32108.911487671241</v>
      </c>
      <c r="S129" s="1134">
        <f t="shared" si="325"/>
        <v>-33179.208537260289</v>
      </c>
      <c r="T129" s="1134">
        <f t="shared" si="325"/>
        <v>-32108.911487671241</v>
      </c>
      <c r="U129" s="1137">
        <f t="shared" si="325"/>
        <v>-33179.208537260289</v>
      </c>
      <c r="V129" s="1134">
        <f t="shared" si="325"/>
        <v>-33179.208537260289</v>
      </c>
      <c r="W129" s="1134">
        <f t="shared" si="325"/>
        <v>-32108.911487671241</v>
      </c>
      <c r="X129" s="1137">
        <f t="shared" si="325"/>
        <v>-33179.208537260289</v>
      </c>
      <c r="Y129" s="1134">
        <f t="shared" si="325"/>
        <v>-32108.911487671241</v>
      </c>
      <c r="Z129" s="1134">
        <f t="shared" si="325"/>
        <v>-33179.208537260289</v>
      </c>
      <c r="AA129" s="1137">
        <f t="shared" si="325"/>
        <v>-33179.208537260289</v>
      </c>
      <c r="AB129" s="1134">
        <f t="shared" si="325"/>
        <v>-29968.317388493157</v>
      </c>
      <c r="AC129" s="1134">
        <f t="shared" si="325"/>
        <v>-33179.208537260289</v>
      </c>
      <c r="AD129" s="1137">
        <f t="shared" si="325"/>
        <v>-32108.911487671241</v>
      </c>
      <c r="AE129" s="1134">
        <f t="shared" si="325"/>
        <v>-33179.208537260289</v>
      </c>
      <c r="AF129" s="1134">
        <f t="shared" si="325"/>
        <v>-32108.911487671241</v>
      </c>
      <c r="AG129" s="1137">
        <f t="shared" si="325"/>
        <v>-33179.208537260289</v>
      </c>
      <c r="AH129" s="1134">
        <f t="shared" si="325"/>
        <v>-33179.208537260289</v>
      </c>
      <c r="AI129" s="1134">
        <f t="shared" si="325"/>
        <v>-32108.911487671241</v>
      </c>
      <c r="AJ129" s="1137">
        <f t="shared" si="325"/>
        <v>-33179.208537260289</v>
      </c>
      <c r="AK129" s="1134">
        <f t="shared" si="325"/>
        <v>-34764.914227397268</v>
      </c>
      <c r="AL129" s="1163">
        <f>+IFERROR(IF($AN$107&lt;AL$107,0,(-MIN(-AK117)*($C$29/365*(_xlfn.DAYS(AL109,AK109))))),0)</f>
        <v>-35923.744701643853</v>
      </c>
      <c r="AM129" s="1137">
        <f>+IFERROR(IF($AN$107&lt;AM$107,0,(-MIN(-AM117)*($C$29/365*(_xlfn.DAYS(AM109,AL109))))),0)</f>
        <v>0</v>
      </c>
      <c r="AN129" s="1163">
        <f>+IFERROR(IF($AN$107&lt;AN$107,0,(-MIN(-AM117)*($C$29/365*(_xlfn.DAYS(AN109,AM109))))),0)</f>
        <v>0</v>
      </c>
      <c r="AO129" s="28"/>
      <c r="AP129" s="30"/>
    </row>
    <row r="130" spans="2:44" x14ac:dyDescent="0.35">
      <c r="E130" s="1112" t="str">
        <f>+"Paid Preferred Return of "&amp;TEXT(C29,"0.00%")</f>
        <v>Paid Preferred Return of 11.00%</v>
      </c>
      <c r="F130" s="1132"/>
      <c r="G130" s="1132"/>
      <c r="H130" s="1135"/>
      <c r="I130" s="571">
        <v>0</v>
      </c>
      <c r="J130" s="553">
        <v>0</v>
      </c>
      <c r="K130" s="554">
        <v>0</v>
      </c>
      <c r="L130" s="571">
        <v>0</v>
      </c>
      <c r="M130" s="553">
        <v>0</v>
      </c>
      <c r="N130" s="554">
        <v>0</v>
      </c>
      <c r="O130" s="571">
        <v>0</v>
      </c>
      <c r="P130" s="553">
        <v>0</v>
      </c>
      <c r="Q130" s="554">
        <v>0</v>
      </c>
      <c r="R130" s="571">
        <v>0</v>
      </c>
      <c r="S130" s="553">
        <v>0</v>
      </c>
      <c r="T130" s="554">
        <v>0</v>
      </c>
      <c r="U130" s="571">
        <v>0</v>
      </c>
      <c r="V130" s="553">
        <v>0</v>
      </c>
      <c r="W130" s="554">
        <v>0</v>
      </c>
      <c r="X130" s="571">
        <v>0</v>
      </c>
      <c r="Y130" s="553">
        <v>0</v>
      </c>
      <c r="Z130" s="554">
        <v>0</v>
      </c>
      <c r="AA130" s="571">
        <v>0</v>
      </c>
      <c r="AB130" s="553">
        <v>0</v>
      </c>
      <c r="AC130" s="554">
        <v>0</v>
      </c>
      <c r="AD130" s="571">
        <v>0</v>
      </c>
      <c r="AE130" s="553">
        <v>0</v>
      </c>
      <c r="AF130" s="554">
        <v>0</v>
      </c>
      <c r="AG130" s="571">
        <v>0</v>
      </c>
      <c r="AH130" s="553">
        <v>0</v>
      </c>
      <c r="AI130" s="554">
        <v>0</v>
      </c>
      <c r="AJ130" s="571">
        <v>0</v>
      </c>
      <c r="AK130" s="553">
        <v>0</v>
      </c>
      <c r="AL130" s="554">
        <v>0</v>
      </c>
      <c r="AM130" s="571">
        <v>0</v>
      </c>
      <c r="AN130" s="554">
        <v>0</v>
      </c>
      <c r="AO130" s="521"/>
      <c r="AP130" s="1172"/>
    </row>
    <row r="131" spans="2:44" x14ac:dyDescent="0.35">
      <c r="E131" s="7">
        <f>1-E132</f>
        <v>0</v>
      </c>
      <c r="F131" s="1132"/>
      <c r="G131" s="1132"/>
      <c r="H131" s="1135">
        <v>0</v>
      </c>
      <c r="I131" s="571">
        <v>0</v>
      </c>
      <c r="J131" s="553">
        <v>0</v>
      </c>
      <c r="K131" s="554">
        <v>0</v>
      </c>
      <c r="L131" s="571">
        <v>0</v>
      </c>
      <c r="M131" s="553">
        <v>0</v>
      </c>
      <c r="N131" s="554">
        <v>0</v>
      </c>
      <c r="O131" s="571">
        <v>0</v>
      </c>
      <c r="P131" s="553">
        <v>0</v>
      </c>
      <c r="Q131" s="554">
        <v>0</v>
      </c>
      <c r="R131" s="571">
        <v>0</v>
      </c>
      <c r="S131" s="553">
        <v>0</v>
      </c>
      <c r="T131" s="554">
        <v>0</v>
      </c>
      <c r="U131" s="571">
        <v>0</v>
      </c>
      <c r="V131" s="553">
        <v>0</v>
      </c>
      <c r="W131" s="554">
        <v>0</v>
      </c>
      <c r="X131" s="571">
        <v>0</v>
      </c>
      <c r="Y131" s="553">
        <v>0</v>
      </c>
      <c r="Z131" s="554">
        <v>0</v>
      </c>
      <c r="AA131" s="571">
        <v>0</v>
      </c>
      <c r="AB131" s="553">
        <v>0</v>
      </c>
      <c r="AC131" s="554">
        <v>0</v>
      </c>
      <c r="AD131" s="571">
        <v>0</v>
      </c>
      <c r="AE131" s="553">
        <v>0</v>
      </c>
      <c r="AF131" s="554">
        <v>0</v>
      </c>
      <c r="AG131" s="571">
        <v>0</v>
      </c>
      <c r="AH131" s="553">
        <v>0</v>
      </c>
      <c r="AI131" s="554">
        <v>0</v>
      </c>
      <c r="AJ131" s="571">
        <v>0</v>
      </c>
      <c r="AK131" s="553">
        <v>0</v>
      </c>
      <c r="AL131" s="554">
        <v>0</v>
      </c>
      <c r="AM131" s="571">
        <v>0</v>
      </c>
      <c r="AN131" s="554">
        <v>0</v>
      </c>
      <c r="AO131" s="28"/>
      <c r="AP131" s="30"/>
      <c r="AR131" s="12"/>
    </row>
    <row r="132" spans="2:44" x14ac:dyDescent="0.35">
      <c r="E132" s="8">
        <v>1</v>
      </c>
      <c r="F132" s="1132"/>
      <c r="G132" s="1132"/>
      <c r="H132" s="1135">
        <f>(IF(H61&lt;0,0,MIN(H61,-SUM(H128:H129))))*$E$132</f>
        <v>0</v>
      </c>
      <c r="I132" s="1134">
        <f>I12-IF($G$13="No",I13,0)-I83-I104+I14+'Closing Costs '!D25</f>
        <v>10601.61193548387</v>
      </c>
      <c r="J132" s="1134">
        <f t="shared" ref="J132:AK132" si="326">J12-IF($G$13="No",J13,0)-J83-J104+J14</f>
        <v>4719.489999999998</v>
      </c>
      <c r="K132" s="1163">
        <f t="shared" si="326"/>
        <v>5969.5799999999945</v>
      </c>
      <c r="L132" s="1134">
        <f t="shared" si="326"/>
        <v>4739.2799999999916</v>
      </c>
      <c r="M132" s="1134">
        <f t="shared" si="326"/>
        <v>10661.996666666659</v>
      </c>
      <c r="N132" s="1163">
        <f>N12-IF($G$13="No",N13,0)-N83-N104+N14-N44</f>
        <v>32071.430555555555</v>
      </c>
      <c r="O132" s="1134">
        <f t="shared" si="326"/>
        <v>-35928.569444444445</v>
      </c>
      <c r="P132" s="1134">
        <f>P12-IF($G$13="No",P13,0)-P83-P104+P14</f>
        <v>21771.382630268316</v>
      </c>
      <c r="Q132" s="1163">
        <f t="shared" si="326"/>
        <v>19453.410408046097</v>
      </c>
      <c r="R132" s="1134">
        <f t="shared" si="326"/>
        <v>20612.396519157206</v>
      </c>
      <c r="S132" s="1134">
        <f t="shared" si="326"/>
        <v>19453.410408046097</v>
      </c>
      <c r="T132" s="1163">
        <f t="shared" si="326"/>
        <v>20612.396519157206</v>
      </c>
      <c r="U132" s="1134">
        <f t="shared" si="326"/>
        <v>19453.410408046097</v>
      </c>
      <c r="V132" s="1134">
        <f t="shared" si="326"/>
        <v>19453.410408046097</v>
      </c>
      <c r="W132" s="1163">
        <f t="shared" si="326"/>
        <v>20612.396519157206</v>
      </c>
      <c r="X132" s="1134">
        <f t="shared" si="326"/>
        <v>19453.410408046097</v>
      </c>
      <c r="Y132" s="1134">
        <f t="shared" si="326"/>
        <v>20612.396519157206</v>
      </c>
      <c r="Z132" s="1163">
        <f t="shared" si="326"/>
        <v>-35928.569444444445</v>
      </c>
      <c r="AA132" s="1134">
        <f t="shared" si="326"/>
        <v>20561.050005095909</v>
      </c>
      <c r="AB132" s="1134">
        <f t="shared" si="326"/>
        <v>24038.008338429237</v>
      </c>
      <c r="AC132" s="1163">
        <f t="shared" si="326"/>
        <v>20561.050005095909</v>
      </c>
      <c r="AD132" s="1134">
        <f t="shared" si="326"/>
        <v>21720.036116207018</v>
      </c>
      <c r="AE132" s="1134">
        <f t="shared" si="326"/>
        <v>20561.050005095909</v>
      </c>
      <c r="AF132" s="1163">
        <f t="shared" si="326"/>
        <v>21720.036116207018</v>
      </c>
      <c r="AG132" s="1134">
        <f t="shared" si="326"/>
        <v>20561.050005095909</v>
      </c>
      <c r="AH132" s="1134">
        <f t="shared" si="326"/>
        <v>20561.050005095909</v>
      </c>
      <c r="AI132" s="1163">
        <f t="shared" si="326"/>
        <v>21720.036116207018</v>
      </c>
      <c r="AJ132" s="1134">
        <f t="shared" si="326"/>
        <v>20561.050005095909</v>
      </c>
      <c r="AK132" s="1134">
        <f t="shared" si="326"/>
        <v>21720.036116207018</v>
      </c>
      <c r="AL132" s="1134">
        <f>(IF(AL61&lt;0,0,MIN(AL61,AL124,-SUM(AL128:AL129))))*$E$132</f>
        <v>375354.19999999925</v>
      </c>
      <c r="AM132" s="1137">
        <f>(IF(AM61&lt;0,0,MIN(AM61,AM124,-SUM(AM128:AM129))))*$E$132</f>
        <v>0</v>
      </c>
      <c r="AN132" s="1163">
        <f>(IF(AN61&lt;0,0,MIN(AN61,AN124,-SUM(AN128:AN129))))*$E$132</f>
        <v>0</v>
      </c>
      <c r="AO132" s="519"/>
      <c r="AP132" s="30"/>
      <c r="AR132" s="484"/>
    </row>
    <row r="133" spans="2:44" x14ac:dyDescent="0.35">
      <c r="E133" s="1112" t="s">
        <v>3</v>
      </c>
      <c r="F133" s="1132"/>
      <c r="G133" s="1132"/>
      <c r="H133" s="1135"/>
      <c r="I133" s="1137">
        <v>0</v>
      </c>
      <c r="J133" s="1134">
        <v>0</v>
      </c>
      <c r="K133" s="1171">
        <v>0</v>
      </c>
      <c r="L133" s="1137">
        <f>(L128*((1+$C$28)^(_xlfn.DAYS(L109,I109)/365)))-L128</f>
        <v>-1686.1719544577863</v>
      </c>
      <c r="M133" s="1134">
        <v>0</v>
      </c>
      <c r="N133" s="1171">
        <v>0</v>
      </c>
      <c r="O133" s="1137">
        <f>(O128*((1+$C$28)^(_xlfn.DAYS(O109,L109)/365)))-O128</f>
        <v>-3090.2972426008055</v>
      </c>
      <c r="P133" s="1134">
        <v>0</v>
      </c>
      <c r="Q133" s="1171">
        <v>0</v>
      </c>
      <c r="R133" s="1137">
        <f>(R128*((1+$C$28)^(_xlfn.DAYS(R109,O109)/365)))-R128</f>
        <v>-5503.5524198093335</v>
      </c>
      <c r="S133" s="1134">
        <v>0</v>
      </c>
      <c r="T133" s="1171">
        <v>0</v>
      </c>
      <c r="U133" s="1137">
        <f>(U128*((1+$C$28)^(_xlfn.DAYS(U109,R109)/365)))-U128</f>
        <v>-6752.8417500651849</v>
      </c>
      <c r="V133" s="1134">
        <v>0</v>
      </c>
      <c r="W133" s="1171">
        <v>0</v>
      </c>
      <c r="X133" s="1137">
        <f>(X128*((1+$C$28)^(_xlfn.DAYS(X109,U109)/365)))-X128</f>
        <v>-7970.9301605530782</v>
      </c>
      <c r="Y133" s="1134">
        <v>0</v>
      </c>
      <c r="Z133" s="1171">
        <v>0</v>
      </c>
      <c r="AA133" s="1137">
        <f>(AA128*((1+$C$28)^(_xlfn.DAYS(AA109,X109)/365)))-AA128</f>
        <v>-10697.606088212575</v>
      </c>
      <c r="AB133" s="1134">
        <v>0</v>
      </c>
      <c r="AC133" s="1171">
        <v>0</v>
      </c>
      <c r="AD133" s="1137">
        <f>(AD128*((1+$C$28)^(_xlfn.DAYS(AD109,AA109)/365)))-AD128</f>
        <v>-11423.290623516834</v>
      </c>
      <c r="AE133" s="1134">
        <v>0</v>
      </c>
      <c r="AF133" s="1171">
        <v>0</v>
      </c>
      <c r="AG133" s="1137">
        <f>(AG128*((1+$C$28)^(_xlfn.DAYS(AG109,AD109)/365)))-AG128</f>
        <v>-13008.019266618881</v>
      </c>
      <c r="AH133" s="1134">
        <v>0</v>
      </c>
      <c r="AI133" s="1132">
        <v>0</v>
      </c>
      <c r="AJ133" s="1137">
        <f>(AJ128*((1+$C$28)^(_xlfn.DAYS(AJ109,AG109)/365)))-AJ128</f>
        <v>-14304.262510590605</v>
      </c>
      <c r="AK133" s="1134">
        <v>0</v>
      </c>
      <c r="AL133" s="1163">
        <v>0</v>
      </c>
      <c r="AM133" s="1137">
        <f>(AM128*((1+$C$28)^(_xlfn.DAYS(AM109,AJ109)/365)))-AM128</f>
        <v>0</v>
      </c>
      <c r="AN133" s="1163">
        <v>0</v>
      </c>
      <c r="AO133" s="28"/>
      <c r="AP133" s="353"/>
      <c r="AQ133" s="3"/>
    </row>
    <row r="134" spans="2:44" x14ac:dyDescent="0.35">
      <c r="E134" s="1112"/>
      <c r="F134" s="1132"/>
      <c r="G134" s="1132"/>
      <c r="H134" s="1164"/>
      <c r="I134" s="1165"/>
      <c r="J134" s="1166"/>
      <c r="K134" s="1167"/>
      <c r="L134" s="1165"/>
      <c r="M134" s="1166"/>
      <c r="N134" s="1167"/>
      <c r="O134" s="1165"/>
      <c r="P134" s="1166"/>
      <c r="Q134" s="1167"/>
      <c r="R134" s="1165"/>
      <c r="S134" s="1166"/>
      <c r="T134" s="1167"/>
      <c r="U134" s="1165"/>
      <c r="V134" s="1166"/>
      <c r="W134" s="1167"/>
      <c r="X134" s="1165"/>
      <c r="Y134" s="1166"/>
      <c r="Z134" s="1167"/>
      <c r="AA134" s="1165"/>
      <c r="AB134" s="1166"/>
      <c r="AC134" s="1167"/>
      <c r="AD134" s="1165"/>
      <c r="AE134" s="1166"/>
      <c r="AF134" s="1167"/>
      <c r="AG134" s="1165"/>
      <c r="AH134" s="1166"/>
      <c r="AI134" s="1167"/>
      <c r="AJ134" s="1165"/>
      <c r="AK134" s="1166"/>
      <c r="AL134" s="1167"/>
      <c r="AM134" s="1165"/>
      <c r="AN134" s="1167"/>
      <c r="AO134" s="28"/>
      <c r="AP134" s="353"/>
      <c r="AQ134" s="3"/>
    </row>
    <row r="135" spans="2:44" x14ac:dyDescent="0.35">
      <c r="E135" s="9" t="s">
        <v>1</v>
      </c>
      <c r="F135" s="1132"/>
      <c r="G135" s="1132"/>
      <c r="H135" s="1133">
        <f t="shared" ref="H135:AK135" si="327">+SUM(H128:H133)</f>
        <v>0</v>
      </c>
      <c r="I135" s="1173">
        <f t="shared" si="327"/>
        <v>-8663.7349571188752</v>
      </c>
      <c r="J135" s="1134">
        <f t="shared" si="327"/>
        <v>-37123.453494379166</v>
      </c>
      <c r="K135" s="1174">
        <f t="shared" si="327"/>
        <v>-63262.784982050413</v>
      </c>
      <c r="L135" s="1173">
        <f t="shared" si="327"/>
        <v>-93388.885473768489</v>
      </c>
      <c r="M135" s="1134">
        <f t="shared" si="327"/>
        <v>-114835.80029477307</v>
      </c>
      <c r="N135" s="1174">
        <f t="shared" si="327"/>
        <v>-115943.57827647781</v>
      </c>
      <c r="O135" s="1173">
        <f t="shared" si="327"/>
        <v>-188141.65350078337</v>
      </c>
      <c r="P135" s="1134">
        <f t="shared" si="327"/>
        <v>-197408.88530859727</v>
      </c>
      <c r="Q135" s="1174">
        <f t="shared" si="327"/>
        <v>-211134.68343781144</v>
      </c>
      <c r="R135" s="1173">
        <f t="shared" si="327"/>
        <v>-228134.75082613481</v>
      </c>
      <c r="S135" s="1134">
        <f t="shared" si="327"/>
        <v>-241860.54895534902</v>
      </c>
      <c r="T135" s="1174">
        <f t="shared" si="327"/>
        <v>-253357.06392386305</v>
      </c>
      <c r="U135" s="1173">
        <f t="shared" si="327"/>
        <v>-273835.70380314242</v>
      </c>
      <c r="V135" s="1134">
        <f t="shared" si="327"/>
        <v>-287561.50193235662</v>
      </c>
      <c r="W135" s="1174">
        <f t="shared" si="327"/>
        <v>-299058.01690087066</v>
      </c>
      <c r="X135" s="1173">
        <f t="shared" si="327"/>
        <v>-320754.74519063794</v>
      </c>
      <c r="Y135" s="1134">
        <f t="shared" si="327"/>
        <v>-332251.26015915198</v>
      </c>
      <c r="Z135" s="1174">
        <f t="shared" si="327"/>
        <v>-401359.03814085672</v>
      </c>
      <c r="AA135" s="1173">
        <f t="shared" si="327"/>
        <v>-424674.8027612337</v>
      </c>
      <c r="AB135" s="1134">
        <f t="shared" si="327"/>
        <v>-430605.1118112976</v>
      </c>
      <c r="AC135" s="1174">
        <f t="shared" si="327"/>
        <v>-443223.27034346201</v>
      </c>
      <c r="AD135" s="1173">
        <f t="shared" si="327"/>
        <v>-465035.43633844308</v>
      </c>
      <c r="AE135" s="1134">
        <f t="shared" si="327"/>
        <v>-477653.59487060749</v>
      </c>
      <c r="AF135" s="1174">
        <f t="shared" si="327"/>
        <v>-488042.47024207172</v>
      </c>
      <c r="AG135" s="1173">
        <f t="shared" si="327"/>
        <v>-513668.64804085501</v>
      </c>
      <c r="AH135" s="1134">
        <f t="shared" si="327"/>
        <v>-526286.80657301936</v>
      </c>
      <c r="AI135" s="1174">
        <f t="shared" si="327"/>
        <v>-536675.68194448354</v>
      </c>
      <c r="AJ135" s="1173">
        <f t="shared" si="327"/>
        <v>-563598.10298723856</v>
      </c>
      <c r="AK135" s="1134">
        <f t="shared" si="327"/>
        <v>-576642.98109842883</v>
      </c>
      <c r="AL135" s="1163">
        <f t="shared" ref="AL135:AN135" si="328">+SUM(AL128:AL133)</f>
        <v>-237212.5258000734</v>
      </c>
      <c r="AM135" s="1137">
        <f t="shared" si="328"/>
        <v>0</v>
      </c>
      <c r="AN135" s="1163">
        <f t="shared" si="328"/>
        <v>0</v>
      </c>
      <c r="AO135" s="28"/>
      <c r="AP135" s="1175"/>
    </row>
    <row r="136" spans="2:44" x14ac:dyDescent="0.35">
      <c r="E136" s="9"/>
      <c r="F136" s="1132"/>
      <c r="G136" s="1132"/>
      <c r="H136" s="1135"/>
      <c r="I136" s="1134"/>
      <c r="J136" s="1134"/>
      <c r="K136" s="1163"/>
      <c r="L136" s="1134"/>
      <c r="M136" s="1134"/>
      <c r="N136" s="1163"/>
      <c r="O136" s="1134"/>
      <c r="P136" s="1134"/>
      <c r="Q136" s="1163"/>
      <c r="R136" s="1134"/>
      <c r="S136" s="1134"/>
      <c r="T136" s="1163"/>
      <c r="U136" s="1134"/>
      <c r="V136" s="1134"/>
      <c r="W136" s="1163"/>
      <c r="X136" s="1134"/>
      <c r="Y136" s="1134"/>
      <c r="Z136" s="1163"/>
      <c r="AA136" s="1134"/>
      <c r="AB136" s="1134"/>
      <c r="AC136" s="1163"/>
      <c r="AD136" s="1134"/>
      <c r="AE136" s="1134"/>
      <c r="AF136" s="1163"/>
      <c r="AG136" s="1134"/>
      <c r="AH136" s="1134"/>
      <c r="AI136" s="1163"/>
      <c r="AJ136" s="1137"/>
      <c r="AK136" s="1134"/>
      <c r="AL136" s="1163"/>
      <c r="AM136" s="1137"/>
      <c r="AN136" s="1163"/>
      <c r="AO136" s="28"/>
      <c r="AP136" s="30"/>
    </row>
    <row r="137" spans="2:44" x14ac:dyDescent="0.35">
      <c r="C137" s="484"/>
      <c r="E137" s="9" t="s">
        <v>0</v>
      </c>
      <c r="F137" s="1132"/>
      <c r="G137" s="1132"/>
      <c r="H137" s="1135">
        <v>0</v>
      </c>
      <c r="I137" s="1137">
        <v>0</v>
      </c>
      <c r="J137" s="1134">
        <v>0</v>
      </c>
      <c r="K137" s="1163">
        <v>0</v>
      </c>
      <c r="L137" s="1137">
        <v>0</v>
      </c>
      <c r="M137" s="1134">
        <v>0</v>
      </c>
      <c r="N137" s="1163">
        <v>0</v>
      </c>
      <c r="O137" s="1137">
        <v>0</v>
      </c>
      <c r="P137" s="1134">
        <v>0</v>
      </c>
      <c r="Q137" s="1163">
        <v>0</v>
      </c>
      <c r="R137" s="1137">
        <v>0</v>
      </c>
      <c r="S137" s="1134">
        <v>0</v>
      </c>
      <c r="T137" s="1163">
        <v>0</v>
      </c>
      <c r="U137" s="1137">
        <v>0</v>
      </c>
      <c r="V137" s="1134">
        <v>0</v>
      </c>
      <c r="W137" s="1163">
        <v>0</v>
      </c>
      <c r="X137" s="1137">
        <v>0</v>
      </c>
      <c r="Y137" s="1134">
        <v>0</v>
      </c>
      <c r="Z137" s="1163">
        <v>0</v>
      </c>
      <c r="AA137" s="1137">
        <v>0</v>
      </c>
      <c r="AB137" s="1134">
        <v>0</v>
      </c>
      <c r="AC137" s="1163">
        <v>0</v>
      </c>
      <c r="AD137" s="1137">
        <v>0</v>
      </c>
      <c r="AE137" s="1134">
        <v>0</v>
      </c>
      <c r="AF137" s="1163">
        <v>0</v>
      </c>
      <c r="AG137" s="1137">
        <v>0</v>
      </c>
      <c r="AH137" s="1134">
        <v>0</v>
      </c>
      <c r="AI137" s="1163">
        <v>0</v>
      </c>
      <c r="AJ137" s="1137">
        <v>0</v>
      </c>
      <c r="AK137" s="1134">
        <v>0</v>
      </c>
      <c r="AL137" s="1163">
        <f>ROUNDDOWN(IF(AL124-SUM(AL132:AL133)&gt;0,AL124-SUM(AL132:AL133),0),2)</f>
        <v>0</v>
      </c>
      <c r="AM137" s="1137">
        <v>0</v>
      </c>
      <c r="AN137" s="1163">
        <f>ROUNDDOWN(IF(AN124-SUM(AN132:AN133)&gt;0,AN124-SUM(AN132:AN133),0),2)</f>
        <v>0</v>
      </c>
      <c r="AO137" s="1134"/>
      <c r="AP137" s="67"/>
      <c r="AR137" s="12"/>
    </row>
    <row r="138" spans="2:44" x14ac:dyDescent="0.35">
      <c r="C138" s="484"/>
      <c r="E138" s="9"/>
      <c r="F138" s="1132"/>
      <c r="G138" s="1132"/>
      <c r="H138" s="1135"/>
      <c r="I138" s="1134"/>
      <c r="J138" s="1134"/>
      <c r="K138" s="1163"/>
      <c r="L138" s="1134"/>
      <c r="M138" s="1134"/>
      <c r="N138" s="1163"/>
      <c r="O138" s="1134"/>
      <c r="P138" s="1134"/>
      <c r="Q138" s="1163"/>
      <c r="R138" s="1134"/>
      <c r="S138" s="1134"/>
      <c r="T138" s="1163"/>
      <c r="U138" s="1134"/>
      <c r="V138" s="1134"/>
      <c r="W138" s="1163"/>
      <c r="X138" s="1134"/>
      <c r="Y138" s="1134"/>
      <c r="Z138" s="1163"/>
      <c r="AA138" s="1134"/>
      <c r="AB138" s="1134"/>
      <c r="AC138" s="1163"/>
      <c r="AD138" s="1134"/>
      <c r="AE138" s="1134"/>
      <c r="AF138" s="1163"/>
      <c r="AG138" s="1134"/>
      <c r="AH138" s="1134"/>
      <c r="AI138" s="1163"/>
      <c r="AJ138" s="1137"/>
      <c r="AK138" s="1134"/>
      <c r="AL138" s="1163"/>
      <c r="AM138" s="1137"/>
      <c r="AN138" s="1163"/>
      <c r="AO138" s="1134"/>
      <c r="AP138" s="30"/>
    </row>
    <row r="139" spans="2:44" x14ac:dyDescent="0.35">
      <c r="C139" s="484"/>
      <c r="E139" s="351">
        <f>C30</f>
        <v>0.2</v>
      </c>
      <c r="F139" s="1132"/>
      <c r="G139" s="1132"/>
      <c r="H139" s="1164">
        <f>+IF($AF$107=H$107,$AF$137,0)*($E$139)</f>
        <v>0</v>
      </c>
      <c r="I139" s="1166">
        <f t="shared" ref="I139:AN139" si="329">+IF(I107=I$107,I137,0)*($E$139)</f>
        <v>0</v>
      </c>
      <c r="J139" s="1166">
        <f t="shared" si="329"/>
        <v>0</v>
      </c>
      <c r="K139" s="1167">
        <f t="shared" si="329"/>
        <v>0</v>
      </c>
      <c r="L139" s="1166">
        <f t="shared" si="329"/>
        <v>0</v>
      </c>
      <c r="M139" s="1166">
        <f t="shared" si="329"/>
        <v>0</v>
      </c>
      <c r="N139" s="1167">
        <f t="shared" si="329"/>
        <v>0</v>
      </c>
      <c r="O139" s="1166">
        <f t="shared" si="329"/>
        <v>0</v>
      </c>
      <c r="P139" s="1166">
        <f t="shared" si="329"/>
        <v>0</v>
      </c>
      <c r="Q139" s="1167">
        <f t="shared" si="329"/>
        <v>0</v>
      </c>
      <c r="R139" s="1166">
        <f t="shared" si="329"/>
        <v>0</v>
      </c>
      <c r="S139" s="1166">
        <f t="shared" si="329"/>
        <v>0</v>
      </c>
      <c r="T139" s="1167">
        <f t="shared" si="329"/>
        <v>0</v>
      </c>
      <c r="U139" s="1166">
        <f t="shared" si="329"/>
        <v>0</v>
      </c>
      <c r="V139" s="1166">
        <f t="shared" si="329"/>
        <v>0</v>
      </c>
      <c r="W139" s="1167">
        <f t="shared" si="329"/>
        <v>0</v>
      </c>
      <c r="X139" s="1166">
        <f t="shared" si="329"/>
        <v>0</v>
      </c>
      <c r="Y139" s="1166">
        <f t="shared" si="329"/>
        <v>0</v>
      </c>
      <c r="Z139" s="1167">
        <f t="shared" si="329"/>
        <v>0</v>
      </c>
      <c r="AA139" s="1166">
        <f t="shared" si="329"/>
        <v>0</v>
      </c>
      <c r="AB139" s="1166">
        <f t="shared" si="329"/>
        <v>0</v>
      </c>
      <c r="AC139" s="1167">
        <f t="shared" si="329"/>
        <v>0</v>
      </c>
      <c r="AD139" s="1166">
        <f t="shared" si="329"/>
        <v>0</v>
      </c>
      <c r="AE139" s="1166">
        <f t="shared" si="329"/>
        <v>0</v>
      </c>
      <c r="AF139" s="1167">
        <f t="shared" si="329"/>
        <v>0</v>
      </c>
      <c r="AG139" s="1166">
        <f t="shared" si="329"/>
        <v>0</v>
      </c>
      <c r="AH139" s="1166">
        <f t="shared" si="329"/>
        <v>0</v>
      </c>
      <c r="AI139" s="1167">
        <f t="shared" si="329"/>
        <v>0</v>
      </c>
      <c r="AJ139" s="1165">
        <f t="shared" si="329"/>
        <v>0</v>
      </c>
      <c r="AK139" s="1166">
        <f t="shared" si="329"/>
        <v>0</v>
      </c>
      <c r="AL139" s="1167">
        <f t="shared" si="329"/>
        <v>0</v>
      </c>
      <c r="AM139" s="1165">
        <f t="shared" si="329"/>
        <v>0</v>
      </c>
      <c r="AN139" s="1167">
        <f t="shared" si="329"/>
        <v>0</v>
      </c>
      <c r="AO139" s="1134"/>
      <c r="AP139" s="30"/>
    </row>
    <row r="140" spans="2:44" x14ac:dyDescent="0.35">
      <c r="E140" s="351"/>
      <c r="F140" s="1132"/>
      <c r="G140" s="1132"/>
      <c r="H140" s="1134"/>
      <c r="I140" s="1134"/>
      <c r="J140" s="1134"/>
      <c r="K140" s="1132"/>
      <c r="L140" s="1132"/>
      <c r="M140" s="1132"/>
      <c r="N140" s="1132"/>
      <c r="O140" s="1132"/>
      <c r="P140" s="1132"/>
      <c r="Q140" s="1132"/>
      <c r="R140" s="1132"/>
      <c r="S140" s="1132"/>
      <c r="T140" s="1132"/>
      <c r="U140" s="1132"/>
      <c r="V140" s="1132"/>
      <c r="W140" s="1132"/>
      <c r="X140" s="1132"/>
      <c r="Y140" s="1132"/>
      <c r="Z140" s="1134"/>
      <c r="AA140" s="1132"/>
      <c r="AB140" s="1132"/>
      <c r="AC140" s="1134"/>
      <c r="AD140" s="1132"/>
      <c r="AE140" s="1132"/>
      <c r="AF140" s="1134"/>
      <c r="AG140" s="1132"/>
      <c r="AH140" s="1132"/>
      <c r="AI140" s="1132"/>
      <c r="AJ140" s="1132"/>
      <c r="AK140" s="1132"/>
      <c r="AL140" s="1132"/>
      <c r="AM140" s="1132"/>
      <c r="AN140" s="1132"/>
      <c r="AO140" s="28"/>
      <c r="AP140" s="30"/>
    </row>
    <row r="141" spans="2:44" x14ac:dyDescent="0.35">
      <c r="B141" s="839"/>
      <c r="C141" s="935"/>
      <c r="E141" s="332" t="s">
        <v>176</v>
      </c>
      <c r="F141" s="1132"/>
      <c r="G141" s="1132"/>
      <c r="H141" s="1132"/>
      <c r="I141" s="1132"/>
      <c r="J141" s="1132"/>
      <c r="K141" s="1134"/>
      <c r="L141" s="1132"/>
      <c r="M141" s="1134"/>
      <c r="N141" s="1132"/>
      <c r="O141" s="1134"/>
      <c r="P141" s="1134"/>
      <c r="Q141" s="1132"/>
      <c r="R141" s="1132"/>
      <c r="S141" s="1132"/>
      <c r="T141" s="1132"/>
      <c r="U141" s="1132"/>
      <c r="V141" s="1132"/>
      <c r="W141" s="1132"/>
      <c r="X141" s="1134"/>
      <c r="Y141" s="1134"/>
      <c r="Z141" s="1132"/>
      <c r="AA141" s="1134"/>
      <c r="AB141" s="1134"/>
      <c r="AC141" s="1132"/>
      <c r="AD141" s="1134"/>
      <c r="AE141" s="1134"/>
      <c r="AF141" s="1132"/>
      <c r="AG141" s="1134"/>
      <c r="AH141" s="1134"/>
      <c r="AI141" s="1134"/>
      <c r="AJ141" s="1134"/>
      <c r="AK141" s="1134"/>
      <c r="AL141" s="1134"/>
      <c r="AM141" s="1134"/>
      <c r="AN141" s="1134"/>
      <c r="AO141" s="28"/>
      <c r="AP141" s="30"/>
    </row>
    <row r="142" spans="2:44" x14ac:dyDescent="0.35">
      <c r="B142" s="839"/>
      <c r="C142" s="935"/>
      <c r="E142" s="1112"/>
      <c r="F142" s="1132"/>
      <c r="G142" s="1132"/>
      <c r="H142" s="1132"/>
      <c r="I142" s="1132"/>
      <c r="J142" s="1132"/>
      <c r="K142" s="1132"/>
      <c r="L142" s="1132"/>
      <c r="M142" s="1132"/>
      <c r="N142" s="1132"/>
      <c r="O142" s="1132"/>
      <c r="P142" s="1132"/>
      <c r="Q142" s="1132"/>
      <c r="R142" s="1132"/>
      <c r="S142" s="1132"/>
      <c r="T142" s="1132"/>
      <c r="U142" s="1132"/>
      <c r="V142" s="1132"/>
      <c r="W142" s="1134"/>
      <c r="X142" s="1132"/>
      <c r="Y142" s="1132"/>
      <c r="Z142" s="1132"/>
      <c r="AA142" s="1132"/>
      <c r="AB142" s="1132"/>
      <c r="AC142" s="1132"/>
      <c r="AD142" s="1132"/>
      <c r="AE142" s="1132"/>
      <c r="AF142" s="1132"/>
      <c r="AG142" s="1132"/>
      <c r="AH142" s="1132"/>
      <c r="AI142" s="1132"/>
      <c r="AJ142" s="1132"/>
      <c r="AK142" s="1132"/>
      <c r="AL142" s="1132"/>
      <c r="AM142" s="1042"/>
      <c r="AN142" s="1132"/>
      <c r="AO142" s="28"/>
      <c r="AP142" s="30"/>
    </row>
    <row r="143" spans="2:44" ht="14.5" customHeight="1" x14ac:dyDescent="0.35">
      <c r="C143" s="908"/>
      <c r="E143" s="1112" t="str">
        <f>+"Doctors Leveraged Cash Flow ("&amp;IFERROR(TEXT(F143,"0.00%)"),"0%)")</f>
        <v>Doctors Leveraged Cash Flow (0%)</v>
      </c>
      <c r="F143" s="329" t="e">
        <f>XIRR(H143:AN143,H109:AN109)</f>
        <v>#NUM!</v>
      </c>
      <c r="G143" s="1141"/>
      <c r="H143" s="330">
        <f>H114+H123</f>
        <v>0</v>
      </c>
      <c r="I143" s="330">
        <f t="shared" ref="I143:T143" si="330">I114+I123</f>
        <v>0</v>
      </c>
      <c r="J143" s="330">
        <f t="shared" si="330"/>
        <v>0</v>
      </c>
      <c r="K143" s="330">
        <f t="shared" si="330"/>
        <v>0</v>
      </c>
      <c r="L143" s="330">
        <f t="shared" si="330"/>
        <v>0</v>
      </c>
      <c r="M143" s="330">
        <f t="shared" si="330"/>
        <v>0</v>
      </c>
      <c r="N143" s="330">
        <f t="shared" si="330"/>
        <v>0</v>
      </c>
      <c r="O143" s="330">
        <f t="shared" si="330"/>
        <v>0</v>
      </c>
      <c r="P143" s="330">
        <f t="shared" si="330"/>
        <v>0</v>
      </c>
      <c r="Q143" s="330">
        <f t="shared" si="330"/>
        <v>0</v>
      </c>
      <c r="R143" s="330">
        <f t="shared" si="330"/>
        <v>0</v>
      </c>
      <c r="S143" s="330">
        <f t="shared" si="330"/>
        <v>0</v>
      </c>
      <c r="T143" s="330">
        <f t="shared" si="330"/>
        <v>0</v>
      </c>
      <c r="U143" s="330">
        <f t="shared" ref="U143:AK143" si="331">U114+U123</f>
        <v>0</v>
      </c>
      <c r="V143" s="330">
        <f t="shared" si="331"/>
        <v>0</v>
      </c>
      <c r="W143" s="330">
        <f t="shared" si="331"/>
        <v>0</v>
      </c>
      <c r="X143" s="330">
        <f t="shared" si="331"/>
        <v>0</v>
      </c>
      <c r="Y143" s="330">
        <f t="shared" si="331"/>
        <v>0</v>
      </c>
      <c r="Z143" s="330">
        <f t="shared" si="331"/>
        <v>0</v>
      </c>
      <c r="AA143" s="330">
        <f t="shared" si="331"/>
        <v>0</v>
      </c>
      <c r="AB143" s="330">
        <f t="shared" si="331"/>
        <v>0</v>
      </c>
      <c r="AC143" s="330">
        <f t="shared" si="331"/>
        <v>0</v>
      </c>
      <c r="AD143" s="330">
        <f t="shared" si="331"/>
        <v>0</v>
      </c>
      <c r="AE143" s="330">
        <f t="shared" si="331"/>
        <v>0</v>
      </c>
      <c r="AF143" s="330">
        <f t="shared" si="331"/>
        <v>0</v>
      </c>
      <c r="AG143" s="330">
        <f t="shared" si="331"/>
        <v>0</v>
      </c>
      <c r="AH143" s="330">
        <f t="shared" si="331"/>
        <v>0</v>
      </c>
      <c r="AI143" s="330">
        <f t="shared" si="331"/>
        <v>0</v>
      </c>
      <c r="AJ143" s="330">
        <f t="shared" si="331"/>
        <v>0</v>
      </c>
      <c r="AK143" s="330">
        <f t="shared" si="331"/>
        <v>0</v>
      </c>
      <c r="AL143" s="330">
        <f t="shared" ref="AL143:AN143" si="332">AL114+AL123</f>
        <v>0</v>
      </c>
      <c r="AM143" s="330">
        <f t="shared" si="332"/>
        <v>0</v>
      </c>
      <c r="AN143" s="330">
        <f t="shared" si="332"/>
        <v>0</v>
      </c>
      <c r="AO143" s="522"/>
      <c r="AP143" s="30"/>
    </row>
    <row r="144" spans="2:44" x14ac:dyDescent="0.35">
      <c r="C144" s="484"/>
      <c r="E144" s="1112" t="str">
        <f>+"Aspect Health Preferred Equity Levered Cash Flow ("&amp;IFERROR(TEXT(F144,"0.00%)"),"0%)")</f>
        <v>Aspect Health Preferred Equity Levered Cash Flow (8.96%)</v>
      </c>
      <c r="F144" s="329">
        <f>XIRR(H144:AN144,H109:AN109)</f>
        <v>8.9599493145942719E-2</v>
      </c>
      <c r="G144" s="1132"/>
      <c r="H144" s="330">
        <f t="shared" ref="H144:AM144" si="333">H61</f>
        <v>-3551440.2100000009</v>
      </c>
      <c r="I144" s="330">
        <f t="shared" si="333"/>
        <v>3601.61</v>
      </c>
      <c r="J144" s="330">
        <f t="shared" si="333"/>
        <v>4719.49</v>
      </c>
      <c r="K144" s="330">
        <f t="shared" si="333"/>
        <v>5969.57</v>
      </c>
      <c r="L144" s="330">
        <f t="shared" si="333"/>
        <v>4739.2700000000004</v>
      </c>
      <c r="M144" s="330">
        <f t="shared" si="333"/>
        <v>10661.99</v>
      </c>
      <c r="N144" s="330">
        <f t="shared" si="333"/>
        <v>32071.43</v>
      </c>
      <c r="O144" s="330">
        <f t="shared" si="333"/>
        <v>-35928.559999999998</v>
      </c>
      <c r="P144" s="330">
        <f t="shared" si="333"/>
        <v>21771.38</v>
      </c>
      <c r="Q144" s="330">
        <f t="shared" si="333"/>
        <v>19453.41</v>
      </c>
      <c r="R144" s="330">
        <f t="shared" si="333"/>
        <v>20612.39</v>
      </c>
      <c r="S144" s="330">
        <f t="shared" si="333"/>
        <v>19453.41</v>
      </c>
      <c r="T144" s="330">
        <f t="shared" si="333"/>
        <v>20612.39</v>
      </c>
      <c r="U144" s="330">
        <f t="shared" si="333"/>
        <v>19453.41</v>
      </c>
      <c r="V144" s="330">
        <f t="shared" si="333"/>
        <v>19453.41</v>
      </c>
      <c r="W144" s="330">
        <f t="shared" si="333"/>
        <v>20612.39</v>
      </c>
      <c r="X144" s="330">
        <f t="shared" si="333"/>
        <v>19453.41</v>
      </c>
      <c r="Y144" s="330">
        <f t="shared" si="333"/>
        <v>20612.39</v>
      </c>
      <c r="Z144" s="330">
        <f t="shared" si="333"/>
        <v>-35928.559999999998</v>
      </c>
      <c r="AA144" s="330">
        <f t="shared" si="333"/>
        <v>20561.05</v>
      </c>
      <c r="AB144" s="330">
        <f t="shared" si="333"/>
        <v>24038</v>
      </c>
      <c r="AC144" s="330">
        <f t="shared" si="333"/>
        <v>20561.05</v>
      </c>
      <c r="AD144" s="330">
        <f t="shared" si="333"/>
        <v>21720.03</v>
      </c>
      <c r="AE144" s="330">
        <f t="shared" si="333"/>
        <v>20561.05</v>
      </c>
      <c r="AF144" s="330">
        <f t="shared" si="333"/>
        <v>21720.03</v>
      </c>
      <c r="AG144" s="330">
        <f t="shared" si="333"/>
        <v>20561.05</v>
      </c>
      <c r="AH144" s="330">
        <f t="shared" si="333"/>
        <v>20561.05</v>
      </c>
      <c r="AI144" s="330">
        <f t="shared" si="333"/>
        <v>21720.03</v>
      </c>
      <c r="AJ144" s="330">
        <f t="shared" si="333"/>
        <v>20561.05</v>
      </c>
      <c r="AK144" s="330">
        <f t="shared" si="333"/>
        <v>-272049.96000000002</v>
      </c>
      <c r="AL144" s="330">
        <f t="shared" ref="AL144:AN144" si="334">AL115+AL130+AL139+AL132</f>
        <v>4220564.41</v>
      </c>
      <c r="AM144" s="330">
        <f t="shared" si="333"/>
        <v>0</v>
      </c>
      <c r="AN144" s="330">
        <f t="shared" si="334"/>
        <v>0</v>
      </c>
      <c r="AO144" s="28"/>
      <c r="AP144" s="30"/>
    </row>
    <row r="145" spans="3:42" x14ac:dyDescent="0.35">
      <c r="C145" s="908"/>
      <c r="E145" s="9" t="s">
        <v>635</v>
      </c>
      <c r="F145" s="2"/>
      <c r="G145" s="2"/>
      <c r="H145" s="330">
        <v>0</v>
      </c>
      <c r="I145" s="330">
        <f t="shared" ref="I145:T145" si="335">I137-I139</f>
        <v>0</v>
      </c>
      <c r="J145" s="330">
        <f t="shared" si="335"/>
        <v>0</v>
      </c>
      <c r="K145" s="330">
        <f t="shared" si="335"/>
        <v>0</v>
      </c>
      <c r="L145" s="330">
        <f t="shared" si="335"/>
        <v>0</v>
      </c>
      <c r="M145" s="330">
        <f t="shared" si="335"/>
        <v>0</v>
      </c>
      <c r="N145" s="330">
        <f t="shared" si="335"/>
        <v>0</v>
      </c>
      <c r="O145" s="330">
        <f t="shared" si="335"/>
        <v>0</v>
      </c>
      <c r="P145" s="330">
        <f t="shared" si="335"/>
        <v>0</v>
      </c>
      <c r="Q145" s="330">
        <f t="shared" si="335"/>
        <v>0</v>
      </c>
      <c r="R145" s="330">
        <f t="shared" si="335"/>
        <v>0</v>
      </c>
      <c r="S145" s="330">
        <f t="shared" si="335"/>
        <v>0</v>
      </c>
      <c r="T145" s="330">
        <f t="shared" si="335"/>
        <v>0</v>
      </c>
      <c r="U145" s="330">
        <f t="shared" ref="U145:AK145" si="336">U137-U139</f>
        <v>0</v>
      </c>
      <c r="V145" s="330">
        <f t="shared" si="336"/>
        <v>0</v>
      </c>
      <c r="W145" s="330">
        <f t="shared" si="336"/>
        <v>0</v>
      </c>
      <c r="X145" s="330">
        <f t="shared" si="336"/>
        <v>0</v>
      </c>
      <c r="Y145" s="330">
        <f t="shared" si="336"/>
        <v>0</v>
      </c>
      <c r="Z145" s="330">
        <f t="shared" si="336"/>
        <v>0</v>
      </c>
      <c r="AA145" s="330">
        <f t="shared" si="336"/>
        <v>0</v>
      </c>
      <c r="AB145" s="330">
        <f t="shared" si="336"/>
        <v>0</v>
      </c>
      <c r="AC145" s="330">
        <f t="shared" si="336"/>
        <v>0</v>
      </c>
      <c r="AD145" s="330">
        <f t="shared" si="336"/>
        <v>0</v>
      </c>
      <c r="AE145" s="330">
        <f t="shared" si="336"/>
        <v>0</v>
      </c>
      <c r="AF145" s="330">
        <f t="shared" si="336"/>
        <v>0</v>
      </c>
      <c r="AG145" s="330">
        <f t="shared" si="336"/>
        <v>0</v>
      </c>
      <c r="AH145" s="330">
        <f t="shared" si="336"/>
        <v>0</v>
      </c>
      <c r="AI145" s="330">
        <f t="shared" si="336"/>
        <v>0</v>
      </c>
      <c r="AJ145" s="330">
        <f t="shared" si="336"/>
        <v>0</v>
      </c>
      <c r="AK145" s="330">
        <f t="shared" si="336"/>
        <v>0</v>
      </c>
      <c r="AL145" s="330">
        <f t="shared" ref="AL145:AM145" si="337">AL137-AL139</f>
        <v>0</v>
      </c>
      <c r="AM145" s="330">
        <f t="shared" si="337"/>
        <v>0</v>
      </c>
      <c r="AN145" s="330">
        <f>AN137-AN139</f>
        <v>0</v>
      </c>
      <c r="AO145" s="28"/>
      <c r="AP145" s="30"/>
    </row>
    <row r="146" spans="3:42" ht="15" thickBot="1" x14ac:dyDescent="0.4">
      <c r="C146" s="10"/>
      <c r="E146" s="71" t="str">
        <f>+"Project-Level Levered IRR ("&amp;IFERROR(TEXT(F146,"0.00%)"),"0%)")</f>
        <v>Project-Level Levered IRR (8.96%)</v>
      </c>
      <c r="F146" s="934">
        <f>XIRR(H146:AN146,H109:AN109)</f>
        <v>8.9599493145942719E-2</v>
      </c>
      <c r="G146" s="65"/>
      <c r="H146" s="333">
        <f t="shared" ref="H146:AN146" si="338">H61</f>
        <v>-3551440.2100000009</v>
      </c>
      <c r="I146" s="333">
        <f t="shared" si="338"/>
        <v>3601.61</v>
      </c>
      <c r="J146" s="333">
        <f t="shared" si="338"/>
        <v>4719.49</v>
      </c>
      <c r="K146" s="333">
        <f t="shared" si="338"/>
        <v>5969.57</v>
      </c>
      <c r="L146" s="333">
        <f t="shared" si="338"/>
        <v>4739.2700000000004</v>
      </c>
      <c r="M146" s="333">
        <f t="shared" si="338"/>
        <v>10661.99</v>
      </c>
      <c r="N146" s="333">
        <f t="shared" si="338"/>
        <v>32071.43</v>
      </c>
      <c r="O146" s="333">
        <f t="shared" si="338"/>
        <v>-35928.559999999998</v>
      </c>
      <c r="P146" s="333">
        <f t="shared" si="338"/>
        <v>21771.38</v>
      </c>
      <c r="Q146" s="333">
        <f t="shared" si="338"/>
        <v>19453.41</v>
      </c>
      <c r="R146" s="333">
        <f t="shared" si="338"/>
        <v>20612.39</v>
      </c>
      <c r="S146" s="333">
        <f t="shared" si="338"/>
        <v>19453.41</v>
      </c>
      <c r="T146" s="333">
        <f t="shared" si="338"/>
        <v>20612.39</v>
      </c>
      <c r="U146" s="333">
        <f t="shared" si="338"/>
        <v>19453.41</v>
      </c>
      <c r="V146" s="333">
        <f t="shared" si="338"/>
        <v>19453.41</v>
      </c>
      <c r="W146" s="333">
        <f t="shared" si="338"/>
        <v>20612.39</v>
      </c>
      <c r="X146" s="333">
        <f t="shared" si="338"/>
        <v>19453.41</v>
      </c>
      <c r="Y146" s="333">
        <f t="shared" si="338"/>
        <v>20612.39</v>
      </c>
      <c r="Z146" s="333">
        <f t="shared" si="338"/>
        <v>-35928.559999999998</v>
      </c>
      <c r="AA146" s="333">
        <f t="shared" si="338"/>
        <v>20561.05</v>
      </c>
      <c r="AB146" s="333">
        <f t="shared" si="338"/>
        <v>24038</v>
      </c>
      <c r="AC146" s="333">
        <f t="shared" si="338"/>
        <v>20561.05</v>
      </c>
      <c r="AD146" s="333">
        <f t="shared" si="338"/>
        <v>21720.03</v>
      </c>
      <c r="AE146" s="333">
        <f t="shared" si="338"/>
        <v>20561.05</v>
      </c>
      <c r="AF146" s="333">
        <f t="shared" si="338"/>
        <v>21720.03</v>
      </c>
      <c r="AG146" s="333">
        <f t="shared" si="338"/>
        <v>20561.05</v>
      </c>
      <c r="AH146" s="333">
        <f t="shared" si="338"/>
        <v>20561.05</v>
      </c>
      <c r="AI146" s="333">
        <f t="shared" si="338"/>
        <v>21720.03</v>
      </c>
      <c r="AJ146" s="333">
        <f t="shared" si="338"/>
        <v>20561.05</v>
      </c>
      <c r="AK146" s="333">
        <f t="shared" si="338"/>
        <v>-272049.96000000002</v>
      </c>
      <c r="AL146" s="333">
        <f t="shared" si="338"/>
        <v>4220564.41</v>
      </c>
      <c r="AM146" s="333">
        <f t="shared" si="338"/>
        <v>0</v>
      </c>
      <c r="AN146" s="333">
        <f t="shared" si="338"/>
        <v>0</v>
      </c>
      <c r="AO146" s="354"/>
      <c r="AP146" s="1118"/>
    </row>
    <row r="147" spans="3:42" ht="15" thickBot="1" x14ac:dyDescent="0.4">
      <c r="C147" s="482"/>
    </row>
    <row r="148" spans="3:42" ht="15" thickBot="1" x14ac:dyDescent="0.4">
      <c r="E148" s="585" t="s">
        <v>298</v>
      </c>
      <c r="F148" s="586"/>
      <c r="G148" s="586"/>
      <c r="H148" s="586"/>
      <c r="I148" s="586"/>
      <c r="J148" s="586"/>
      <c r="K148" s="586"/>
      <c r="L148" s="586"/>
      <c r="M148" s="586"/>
      <c r="N148" s="586"/>
      <c r="O148" s="586"/>
      <c r="P148" s="586"/>
      <c r="Q148" s="586"/>
      <c r="R148" s="586"/>
      <c r="S148" s="586"/>
      <c r="T148" s="586"/>
      <c r="U148" s="586"/>
      <c r="V148" s="586"/>
      <c r="W148" s="586"/>
      <c r="X148" s="586"/>
      <c r="Y148" s="586"/>
      <c r="Z148" s="586"/>
      <c r="AA148" s="586"/>
      <c r="AB148" s="586"/>
      <c r="AC148" s="586"/>
      <c r="AD148" s="586"/>
      <c r="AE148" s="586"/>
      <c r="AF148" s="586"/>
      <c r="AG148" s="586"/>
      <c r="AH148" s="586"/>
      <c r="AI148" s="586"/>
      <c r="AJ148" s="586"/>
      <c r="AK148" s="586"/>
      <c r="AL148" s="586"/>
      <c r="AM148" s="586"/>
      <c r="AN148" s="586"/>
      <c r="AO148" s="596"/>
    </row>
    <row r="149" spans="3:42" ht="15" thickBot="1" x14ac:dyDescent="0.4">
      <c r="E149" s="23"/>
      <c r="F149" s="22"/>
      <c r="G149" s="22"/>
      <c r="H149" s="21">
        <f>0</f>
        <v>0</v>
      </c>
      <c r="I149" s="21">
        <f t="shared" ref="I149:O149" si="339">H149+1</f>
        <v>1</v>
      </c>
      <c r="J149" s="21">
        <f t="shared" si="339"/>
        <v>2</v>
      </c>
      <c r="K149" s="21">
        <f t="shared" si="339"/>
        <v>3</v>
      </c>
      <c r="L149" s="21">
        <f t="shared" si="339"/>
        <v>4</v>
      </c>
      <c r="M149" s="21">
        <f t="shared" si="339"/>
        <v>5</v>
      </c>
      <c r="N149" s="21">
        <f t="shared" si="339"/>
        <v>6</v>
      </c>
      <c r="O149" s="21">
        <f t="shared" si="339"/>
        <v>7</v>
      </c>
      <c r="P149" s="21">
        <f>O149+1</f>
        <v>8</v>
      </c>
      <c r="Q149" s="21">
        <f t="shared" ref="Q149:AK149" si="340">P149+1</f>
        <v>9</v>
      </c>
      <c r="R149" s="21">
        <f t="shared" si="340"/>
        <v>10</v>
      </c>
      <c r="S149" s="21">
        <f t="shared" si="340"/>
        <v>11</v>
      </c>
      <c r="T149" s="21">
        <f t="shared" si="340"/>
        <v>12</v>
      </c>
      <c r="U149" s="21">
        <f t="shared" si="340"/>
        <v>13</v>
      </c>
      <c r="V149" s="21">
        <f t="shared" si="340"/>
        <v>14</v>
      </c>
      <c r="W149" s="21">
        <f t="shared" si="340"/>
        <v>15</v>
      </c>
      <c r="X149" s="21">
        <f t="shared" si="340"/>
        <v>16</v>
      </c>
      <c r="Y149" s="21">
        <f t="shared" si="340"/>
        <v>17</v>
      </c>
      <c r="Z149" s="21">
        <f t="shared" si="340"/>
        <v>18</v>
      </c>
      <c r="AA149" s="21">
        <f t="shared" si="340"/>
        <v>19</v>
      </c>
      <c r="AB149" s="21">
        <f t="shared" si="340"/>
        <v>20</v>
      </c>
      <c r="AC149" s="21">
        <f t="shared" si="340"/>
        <v>21</v>
      </c>
      <c r="AD149" s="21">
        <f t="shared" si="340"/>
        <v>22</v>
      </c>
      <c r="AE149" s="21">
        <f t="shared" si="340"/>
        <v>23</v>
      </c>
      <c r="AF149" s="21">
        <f t="shared" si="340"/>
        <v>24</v>
      </c>
      <c r="AG149" s="21">
        <f t="shared" si="340"/>
        <v>25</v>
      </c>
      <c r="AH149" s="21">
        <f t="shared" si="340"/>
        <v>26</v>
      </c>
      <c r="AI149" s="21">
        <f t="shared" si="340"/>
        <v>27</v>
      </c>
      <c r="AJ149" s="21">
        <f t="shared" si="340"/>
        <v>28</v>
      </c>
      <c r="AK149" s="21">
        <f t="shared" si="340"/>
        <v>29</v>
      </c>
      <c r="AL149" s="21">
        <f t="shared" ref="AL149" si="341">AK149+1</f>
        <v>30</v>
      </c>
      <c r="AM149" s="21">
        <f t="shared" ref="AM149" si="342">AL149+1</f>
        <v>31</v>
      </c>
      <c r="AN149" s="21">
        <f t="shared" ref="AN149" si="343">AM149+1</f>
        <v>32</v>
      </c>
      <c r="AO149" s="20"/>
    </row>
    <row r="150" spans="3:42" x14ac:dyDescent="0.35">
      <c r="C150" s="908"/>
      <c r="E150" s="19"/>
      <c r="F150" s="18"/>
      <c r="G150" s="18"/>
      <c r="H150" s="17"/>
      <c r="I150" s="17"/>
      <c r="J150" s="17"/>
      <c r="K150" s="17"/>
      <c r="L150" s="17"/>
      <c r="M150" s="17"/>
      <c r="N150" s="17"/>
      <c r="O150" s="17"/>
      <c r="P150" s="17"/>
      <c r="Q150" s="17"/>
      <c r="R150" s="17"/>
      <c r="S150" s="17"/>
      <c r="T150" s="17"/>
      <c r="U150" s="17"/>
      <c r="V150" s="17"/>
      <c r="W150" s="17"/>
      <c r="X150" s="17"/>
      <c r="Y150" s="17"/>
      <c r="Z150" s="17"/>
      <c r="AA150" s="17"/>
      <c r="AB150" s="17"/>
      <c r="AC150" s="17"/>
      <c r="AD150" s="604"/>
      <c r="AE150" s="17"/>
      <c r="AF150" s="17"/>
      <c r="AG150" s="17"/>
      <c r="AH150" s="17"/>
      <c r="AI150" s="17"/>
      <c r="AJ150" s="17"/>
      <c r="AK150" s="17"/>
      <c r="AL150" s="17"/>
      <c r="AM150" s="17"/>
      <c r="AN150" s="17"/>
      <c r="AO150" s="516"/>
    </row>
    <row r="151" spans="3:42" x14ac:dyDescent="0.35">
      <c r="E151" s="16" t="s">
        <v>5</v>
      </c>
      <c r="F151" s="15"/>
      <c r="G151" s="587">
        <v>44229</v>
      </c>
      <c r="H151" s="14">
        <f t="shared" ref="H151:AN151" si="344">H7</f>
        <v>45120</v>
      </c>
      <c r="I151" s="14">
        <f t="shared" si="344"/>
        <v>45138</v>
      </c>
      <c r="J151" s="14">
        <f t="shared" si="344"/>
        <v>45169</v>
      </c>
      <c r="K151" s="14">
        <f t="shared" si="344"/>
        <v>45199</v>
      </c>
      <c r="L151" s="14">
        <f t="shared" si="344"/>
        <v>45230</v>
      </c>
      <c r="M151" s="14">
        <f t="shared" si="344"/>
        <v>45260</v>
      </c>
      <c r="N151" s="14">
        <f t="shared" si="344"/>
        <v>45291</v>
      </c>
      <c r="O151" s="14">
        <f t="shared" si="344"/>
        <v>45322</v>
      </c>
      <c r="P151" s="14">
        <f t="shared" si="344"/>
        <v>45351</v>
      </c>
      <c r="Q151" s="14">
        <f t="shared" si="344"/>
        <v>45382</v>
      </c>
      <c r="R151" s="14">
        <f t="shared" si="344"/>
        <v>45412</v>
      </c>
      <c r="S151" s="14">
        <f t="shared" si="344"/>
        <v>45443</v>
      </c>
      <c r="T151" s="14">
        <f t="shared" si="344"/>
        <v>45473</v>
      </c>
      <c r="U151" s="14">
        <f t="shared" si="344"/>
        <v>45504</v>
      </c>
      <c r="V151" s="14">
        <f t="shared" si="344"/>
        <v>45535</v>
      </c>
      <c r="W151" s="14">
        <f t="shared" si="344"/>
        <v>45565</v>
      </c>
      <c r="X151" s="14">
        <f t="shared" si="344"/>
        <v>45596</v>
      </c>
      <c r="Y151" s="14">
        <f t="shared" si="344"/>
        <v>45626</v>
      </c>
      <c r="Z151" s="14">
        <f t="shared" si="344"/>
        <v>45657</v>
      </c>
      <c r="AA151" s="14">
        <f t="shared" si="344"/>
        <v>45688</v>
      </c>
      <c r="AB151" s="14">
        <f t="shared" si="344"/>
        <v>45716</v>
      </c>
      <c r="AC151" s="14">
        <f t="shared" si="344"/>
        <v>45747</v>
      </c>
      <c r="AD151" s="14">
        <f t="shared" si="344"/>
        <v>45777</v>
      </c>
      <c r="AE151" s="14">
        <f t="shared" si="344"/>
        <v>45808</v>
      </c>
      <c r="AF151" s="14">
        <f t="shared" si="344"/>
        <v>45838</v>
      </c>
      <c r="AG151" s="14">
        <f t="shared" si="344"/>
        <v>45869</v>
      </c>
      <c r="AH151" s="14">
        <f t="shared" si="344"/>
        <v>45900</v>
      </c>
      <c r="AI151" s="14">
        <f t="shared" si="344"/>
        <v>45930</v>
      </c>
      <c r="AJ151" s="14">
        <f t="shared" si="344"/>
        <v>45961</v>
      </c>
      <c r="AK151" s="14">
        <f t="shared" si="344"/>
        <v>45991</v>
      </c>
      <c r="AL151" s="14">
        <f t="shared" si="344"/>
        <v>46022</v>
      </c>
      <c r="AM151" s="14">
        <f t="shared" si="344"/>
        <v>46053</v>
      </c>
      <c r="AN151" s="14">
        <f t="shared" si="344"/>
        <v>46081</v>
      </c>
      <c r="AO151" s="516"/>
    </row>
    <row r="152" spans="3:42" x14ac:dyDescent="0.35">
      <c r="E152" s="145"/>
      <c r="F152" s="357"/>
      <c r="G152" s="597"/>
      <c r="H152" s="331"/>
      <c r="I152" s="331"/>
      <c r="J152" s="331"/>
      <c r="K152" s="331"/>
      <c r="L152" s="331"/>
      <c r="M152" s="331"/>
      <c r="N152" s="331"/>
      <c r="O152" s="331"/>
      <c r="P152" s="331"/>
      <c r="Q152" s="331"/>
      <c r="R152" s="331"/>
      <c r="S152" s="331"/>
      <c r="T152" s="331"/>
      <c r="U152" s="331"/>
      <c r="V152" s="331"/>
      <c r="W152" s="331"/>
      <c r="X152" s="331"/>
      <c r="Y152" s="331"/>
      <c r="Z152" s="331"/>
      <c r="AA152" s="331"/>
      <c r="AB152" s="331"/>
      <c r="AC152" s="331"/>
      <c r="AD152" s="331"/>
      <c r="AE152" s="331"/>
      <c r="AF152" s="331"/>
      <c r="AG152" s="331"/>
      <c r="AH152" s="331"/>
      <c r="AI152" s="331"/>
      <c r="AJ152" s="331"/>
      <c r="AK152" s="331"/>
      <c r="AL152" s="331"/>
      <c r="AM152" s="331"/>
      <c r="AN152" s="331"/>
      <c r="AO152" s="516"/>
    </row>
    <row r="153" spans="3:42" x14ac:dyDescent="0.35">
      <c r="E153" s="1112" t="s">
        <v>299</v>
      </c>
      <c r="F153" s="1119"/>
      <c r="G153" s="1132"/>
      <c r="H153" s="588"/>
      <c r="I153" s="588">
        <f>((-SUM($H$61:I61)/((-SUM($H$61:I61)+(I74))))*$C$29)+(I74/(I74+(-SUM($H$61:I61)))*I81)</f>
        <v>8.57403529899953E-2</v>
      </c>
      <c r="J153" s="588">
        <f>((-SUM($H$61:J61)/((-SUM($H$61:J61)+(J74))))*$C$29)+(J74/(J74+(-SUM($H$61:J61)))*J81)</f>
        <v>8.6183279184545353E-2</v>
      </c>
      <c r="K153" s="588">
        <f>((-SUM($H$61:K61)/((-SUM($H$61:K61)+(K74))))*$C$29)+(K74/(K74+(-SUM($H$61:K61)))*K81)</f>
        <v>8.6234118563488657E-2</v>
      </c>
      <c r="L153" s="588">
        <f>((-SUM($H$61:L61)/((-SUM($H$61:L61)+(L74))))*$C$29)+(L74/(L74+(-SUM($H$61:L61)))*L81)</f>
        <v>8.6287911957782293E-2</v>
      </c>
      <c r="M153" s="588">
        <f>((-SUM($H$61:M61)/((-SUM($H$61:M61)+(M74))))*$C$29)+(M74/(M74+(-SUM($H$61:M61)))*M81)</f>
        <v>7.9889537390225557E-2</v>
      </c>
      <c r="N153" s="588">
        <f>((-SUM($H$61:N61)/((-SUM($H$61:N61)+(N74))))*$C$29)+(N74/(N74+(-SUM($H$61:N61)))*N81)</f>
        <v>7.9793350470239485E-2</v>
      </c>
      <c r="O153" s="588">
        <f>((-SUM($H$61:O61)/((-SUM($H$61:O61)+(O74))))*$C$29)+(O74/(O74+(-SUM($H$61:O61)))*O81)</f>
        <v>7.9901064237885844E-2</v>
      </c>
      <c r="P153" s="588">
        <f>((-SUM($H$61:P61)/((-SUM($H$61:P61)+(P74))))*$C$29)+(P74/(P74+(-SUM($H$61:P61)))*P81)</f>
        <v>7.9835885584039229E-2</v>
      </c>
      <c r="Q153" s="588">
        <f>((-SUM($H$61:Q61)/((-SUM($H$61:Q61)+(Q74))))*$C$29)+(Q74/(Q74+(-SUM($H$61:Q61)))*Q81)</f>
        <v>7.977740714802585E-2</v>
      </c>
      <c r="R153" s="588">
        <f>((-SUM($H$61:R61)/((-SUM($H$61:R61)+(R74))))*$C$29)+(R74/(R74+(-SUM($H$61:R61)))*R81)</f>
        <v>7.9715196813577541E-2</v>
      </c>
      <c r="S153" s="588">
        <f>((-SUM($H$61:S61)/((-SUM($H$61:S61)+(S74))))*$C$29)+(S74/(S74+(-SUM($H$61:S61)))*S81)</f>
        <v>7.9656249031386822E-2</v>
      </c>
      <c r="T153" s="588">
        <f>((-SUM($H$61:T61)/((-SUM($H$61:T61)+(T74))))*$C$29)+(T74/(T74+(-SUM($H$61:T61)))*T81)</f>
        <v>7.9593538394748364E-2</v>
      </c>
      <c r="U153" s="588">
        <f>((-SUM($H$61:U61)/((-SUM($H$61:U61)+(U74))))*$C$29)+(U74/(U74+(-SUM($H$61:U61)))*U81)</f>
        <v>7.9534115593182131E-2</v>
      </c>
      <c r="V153" s="588">
        <f>((-SUM($H$61:V61)/((-SUM($H$61:V61)+(V74))))*$C$29)+(V74/(V74+(-SUM($H$61:V61)))*V81)</f>
        <v>7.9474460079003079E-2</v>
      </c>
      <c r="W153" s="588">
        <f>((-SUM($H$61:W61)/((-SUM($H$61:W61)+(W74))))*$C$29)+(W74/(W74+(-SUM($H$61:W61)))*W81)</f>
        <v>7.9410995008825355E-2</v>
      </c>
      <c r="X153" s="588">
        <f>((-SUM($H$61:X61)/((-SUM($H$61:X61)+(X74))))*$C$29)+(X74/(X74+(-SUM($H$61:X61)))*X81)</f>
        <v>7.9350855877488607E-2</v>
      </c>
      <c r="Y153" s="588">
        <f>((-SUM($H$61:Y61)/((-SUM($H$61:Y61)+(Y74))))*$C$29)+(Y74/(Y74+(-SUM($H$61:Y61)))*Y81)</f>
        <v>7.928687526180947E-2</v>
      </c>
      <c r="Z153" s="588">
        <f>((-SUM($H$61:Z61)/((-SUM($H$61:Z61)+(Z74))))*$C$29)+(Z74/(Z74+(-SUM($H$61:Z61)))*Z81)</f>
        <v>7.9398224729528441E-2</v>
      </c>
      <c r="AA153" s="588">
        <f>((-SUM($H$61:AA61)/((-SUM($H$61:AA61)+(AA74))))*$C$29)+(AA74/(AA74+(-SUM($H$61:AA61)))*AA81)</f>
        <v>7.93346011297274E-2</v>
      </c>
      <c r="AB153" s="588">
        <f>((-SUM($H$61:AB61)/((-SUM($H$61:AB61)+(AB74))))*$C$29)+(AB74/(AB74+(-SUM($H$61:AB61)))*AB81)</f>
        <v>7.9259882278845728E-2</v>
      </c>
      <c r="AC153" s="588">
        <f>((-SUM($H$61:AC61)/((-SUM($H$61:AC61)+(AC74))))*$C$29)+(AC74/(AC74+(-SUM($H$61:AC61)))*AC81)</f>
        <v>7.9195681524751205E-2</v>
      </c>
      <c r="AD153" s="588">
        <f>((-SUM($H$61:AD61)/((-SUM($H$61:AD61)+(AD74))))*$C$29)+(AD74/(AD74+(-SUM($H$61:AD61)))*AD81)</f>
        <v>7.9127570008400094E-2</v>
      </c>
      <c r="AE153" s="588">
        <f>((-SUM($H$61:AE61)/((-SUM($H$61:AE61)+(AE74))))*$C$29)+(AE74/(AE74+(-SUM($H$61:AE61)))*AE81)</f>
        <v>7.9062814814282831E-2</v>
      </c>
      <c r="AF153" s="588">
        <f>((-SUM($H$61:AF61)/((-SUM($H$61:AF61)+(AF74))))*$C$29)+(AF74/(AF74+(-SUM($H$61:AF61)))*AF81)</f>
        <v>7.8994113811648572E-2</v>
      </c>
      <c r="AG153" s="588">
        <f>((-SUM($H$61:AG61)/((-SUM($H$61:AG61)+(AG74))))*$C$29)+(AG74/(AG74+(-SUM($H$61:AG61)))*AG81)</f>
        <v>7.8928796964123665E-2</v>
      </c>
      <c r="AH153" s="588">
        <f>((-SUM($H$61:AH61)/((-SUM($H$61:AH61)+(AH74))))*$C$29)+(AH74/(AH74+(-SUM($H$61:AH61)))*AH81)</f>
        <v>7.8863204343355933E-2</v>
      </c>
      <c r="AI153" s="588">
        <f>((-SUM($H$61:AI61)/((-SUM($H$61:AI61)+(AI74))))*$C$29)+(AI74/(AI74+(-SUM($H$61:AI61)))*AI81)</f>
        <v>7.8793612949201883E-2</v>
      </c>
      <c r="AJ153" s="588">
        <f>((-SUM($H$61:AJ61)/((-SUM($H$61:AJ61)+(AJ74))))*$C$29)+(AJ74/(AJ74+(-SUM($H$61:AJ61)))*AJ81)</f>
        <v>7.8727447720785007E-2</v>
      </c>
      <c r="AK153" s="588">
        <f>((-SUM($H$61:AK61)/((-SUM($H$61:AK61)+(AK74))))*$C$29)+(AK74/(AK74+(-SUM($H$61:AK61)))*AK81)</f>
        <v>7.958081746579157E-2</v>
      </c>
      <c r="AL153" s="588"/>
      <c r="AM153" s="588"/>
      <c r="AN153" s="588"/>
      <c r="AO153" s="516"/>
    </row>
    <row r="154" spans="3:42" ht="15" thickBot="1" x14ac:dyDescent="0.4">
      <c r="E154" s="1127" t="s">
        <v>300</v>
      </c>
      <c r="F154" s="1128"/>
      <c r="G154" s="1147"/>
      <c r="H154" s="589"/>
      <c r="I154" s="590">
        <f>(((I12-I13)/SF)*12)/((I74+I95-I117-'Property CF'!I135)/SF)</f>
        <v>3.1795699244183552E-2</v>
      </c>
      <c r="J154" s="590">
        <f>(((J12-J13)/SF)*12)/((J74+J95-J117-'Property CF'!J135)/SF)</f>
        <v>5.2105418315036137E-2</v>
      </c>
      <c r="K154" s="590">
        <f>(((K12-K13)/SF)*12)/((K74+K95-K117-'Property CF'!K135)/SF)</f>
        <v>5.1971425142553589E-2</v>
      </c>
      <c r="L154" s="590">
        <f>(((L12-L13)/SF)*12)/((L74+L95-L117-'Property CF'!L135)/SF)</f>
        <v>5.1817847641461634E-2</v>
      </c>
      <c r="M154" s="590">
        <f>(((M12-M13)/SF)*12)/((M74+M95-M117-'Property CF'!M135)/SF)</f>
        <v>5.170906700912023E-2</v>
      </c>
      <c r="N154" s="590">
        <f>(((N12-N13)/SF)*12)/((N74+N95-N117-'Property CF'!N135)/SF)</f>
        <v>-5.8735975121986938E-4</v>
      </c>
      <c r="O154" s="590">
        <f>(((O12-O13)/SF)*12)/((O74+O95-O117-'Property CF'!O135)/SF)</f>
        <v>-5.832384716513841E-4</v>
      </c>
      <c r="P154" s="590">
        <f>(((P12-P13)/SF)*12)/((P74+P95-P117-'Property CF'!P135)/SF)</f>
        <v>6.2656593673096547E-2</v>
      </c>
      <c r="Q154" s="590">
        <f>(((Q12-Q13)/SF)*12)/((Q74+Q95-Q117-'Property CF'!Q135)/SF)</f>
        <v>6.2573199199348922E-2</v>
      </c>
      <c r="R154" s="590">
        <f>(((R12-R13)/SF)*12)/((R74+R95-R117-'Property CF'!R135)/SF)</f>
        <v>6.2470218330617534E-2</v>
      </c>
      <c r="S154" s="590">
        <f>(((S12-S13)/SF)*12)/((S74+S95-S117-'Property CF'!S135)/SF)</f>
        <v>6.2387318913315795E-2</v>
      </c>
      <c r="T154" s="590">
        <f>(((T12-T13)/SF)*12)/((T74+T95-T117-'Property CF'!T135)/SF)</f>
        <v>6.2318052782192344E-2</v>
      </c>
      <c r="U154" s="590">
        <f>(((U12-U13)/SF)*12)/((U74+U95-U117-'Property CF'!U135)/SF)</f>
        <v>6.219504988843734E-2</v>
      </c>
      <c r="V154" s="590">
        <f>(((V12-V13)/SF)*12)/((V74+V95-V117-'Property CF'!V135)/SF)</f>
        <v>6.210132555125808E-2</v>
      </c>
      <c r="W154" s="590">
        <f>(((W12-W13)/SF)*12)/((W74+W95-W117-'Property CF'!W135)/SF)</f>
        <v>6.2032679914944419E-2</v>
      </c>
      <c r="X154" s="590">
        <f>(((X12-X13)/SF)*12)/((X74+X95-X117-'Property CF'!X135)/SF)</f>
        <v>6.1903541455436882E-2</v>
      </c>
      <c r="Y154" s="590">
        <f>(((Y12-Y13)/SF)*12)/((Y74+Y95-Y117-'Property CF'!Y135)/SF)</f>
        <v>6.1835332136330412E-2</v>
      </c>
      <c r="Z154" s="590">
        <f>(((Z12-Z13)/SF)*12)/((Z74+Z95-Z117-'Property CF'!Z135)/SF)</f>
        <v>-5.8282610715267697E-4</v>
      </c>
      <c r="AA154" s="590">
        <f>(((AA12-AA13)/SF)*12)/((AA74+AA95-AA117-'Property CF'!AA135)/SF)</f>
        <v>6.2529871498519254E-2</v>
      </c>
      <c r="AB154" s="590">
        <f>(((AB12-AB13)/SF)*12)/((AB74+AB95-AB117-'Property CF'!AB135)/SF)</f>
        <v>6.2494662623935424E-2</v>
      </c>
      <c r="AC154" s="590">
        <f>(((AC12-AC13)/SF)*12)/((AC74+AC95-AC117-'Property CF'!AC135)/SF)</f>
        <v>6.2419879055747307E-2</v>
      </c>
      <c r="AD154" s="590">
        <f>(((AD12-AD13)/SF)*12)/((AD74+AD95-AD117-'Property CF'!AD135)/SF)</f>
        <v>6.2291026938076227E-2</v>
      </c>
      <c r="AE154" s="590">
        <f>(((AE12-AE13)/SF)*12)/((AE74+AE95-AE117-'Property CF'!AE135)/SF)</f>
        <v>6.2216729643096762E-2</v>
      </c>
      <c r="AF154" s="590">
        <f>(((AF12-AF13)/SF)*12)/((AF74+AF95-AF117-'Property CF'!AF135)/SF)</f>
        <v>6.215569154805476E-2</v>
      </c>
      <c r="AG154" s="590">
        <f>(((AG12-AG13)/SF)*12)/((AG74+AG95-AG117-'Property CF'!AG135)/SF)</f>
        <v>6.200564006727223E-2</v>
      </c>
      <c r="AH154" s="590">
        <f>(((AH12-AH13)/SF)*12)/((AH74+AH95-AH117-'Property CF'!AH135)/SF)</f>
        <v>6.1920502096862763E-2</v>
      </c>
      <c r="AI154" s="590">
        <f>(((AI12-AI13)/SF)*12)/((AI74+AI95-AI117-'Property CF'!AI135)/SF)</f>
        <v>6.1860032330810485E-2</v>
      </c>
      <c r="AJ154" s="590">
        <f>(((AJ12-AJ13)/SF)*12)/((AJ74+AJ95-AJ117-'Property CF'!AJ135)/SF)</f>
        <v>6.170387519501281E-2</v>
      </c>
      <c r="AK154" s="590">
        <f>(((AK12-AK13)/SF)*12)/((AK74+AK95-AK117-'Property CF'!AK135)/SF)</f>
        <v>5.9978399414649171E-2</v>
      </c>
      <c r="AL154" s="590"/>
      <c r="AM154" s="590"/>
      <c r="AN154" s="590"/>
      <c r="AO154" s="517"/>
    </row>
    <row r="155" spans="3:42" ht="15" thickBot="1" x14ac:dyDescent="0.4">
      <c r="AL155" s="1062"/>
      <c r="AO155" s="43"/>
    </row>
    <row r="156" spans="3:42" x14ac:dyDescent="0.35">
      <c r="E156" s="1129" t="s">
        <v>630</v>
      </c>
      <c r="F156" s="1102"/>
      <c r="G156" s="1102"/>
      <c r="H156" s="1102"/>
      <c r="I156" s="591">
        <f t="shared" ref="I156:AK156" si="345">-I129</f>
        <v>19265.346892602745</v>
      </c>
      <c r="J156" s="591">
        <f t="shared" si="345"/>
        <v>33179.208537260289</v>
      </c>
      <c r="K156" s="591">
        <f t="shared" si="345"/>
        <v>32108.911487671241</v>
      </c>
      <c r="L156" s="591">
        <f t="shared" si="345"/>
        <v>33179.208537260289</v>
      </c>
      <c r="M156" s="591">
        <f t="shared" si="345"/>
        <v>32108.911487671241</v>
      </c>
      <c r="N156" s="591">
        <f t="shared" si="345"/>
        <v>33179.208537260289</v>
      </c>
      <c r="O156" s="591">
        <f t="shared" si="345"/>
        <v>33179.208537260289</v>
      </c>
      <c r="P156" s="591">
        <f t="shared" si="345"/>
        <v>31038.614438082204</v>
      </c>
      <c r="Q156" s="591">
        <f t="shared" si="345"/>
        <v>33179.208537260289</v>
      </c>
      <c r="R156" s="591">
        <f t="shared" si="345"/>
        <v>32108.911487671241</v>
      </c>
      <c r="S156" s="591">
        <f t="shared" si="345"/>
        <v>33179.208537260289</v>
      </c>
      <c r="T156" s="591">
        <f t="shared" si="345"/>
        <v>32108.911487671241</v>
      </c>
      <c r="U156" s="591">
        <f t="shared" si="345"/>
        <v>33179.208537260289</v>
      </c>
      <c r="V156" s="591">
        <f t="shared" si="345"/>
        <v>33179.208537260289</v>
      </c>
      <c r="W156" s="591">
        <f t="shared" si="345"/>
        <v>32108.911487671241</v>
      </c>
      <c r="X156" s="591">
        <f t="shared" si="345"/>
        <v>33179.208537260289</v>
      </c>
      <c r="Y156" s="591">
        <f t="shared" si="345"/>
        <v>32108.911487671241</v>
      </c>
      <c r="Z156" s="591">
        <f t="shared" si="345"/>
        <v>33179.208537260289</v>
      </c>
      <c r="AA156" s="591">
        <f t="shared" si="345"/>
        <v>33179.208537260289</v>
      </c>
      <c r="AB156" s="591">
        <f t="shared" si="345"/>
        <v>29968.317388493157</v>
      </c>
      <c r="AC156" s="591">
        <f t="shared" si="345"/>
        <v>33179.208537260289</v>
      </c>
      <c r="AD156" s="591">
        <f t="shared" si="345"/>
        <v>32108.911487671241</v>
      </c>
      <c r="AE156" s="591">
        <f t="shared" si="345"/>
        <v>33179.208537260289</v>
      </c>
      <c r="AF156" s="591">
        <f t="shared" si="345"/>
        <v>32108.911487671241</v>
      </c>
      <c r="AG156" s="591">
        <f t="shared" si="345"/>
        <v>33179.208537260289</v>
      </c>
      <c r="AH156" s="591">
        <f t="shared" si="345"/>
        <v>33179.208537260289</v>
      </c>
      <c r="AI156" s="591">
        <f t="shared" si="345"/>
        <v>32108.911487671241</v>
      </c>
      <c r="AJ156" s="591">
        <f t="shared" si="345"/>
        <v>33179.208537260289</v>
      </c>
      <c r="AK156" s="591">
        <f t="shared" si="345"/>
        <v>34764.914227397268</v>
      </c>
      <c r="AL156" s="591"/>
      <c r="AM156" s="591"/>
      <c r="AN156" s="591"/>
      <c r="AO156" s="595"/>
    </row>
    <row r="157" spans="3:42" x14ac:dyDescent="0.35">
      <c r="E157" s="1112" t="s">
        <v>631</v>
      </c>
      <c r="F157" s="1132"/>
      <c r="G157" s="1132"/>
      <c r="H157" s="1132"/>
      <c r="I157" s="1176">
        <f>SUM($I$156:I156)</f>
        <v>19265.346892602745</v>
      </c>
      <c r="J157" s="1176">
        <f>SUM($I$156:J156)</f>
        <v>52444.55542986303</v>
      </c>
      <c r="K157" s="1176">
        <f>SUM($I$156:K156)</f>
        <v>84553.466917534271</v>
      </c>
      <c r="L157" s="1176">
        <f>SUM($I$156:L156)</f>
        <v>117732.67545479456</v>
      </c>
      <c r="M157" s="1176">
        <f>SUM($I$156:M156)</f>
        <v>149841.5869424658</v>
      </c>
      <c r="N157" s="1176">
        <f>SUM($I$156:N156)</f>
        <v>183020.7954797261</v>
      </c>
      <c r="O157" s="1176">
        <f>SUM($I$156:O156)</f>
        <v>216200.00401698641</v>
      </c>
      <c r="P157" s="1176">
        <f>SUM($I$156:P156)</f>
        <v>247238.61845506862</v>
      </c>
      <c r="Q157" s="1176">
        <f>SUM($I$156:Q156)</f>
        <v>280417.82699232892</v>
      </c>
      <c r="R157" s="1176">
        <f>SUM($I$156:R156)</f>
        <v>312526.73848000017</v>
      </c>
      <c r="S157" s="1176">
        <f>SUM($I$156:S156)</f>
        <v>345705.94701726048</v>
      </c>
      <c r="T157" s="1176">
        <f>SUM($I$156:T156)</f>
        <v>377814.85850493173</v>
      </c>
      <c r="U157" s="1176">
        <f>SUM($I$156:U156)</f>
        <v>410994.06704219204</v>
      </c>
      <c r="V157" s="1176">
        <f>SUM($I$156:V156)</f>
        <v>444173.27557945234</v>
      </c>
      <c r="W157" s="1176">
        <f>SUM($I$156:W156)</f>
        <v>476282.1870671236</v>
      </c>
      <c r="X157" s="1176">
        <f>SUM($I$156:X156)</f>
        <v>509461.3956043839</v>
      </c>
      <c r="Y157" s="1176">
        <f>SUM($I$156:Y156)</f>
        <v>541570.3070920551</v>
      </c>
      <c r="Z157" s="1176">
        <f>SUM($I$156:Z156)</f>
        <v>574749.5156293154</v>
      </c>
      <c r="AA157" s="1176">
        <f>SUM($I$156:AA156)</f>
        <v>607928.7241665757</v>
      </c>
      <c r="AB157" s="1176">
        <f>SUM($I$156:AB156)</f>
        <v>637897.0415550688</v>
      </c>
      <c r="AC157" s="1176">
        <f>SUM($I$156:AC156)</f>
        <v>671076.25009232911</v>
      </c>
      <c r="AD157" s="1176">
        <f>SUM($I$156:AD156)</f>
        <v>703185.16158000031</v>
      </c>
      <c r="AE157" s="1176">
        <f>SUM($I$156:AE156)</f>
        <v>736364.37011726061</v>
      </c>
      <c r="AF157" s="1176">
        <f>SUM($I$156:AF156)</f>
        <v>768473.28160493181</v>
      </c>
      <c r="AG157" s="1176">
        <f>SUM($I$156:AG156)</f>
        <v>801652.49014219211</v>
      </c>
      <c r="AH157" s="1176">
        <f>SUM($I$156:AH156)</f>
        <v>834831.69867945241</v>
      </c>
      <c r="AI157" s="1176">
        <f>SUM($I$156:AI156)</f>
        <v>866940.61016712361</v>
      </c>
      <c r="AJ157" s="1176">
        <f>SUM($I$156:AJ156)</f>
        <v>900119.81870438391</v>
      </c>
      <c r="AK157" s="1176">
        <f>SUM($I$156:AK156)</f>
        <v>934884.73293178121</v>
      </c>
      <c r="AL157" s="1176"/>
      <c r="AM157" s="1176"/>
      <c r="AN157" s="1176"/>
      <c r="AO157" s="516"/>
    </row>
    <row r="158" spans="3:42" x14ac:dyDescent="0.35">
      <c r="E158" s="1112" t="s">
        <v>301</v>
      </c>
      <c r="F158" s="1132"/>
      <c r="G158" s="1132"/>
      <c r="H158" s="1132"/>
      <c r="I158" s="1177">
        <f t="shared" ref="I158:AK158" si="346">I132</f>
        <v>10601.61193548387</v>
      </c>
      <c r="J158" s="1177">
        <f t="shared" si="346"/>
        <v>4719.489999999998</v>
      </c>
      <c r="K158" s="1177">
        <f t="shared" si="346"/>
        <v>5969.5799999999945</v>
      </c>
      <c r="L158" s="1177">
        <f t="shared" si="346"/>
        <v>4739.2799999999916</v>
      </c>
      <c r="M158" s="1177">
        <f t="shared" si="346"/>
        <v>10661.996666666659</v>
      </c>
      <c r="N158" s="1177">
        <f t="shared" si="346"/>
        <v>32071.430555555555</v>
      </c>
      <c r="O158" s="1177">
        <f t="shared" si="346"/>
        <v>-35928.569444444445</v>
      </c>
      <c r="P158" s="1177">
        <f t="shared" si="346"/>
        <v>21771.382630268316</v>
      </c>
      <c r="Q158" s="1177">
        <f t="shared" si="346"/>
        <v>19453.410408046097</v>
      </c>
      <c r="R158" s="1177">
        <f t="shared" si="346"/>
        <v>20612.396519157206</v>
      </c>
      <c r="S158" s="1177">
        <f t="shared" si="346"/>
        <v>19453.410408046097</v>
      </c>
      <c r="T158" s="1177">
        <f t="shared" si="346"/>
        <v>20612.396519157206</v>
      </c>
      <c r="U158" s="1177">
        <f t="shared" si="346"/>
        <v>19453.410408046097</v>
      </c>
      <c r="V158" s="1177">
        <f t="shared" si="346"/>
        <v>19453.410408046097</v>
      </c>
      <c r="W158" s="1177">
        <f t="shared" si="346"/>
        <v>20612.396519157206</v>
      </c>
      <c r="X158" s="1177">
        <f t="shared" si="346"/>
        <v>19453.410408046097</v>
      </c>
      <c r="Y158" s="1177">
        <f t="shared" si="346"/>
        <v>20612.396519157206</v>
      </c>
      <c r="Z158" s="1177">
        <f t="shared" si="346"/>
        <v>-35928.569444444445</v>
      </c>
      <c r="AA158" s="1177">
        <f t="shared" si="346"/>
        <v>20561.050005095909</v>
      </c>
      <c r="AB158" s="1177">
        <f t="shared" si="346"/>
        <v>24038.008338429237</v>
      </c>
      <c r="AC158" s="1177">
        <f t="shared" si="346"/>
        <v>20561.050005095909</v>
      </c>
      <c r="AD158" s="1177">
        <f t="shared" si="346"/>
        <v>21720.036116207018</v>
      </c>
      <c r="AE158" s="1177">
        <f t="shared" si="346"/>
        <v>20561.050005095909</v>
      </c>
      <c r="AF158" s="1177">
        <f t="shared" si="346"/>
        <v>21720.036116207018</v>
      </c>
      <c r="AG158" s="1177">
        <f t="shared" si="346"/>
        <v>20561.050005095909</v>
      </c>
      <c r="AH158" s="1177">
        <f t="shared" si="346"/>
        <v>20561.050005095909</v>
      </c>
      <c r="AI158" s="1177">
        <f t="shared" si="346"/>
        <v>21720.036116207018</v>
      </c>
      <c r="AJ158" s="1177">
        <f t="shared" si="346"/>
        <v>20561.050005095909</v>
      </c>
      <c r="AK158" s="1177">
        <f t="shared" si="346"/>
        <v>21720.036116207018</v>
      </c>
      <c r="AL158" s="1177"/>
      <c r="AM158" s="1177"/>
      <c r="AN158" s="1177"/>
      <c r="AO158" s="516"/>
    </row>
    <row r="159" spans="3:42" x14ac:dyDescent="0.35">
      <c r="E159" s="1112" t="s">
        <v>302</v>
      </c>
      <c r="F159" s="1132"/>
      <c r="G159" s="1132"/>
      <c r="H159" s="1132"/>
      <c r="I159" s="1176">
        <f>SUM($I$158:I158)</f>
        <v>10601.61193548387</v>
      </c>
      <c r="J159" s="1176">
        <f>SUM($I$158:J158)</f>
        <v>15321.101935483868</v>
      </c>
      <c r="K159" s="1176">
        <f>SUM($I$158:K158)</f>
        <v>21290.681935483863</v>
      </c>
      <c r="L159" s="1176">
        <f>SUM($I$158:L158)</f>
        <v>26029.961935483854</v>
      </c>
      <c r="M159" s="1176">
        <f>SUM($I$158:M158)</f>
        <v>36691.958602150509</v>
      </c>
      <c r="N159" s="1176">
        <f>SUM($I$158:N158)</f>
        <v>68763.389157706057</v>
      </c>
      <c r="O159" s="1176">
        <f>SUM($I$158:O158)</f>
        <v>32834.819713261611</v>
      </c>
      <c r="P159" s="1176">
        <f>SUM($I$158:P158)</f>
        <v>54606.202343529927</v>
      </c>
      <c r="Q159" s="1176">
        <f>SUM($I$158:Q158)</f>
        <v>74059.612751576031</v>
      </c>
      <c r="R159" s="1176">
        <f>SUM($I$158:R158)</f>
        <v>94672.009270733237</v>
      </c>
      <c r="S159" s="1176">
        <f>SUM($I$158:S158)</f>
        <v>114125.41967877933</v>
      </c>
      <c r="T159" s="1176">
        <f>SUM($I$158:T158)</f>
        <v>134737.81619793654</v>
      </c>
      <c r="U159" s="1176">
        <f>SUM($I$158:U158)</f>
        <v>154191.22660598264</v>
      </c>
      <c r="V159" s="1176">
        <f>SUM($I$158:V158)</f>
        <v>173644.63701402873</v>
      </c>
      <c r="W159" s="1176">
        <f>SUM($I$158:W158)</f>
        <v>194257.03353318595</v>
      </c>
      <c r="X159" s="1176">
        <f>SUM($I$158:X158)</f>
        <v>213710.44394123205</v>
      </c>
      <c r="Y159" s="1176">
        <f>SUM($I$158:Y158)</f>
        <v>234322.84046038927</v>
      </c>
      <c r="Z159" s="1176">
        <f>SUM($I$158:Z158)</f>
        <v>198394.27101594483</v>
      </c>
      <c r="AA159" s="1176">
        <f>SUM($I$158:AA158)</f>
        <v>218955.32102104073</v>
      </c>
      <c r="AB159" s="1176">
        <f>SUM($I$158:AB158)</f>
        <v>242993.32935946996</v>
      </c>
      <c r="AC159" s="1176">
        <f>SUM($I$158:AC158)</f>
        <v>263554.37936456589</v>
      </c>
      <c r="AD159" s="1176">
        <f>SUM($I$158:AD158)</f>
        <v>285274.41548077291</v>
      </c>
      <c r="AE159" s="1176">
        <f>SUM($I$158:AE158)</f>
        <v>305835.4654858688</v>
      </c>
      <c r="AF159" s="1176">
        <f>SUM($I$158:AF158)</f>
        <v>327555.50160207582</v>
      </c>
      <c r="AG159" s="1176">
        <f>SUM($I$158:AG158)</f>
        <v>348116.55160717171</v>
      </c>
      <c r="AH159" s="1176">
        <f>SUM($I$158:AH158)</f>
        <v>368677.60161226761</v>
      </c>
      <c r="AI159" s="1176">
        <f>SUM($I$158:AI158)</f>
        <v>390397.63772847463</v>
      </c>
      <c r="AJ159" s="1176">
        <f>SUM($I$158:AJ158)</f>
        <v>410958.68773357052</v>
      </c>
      <c r="AK159" s="1176">
        <f>SUM($I$158:AK158)</f>
        <v>432678.72384977754</v>
      </c>
      <c r="AL159" s="1176"/>
      <c r="AM159" s="1176"/>
      <c r="AN159" s="1176"/>
      <c r="AO159" s="516"/>
    </row>
    <row r="160" spans="3:42" x14ac:dyDescent="0.35">
      <c r="E160" s="1112" t="s">
        <v>303</v>
      </c>
      <c r="F160" s="1132"/>
      <c r="G160" s="1132"/>
      <c r="H160" s="1132"/>
      <c r="I160" s="1176">
        <f t="shared" ref="I160:AK160" si="347">I159-I157</f>
        <v>-8663.7349571188752</v>
      </c>
      <c r="J160" s="1176">
        <f t="shared" si="347"/>
        <v>-37123.453494379166</v>
      </c>
      <c r="K160" s="1176">
        <f t="shared" si="347"/>
        <v>-63262.784982050405</v>
      </c>
      <c r="L160" s="1176">
        <f t="shared" si="347"/>
        <v>-91702.71351931071</v>
      </c>
      <c r="M160" s="1176">
        <f t="shared" si="347"/>
        <v>-113149.62834031529</v>
      </c>
      <c r="N160" s="1176">
        <f t="shared" si="347"/>
        <v>-114257.40632202005</v>
      </c>
      <c r="O160" s="1176">
        <f t="shared" si="347"/>
        <v>-183365.18430372479</v>
      </c>
      <c r="P160" s="1176">
        <f t="shared" si="347"/>
        <v>-192632.41611153868</v>
      </c>
      <c r="Q160" s="1176">
        <f t="shared" si="347"/>
        <v>-206358.21424075289</v>
      </c>
      <c r="R160" s="1176">
        <f t="shared" si="347"/>
        <v>-217854.72920926695</v>
      </c>
      <c r="S160" s="1176">
        <f t="shared" si="347"/>
        <v>-231580.52733848116</v>
      </c>
      <c r="T160" s="1176">
        <f t="shared" si="347"/>
        <v>-243077.04230699519</v>
      </c>
      <c r="U160" s="1176">
        <f t="shared" si="347"/>
        <v>-256802.8404362094</v>
      </c>
      <c r="V160" s="1176">
        <f t="shared" si="347"/>
        <v>-270528.63856542361</v>
      </c>
      <c r="W160" s="1176">
        <f t="shared" si="347"/>
        <v>-282025.15353393764</v>
      </c>
      <c r="X160" s="1176">
        <f t="shared" si="347"/>
        <v>-295750.95166315185</v>
      </c>
      <c r="Y160" s="1176">
        <f t="shared" si="347"/>
        <v>-307247.46663166583</v>
      </c>
      <c r="Z160" s="1176">
        <f t="shared" si="347"/>
        <v>-376355.24461337057</v>
      </c>
      <c r="AA160" s="1176">
        <f t="shared" si="347"/>
        <v>-388973.40314553498</v>
      </c>
      <c r="AB160" s="1176">
        <f t="shared" si="347"/>
        <v>-394903.71219559887</v>
      </c>
      <c r="AC160" s="1176">
        <f t="shared" si="347"/>
        <v>-407521.87072776322</v>
      </c>
      <c r="AD160" s="1176">
        <f t="shared" si="347"/>
        <v>-417910.7460992274</v>
      </c>
      <c r="AE160" s="1176">
        <f t="shared" si="347"/>
        <v>-430528.90463139181</v>
      </c>
      <c r="AF160" s="1176">
        <f t="shared" si="347"/>
        <v>-440917.78000285599</v>
      </c>
      <c r="AG160" s="1176">
        <f t="shared" si="347"/>
        <v>-453535.9385350204</v>
      </c>
      <c r="AH160" s="1176">
        <f t="shared" si="347"/>
        <v>-466154.0970671848</v>
      </c>
      <c r="AI160" s="1176">
        <f t="shared" si="347"/>
        <v>-476542.97243864898</v>
      </c>
      <c r="AJ160" s="1176">
        <f t="shared" si="347"/>
        <v>-489161.13097081339</v>
      </c>
      <c r="AK160" s="1176">
        <f t="shared" si="347"/>
        <v>-502206.00908200367</v>
      </c>
      <c r="AL160" s="1176"/>
      <c r="AM160" s="1176"/>
      <c r="AN160" s="1176"/>
      <c r="AO160" s="516"/>
    </row>
    <row r="161" spans="5:44" x14ac:dyDescent="0.35">
      <c r="E161" s="1112"/>
      <c r="F161" s="1132"/>
      <c r="G161" s="1132"/>
      <c r="H161" s="1132"/>
      <c r="I161" s="1132"/>
      <c r="J161" s="1132"/>
      <c r="K161" s="1132"/>
      <c r="L161" s="1132"/>
      <c r="M161" s="1132"/>
      <c r="N161" s="1132"/>
      <c r="O161" s="1132"/>
      <c r="P161" s="1132"/>
      <c r="Q161" s="1132"/>
      <c r="R161" s="1132"/>
      <c r="S161" s="1132"/>
      <c r="T161" s="1132"/>
      <c r="U161" s="1132"/>
      <c r="V161" s="1132"/>
      <c r="W161" s="1132"/>
      <c r="X161" s="1132"/>
      <c r="Y161" s="1132"/>
      <c r="Z161" s="1132"/>
      <c r="AA161" s="1132"/>
      <c r="AB161" s="1119"/>
      <c r="AC161" s="1178"/>
      <c r="AD161" s="1178"/>
      <c r="AE161" s="1178"/>
      <c r="AF161" s="1178"/>
      <c r="AG161" s="1178"/>
      <c r="AH161" s="1178"/>
      <c r="AI161" s="1178"/>
      <c r="AJ161" s="1178"/>
      <c r="AK161" s="1178"/>
      <c r="AL161" s="1178"/>
      <c r="AM161" s="1178"/>
      <c r="AN161" s="1178"/>
      <c r="AO161" s="516"/>
      <c r="AR161" s="644"/>
    </row>
    <row r="162" spans="5:44" x14ac:dyDescent="0.35">
      <c r="E162" s="1112" t="s">
        <v>304</v>
      </c>
      <c r="F162" s="1132"/>
      <c r="G162" s="1132"/>
      <c r="H162" s="1132"/>
      <c r="I162" s="588">
        <f t="shared" ref="I162:AK162" si="348">(I158/I156)*$C$28</f>
        <v>6.0532380725051946E-2</v>
      </c>
      <c r="J162" s="588">
        <f t="shared" si="348"/>
        <v>1.5646663163076981E-2</v>
      </c>
      <c r="K162" s="588">
        <f t="shared" si="348"/>
        <v>2.0450827187092055E-2</v>
      </c>
      <c r="L162" s="588">
        <f t="shared" si="348"/>
        <v>1.5712273528603167E-2</v>
      </c>
      <c r="M162" s="588">
        <f t="shared" si="348"/>
        <v>3.6526296875048422E-2</v>
      </c>
      <c r="N162" s="588">
        <f t="shared" si="348"/>
        <v>0.10632735127329283</v>
      </c>
      <c r="O162" s="588">
        <f t="shared" si="348"/>
        <v>-0.11911503658836914</v>
      </c>
      <c r="P162" s="588">
        <f t="shared" si="348"/>
        <v>7.7157184129688444E-2</v>
      </c>
      <c r="Q162" s="588">
        <f t="shared" si="348"/>
        <v>6.4494460212394411E-2</v>
      </c>
      <c r="R162" s="588">
        <f t="shared" si="348"/>
        <v>7.0614776772419868E-2</v>
      </c>
      <c r="S162" s="588">
        <f t="shared" si="348"/>
        <v>6.4494460212394411E-2</v>
      </c>
      <c r="T162" s="588">
        <f t="shared" si="348"/>
        <v>7.0614776772419868E-2</v>
      </c>
      <c r="U162" s="588">
        <f t="shared" si="348"/>
        <v>6.4494460212394411E-2</v>
      </c>
      <c r="V162" s="588">
        <f>(V158/V156)*$C$28</f>
        <v>6.4494460212394411E-2</v>
      </c>
      <c r="W162" s="588">
        <f t="shared" si="348"/>
        <v>7.0614776772419868E-2</v>
      </c>
      <c r="X162" s="588">
        <f t="shared" si="348"/>
        <v>6.4494460212394411E-2</v>
      </c>
      <c r="Y162" s="588">
        <f t="shared" si="348"/>
        <v>7.0614776772419868E-2</v>
      </c>
      <c r="Z162" s="588">
        <f t="shared" si="348"/>
        <v>-0.11911503658836914</v>
      </c>
      <c r="AA162" s="588">
        <f t="shared" si="348"/>
        <v>6.8166650148409696E-2</v>
      </c>
      <c r="AB162" s="588">
        <f t="shared" si="348"/>
        <v>8.8232545155921702E-2</v>
      </c>
      <c r="AC162" s="588">
        <f t="shared" si="348"/>
        <v>6.8166650148409696E-2</v>
      </c>
      <c r="AD162" s="588">
        <f t="shared" si="348"/>
        <v>7.4409373039635657E-2</v>
      </c>
      <c r="AE162" s="588">
        <f t="shared" si="348"/>
        <v>6.8166650148409696E-2</v>
      </c>
      <c r="AF162" s="588">
        <f t="shared" si="348"/>
        <v>7.4409373039635657E-2</v>
      </c>
      <c r="AG162" s="588">
        <f t="shared" si="348"/>
        <v>6.8166650148409696E-2</v>
      </c>
      <c r="AH162" s="588">
        <f t="shared" si="348"/>
        <v>6.8166650148409696E-2</v>
      </c>
      <c r="AI162" s="588">
        <f t="shared" si="348"/>
        <v>7.4409373039635657E-2</v>
      </c>
      <c r="AJ162" s="588">
        <f t="shared" si="348"/>
        <v>6.8166650148409696E-2</v>
      </c>
      <c r="AK162" s="588">
        <f t="shared" si="348"/>
        <v>6.8724575506068877E-2</v>
      </c>
      <c r="AL162" s="588"/>
      <c r="AM162" s="588"/>
      <c r="AN162" s="588"/>
      <c r="AO162" s="516"/>
    </row>
    <row r="163" spans="5:44" ht="15" thickBot="1" x14ac:dyDescent="0.4">
      <c r="E163" s="592" t="s">
        <v>305</v>
      </c>
      <c r="F163" s="518"/>
      <c r="G163" s="518"/>
      <c r="H163" s="518"/>
      <c r="I163" s="593">
        <f t="shared" ref="I163:AK163" si="349">(I159/I157)*($C$28)</f>
        <v>6.0532380725051946E-2</v>
      </c>
      <c r="J163" s="593">
        <f t="shared" si="349"/>
        <v>3.2135294104210642E-2</v>
      </c>
      <c r="K163" s="593">
        <f t="shared" si="349"/>
        <v>2.7698154768595988E-2</v>
      </c>
      <c r="L163" s="593">
        <f t="shared" si="349"/>
        <v>2.4320315510052558E-2</v>
      </c>
      <c r="M163" s="593">
        <f t="shared" si="349"/>
        <v>2.6935882945408812E-2</v>
      </c>
      <c r="N163" s="593">
        <f t="shared" si="349"/>
        <v>4.1328488314791287E-2</v>
      </c>
      <c r="O163" s="593">
        <f t="shared" si="349"/>
        <v>1.6705967166286466E-2</v>
      </c>
      <c r="P163" s="593">
        <f t="shared" si="349"/>
        <v>2.4295080984202733E-2</v>
      </c>
      <c r="Q163" s="593">
        <f t="shared" si="349"/>
        <v>2.9051496083721595E-2</v>
      </c>
      <c r="R163" s="593">
        <f t="shared" si="349"/>
        <v>3.3321696154478261E-2</v>
      </c>
      <c r="S163" s="593">
        <f t="shared" si="349"/>
        <v>3.6313509423194675E-2</v>
      </c>
      <c r="T163" s="593">
        <f t="shared" si="349"/>
        <v>3.9228631294233637E-2</v>
      </c>
      <c r="U163" s="593">
        <f t="shared" si="349"/>
        <v>4.1268320607939328E-2</v>
      </c>
      <c r="V163" s="593">
        <f t="shared" si="349"/>
        <v>4.300328525309139E-2</v>
      </c>
      <c r="W163" s="593">
        <f t="shared" si="349"/>
        <v>4.4864734119562974E-2</v>
      </c>
      <c r="X163" s="593">
        <f t="shared" si="349"/>
        <v>4.6143140650818801E-2</v>
      </c>
      <c r="Y163" s="593">
        <f t="shared" si="349"/>
        <v>4.759402816790978E-2</v>
      </c>
      <c r="Z163" s="593">
        <f t="shared" si="349"/>
        <v>3.7970227409167424E-2</v>
      </c>
      <c r="AA163" s="593">
        <f t="shared" si="349"/>
        <v>3.9618271607964092E-2</v>
      </c>
      <c r="AB163" s="593">
        <f t="shared" si="349"/>
        <v>4.19021636538413E-2</v>
      </c>
      <c r="AC163" s="593">
        <f t="shared" si="349"/>
        <v>4.3200726781961907E-2</v>
      </c>
      <c r="AD163" s="593">
        <f t="shared" si="349"/>
        <v>4.4625779122494956E-2</v>
      </c>
      <c r="AE163" s="593">
        <f t="shared" si="349"/>
        <v>4.5686486973953319E-2</v>
      </c>
      <c r="AF163" s="593">
        <f t="shared" si="349"/>
        <v>4.6886607561655927E-2</v>
      </c>
      <c r="AG163" s="593">
        <f t="shared" si="349"/>
        <v>4.7767356987809949E-2</v>
      </c>
      <c r="AH163" s="593">
        <f t="shared" si="349"/>
        <v>4.8578098126244036E-2</v>
      </c>
      <c r="AI163" s="593">
        <f t="shared" si="349"/>
        <v>4.9534812011925215E-2</v>
      </c>
      <c r="AJ163" s="593">
        <f t="shared" si="349"/>
        <v>5.0221597959881244E-2</v>
      </c>
      <c r="AK163" s="593">
        <f t="shared" si="349"/>
        <v>5.0909655433370442E-2</v>
      </c>
      <c r="AL163" s="593"/>
      <c r="AM163" s="593"/>
      <c r="AN163" s="593"/>
      <c r="AO163" s="517"/>
      <c r="AR163" s="644"/>
    </row>
    <row r="164" spans="5:44" ht="15" thickBot="1" x14ac:dyDescent="0.4"/>
    <row r="165" spans="5:44" x14ac:dyDescent="0.35">
      <c r="E165" s="75" t="s">
        <v>636</v>
      </c>
      <c r="F165" s="1102"/>
      <c r="G165" s="1102"/>
      <c r="H165" s="1102"/>
      <c r="I165" s="1102"/>
      <c r="J165" s="1102"/>
      <c r="K165" s="1066">
        <f>SUM(I158:K158)/SUM(I156:K156)*$C$28</f>
        <v>2.7698154768595988E-2</v>
      </c>
      <c r="L165" s="1179"/>
      <c r="M165" s="1180"/>
      <c r="N165" s="1066">
        <f>SUM(L158:N158)/SUM(L156:N156)*$C$28</f>
        <v>5.3032796468589438E-2</v>
      </c>
      <c r="O165" s="1179"/>
      <c r="P165" s="1180"/>
      <c r="Q165" s="1066">
        <f>SUM(O158:Q158)/SUM(O156:Q156)*$C$28</f>
        <v>5.9815436495137151E-3</v>
      </c>
      <c r="R165" s="1179"/>
      <c r="S165" s="1180"/>
      <c r="T165" s="1066">
        <f>SUM(R158:T158)/SUM(R156:T156)*$C$28</f>
        <v>6.8529833768455159E-2</v>
      </c>
      <c r="U165" s="1179"/>
      <c r="V165" s="1180"/>
      <c r="W165" s="1066">
        <f>SUM(U158:W158)/SUM(U156:W156)*$C$28</f>
        <v>6.6490215612402703E-2</v>
      </c>
      <c r="X165" s="1179"/>
      <c r="Y165" s="1180"/>
      <c r="Z165" s="1066">
        <f>SUM(X158:Z158)/SUM(X156:Z156)*$C$28</f>
        <v>4.6217982121454252E-3</v>
      </c>
      <c r="AA165" s="1179"/>
      <c r="AB165" s="1180"/>
      <c r="AC165" s="1066">
        <f>SUM(AA158:AC158)/SUM(AA156:AC156)*$C$28</f>
        <v>7.4409373039635643E-2</v>
      </c>
      <c r="AD165" s="1180"/>
      <c r="AE165" s="1180"/>
      <c r="AF165" s="1066">
        <f>SUM(AD158:AF158)/SUM(AD156:AF156)*$C$28</f>
        <v>7.2282731175591641E-2</v>
      </c>
      <c r="AG165" s="1180"/>
      <c r="AH165" s="1180"/>
      <c r="AI165" s="1066">
        <f>SUM(AG158:AI158)/SUM(AG156:AI156)*$C$28</f>
        <v>7.0202320656418155E-2</v>
      </c>
      <c r="AJ165" s="1180"/>
      <c r="AK165" s="1180"/>
      <c r="AL165" s="1066">
        <f>SUM(AJ158:AL158)/SUM(AJ156:AL156)*$C$28</f>
        <v>6.8452123363973841E-2</v>
      </c>
      <c r="AM165" s="1102"/>
      <c r="AN165" s="1067"/>
      <c r="AO165" s="595"/>
    </row>
    <row r="166" spans="5:44" ht="15" thickBot="1" x14ac:dyDescent="0.4">
      <c r="E166" s="592" t="s">
        <v>637</v>
      </c>
      <c r="F166" s="1147"/>
      <c r="G166" s="1147"/>
      <c r="H166" s="1147"/>
      <c r="I166" s="1147"/>
      <c r="J166" s="1147"/>
      <c r="K166" s="1181"/>
      <c r="L166" s="1181"/>
      <c r="M166" s="1181"/>
      <c r="N166" s="1147"/>
      <c r="O166" s="1181"/>
      <c r="P166" s="1181"/>
      <c r="Q166" s="1181"/>
      <c r="R166" s="1181"/>
      <c r="S166" s="1181"/>
      <c r="T166" s="590">
        <f>SUM(I158:T158)/SUM(I156:T156)*$C$28</f>
        <v>3.9228631294233637E-2</v>
      </c>
      <c r="U166" s="1181"/>
      <c r="V166" s="1181"/>
      <c r="W166" s="1181"/>
      <c r="X166" s="1181"/>
      <c r="Y166" s="1181"/>
      <c r="Z166" s="1181"/>
      <c r="AA166" s="1181"/>
      <c r="AB166" s="1181"/>
      <c r="AC166" s="1181"/>
      <c r="AD166" s="1181"/>
      <c r="AE166" s="1181"/>
      <c r="AF166" s="590">
        <f>SUM(U158:AF158)/SUM(U156:AF156)*$C$28</f>
        <v>5.429281474631361E-2</v>
      </c>
      <c r="AG166" s="1181"/>
      <c r="AH166" s="1181"/>
      <c r="AI166" s="1181"/>
      <c r="AJ166" s="1181"/>
      <c r="AK166" s="1181"/>
      <c r="AL166" s="590">
        <f>SUM(AG158:AL158)/SUM(AG156:AL156)*$C$28</f>
        <v>6.9487732695361043E-2</v>
      </c>
      <c r="AM166" s="1147"/>
      <c r="AN166" s="589"/>
      <c r="AO166" s="1068"/>
      <c r="AR166" s="12"/>
    </row>
    <row r="167" spans="5:44" ht="15" thickBot="1" x14ac:dyDescent="0.4">
      <c r="I167" s="740"/>
      <c r="K167" s="1048"/>
      <c r="L167" s="225"/>
      <c r="M167" s="225"/>
      <c r="N167" s="933"/>
      <c r="O167" s="1182"/>
      <c r="P167" s="1182"/>
      <c r="Q167" s="1182"/>
      <c r="R167" s="1182"/>
      <c r="S167" s="225"/>
      <c r="T167" s="225"/>
      <c r="U167" s="225"/>
      <c r="V167" s="225"/>
      <c r="W167" s="933"/>
      <c r="X167" s="933"/>
      <c r="Y167" s="933"/>
      <c r="Z167" s="933"/>
      <c r="AA167" s="933"/>
      <c r="AB167" s="933"/>
      <c r="AC167" s="933"/>
      <c r="AD167" s="933"/>
      <c r="AE167" s="933"/>
      <c r="AF167" s="225"/>
      <c r="AG167" s="225"/>
      <c r="AH167" s="225"/>
      <c r="AI167" s="225"/>
      <c r="AJ167" s="225"/>
      <c r="AK167" s="225"/>
      <c r="AL167" s="225"/>
    </row>
    <row r="168" spans="5:44" ht="15" thickBot="1" x14ac:dyDescent="0.4">
      <c r="E168" s="1094" t="s">
        <v>734</v>
      </c>
      <c r="F168" s="1183"/>
      <c r="G168" s="1183"/>
      <c r="H168" s="1183"/>
      <c r="I168" s="1090"/>
      <c r="J168" s="1183"/>
      <c r="K168" s="1091"/>
      <c r="L168" s="1184"/>
      <c r="M168" s="1184"/>
      <c r="N168" s="1184"/>
      <c r="O168" s="1185"/>
      <c r="P168" s="1185"/>
      <c r="Q168" s="1185"/>
      <c r="R168" s="1185"/>
      <c r="S168" s="1184"/>
      <c r="T168" s="1184"/>
      <c r="U168" s="1184"/>
      <c r="V168" s="1184"/>
      <c r="W168" s="1092"/>
      <c r="X168" s="1092"/>
      <c r="Y168" s="1092"/>
      <c r="Z168" s="1092"/>
      <c r="AA168" s="1092"/>
      <c r="AB168" s="1092"/>
      <c r="AC168" s="1092"/>
      <c r="AD168" s="1092"/>
      <c r="AE168" s="1092"/>
      <c r="AF168" s="1184"/>
      <c r="AG168" s="1184"/>
      <c r="AH168" s="1184"/>
      <c r="AI168" s="1184"/>
      <c r="AJ168" s="1184"/>
      <c r="AK168" s="1184"/>
      <c r="AL168" s="1184"/>
      <c r="AM168" s="1183"/>
      <c r="AN168" s="1183"/>
      <c r="AO168" s="1093"/>
    </row>
    <row r="169" spans="5:44" ht="15" thickBot="1" x14ac:dyDescent="0.4">
      <c r="E169" s="1095" t="s">
        <v>735</v>
      </c>
      <c r="F169" s="1186"/>
      <c r="G169" s="1186"/>
      <c r="H169" s="1186"/>
      <c r="I169" s="1086"/>
      <c r="J169" s="1186"/>
      <c r="K169" s="1087"/>
      <c r="L169" s="1187"/>
      <c r="M169" s="1187"/>
      <c r="N169" s="1187"/>
      <c r="O169" s="1188"/>
      <c r="P169" s="1188"/>
      <c r="Q169" s="1188"/>
      <c r="R169" s="1188"/>
      <c r="S169" s="1187"/>
      <c r="T169" s="1187"/>
      <c r="U169" s="1187"/>
      <c r="V169" s="1187"/>
      <c r="W169" s="1088"/>
      <c r="X169" s="1088"/>
      <c r="Y169" s="1088"/>
      <c r="Z169" s="1088"/>
      <c r="AA169" s="1088"/>
      <c r="AB169" s="1088"/>
      <c r="AC169" s="1088"/>
      <c r="AD169" s="1088"/>
      <c r="AE169" s="1088"/>
      <c r="AF169" s="1187"/>
      <c r="AG169" s="1187"/>
      <c r="AH169" s="1187"/>
      <c r="AI169" s="1187"/>
      <c r="AJ169" s="1187"/>
      <c r="AK169" s="1187"/>
      <c r="AL169" s="1187"/>
      <c r="AM169" s="1186"/>
      <c r="AN169" s="1186"/>
      <c r="AO169" s="1089"/>
    </row>
    <row r="170" spans="5:44" x14ac:dyDescent="0.35">
      <c r="E170" s="1129"/>
      <c r="F170" s="1102"/>
      <c r="G170" s="1102"/>
      <c r="H170" s="1102"/>
      <c r="I170" s="1067"/>
      <c r="J170" s="1102"/>
      <c r="K170" s="1084"/>
      <c r="L170" s="1180"/>
      <c r="M170" s="1180"/>
      <c r="N170" s="1180"/>
      <c r="O170" s="1189"/>
      <c r="P170" s="1189"/>
      <c r="Q170" s="1189"/>
      <c r="R170" s="1189"/>
      <c r="S170" s="1180"/>
      <c r="T170" s="1180"/>
      <c r="U170" s="1180"/>
      <c r="V170" s="1180"/>
      <c r="W170" s="1066"/>
      <c r="X170" s="1066"/>
      <c r="Y170" s="1066"/>
      <c r="Z170" s="1066"/>
      <c r="AA170" s="1066"/>
      <c r="AB170" s="1066"/>
      <c r="AC170" s="1066"/>
      <c r="AD170" s="1066"/>
      <c r="AE170" s="1066"/>
      <c r="AF170" s="1180"/>
      <c r="AG170" s="1180"/>
      <c r="AH170" s="1180"/>
      <c r="AI170" s="1180"/>
      <c r="AJ170" s="1180"/>
      <c r="AK170" s="1180"/>
      <c r="AL170" s="1180"/>
      <c r="AM170" s="1102"/>
      <c r="AN170" s="1102"/>
      <c r="AO170" s="595"/>
    </row>
    <row r="171" spans="5:44" x14ac:dyDescent="0.35">
      <c r="E171" s="1108" t="s">
        <v>508</v>
      </c>
      <c r="F171" s="1190"/>
      <c r="G171" s="1190"/>
      <c r="H171" s="1190"/>
      <c r="I171" s="1080"/>
      <c r="J171" s="1190"/>
      <c r="K171" s="1081"/>
      <c r="L171" s="1191"/>
      <c r="M171" s="1191"/>
      <c r="N171" s="1192"/>
      <c r="O171" s="1192"/>
      <c r="P171" s="1192"/>
      <c r="Q171" s="1193">
        <f>Q151</f>
        <v>45382</v>
      </c>
      <c r="R171" s="1192"/>
      <c r="S171" s="1191"/>
      <c r="T171" s="1193">
        <f>T151</f>
        <v>45473</v>
      </c>
      <c r="U171" s="1191"/>
      <c r="V171" s="1191"/>
      <c r="W171" s="1193">
        <f>W151</f>
        <v>45565</v>
      </c>
      <c r="X171" s="1082"/>
      <c r="Y171" s="1082"/>
      <c r="Z171" s="1193">
        <f>Z151</f>
        <v>45657</v>
      </c>
      <c r="AA171" s="1081"/>
      <c r="AB171" s="1081"/>
      <c r="AC171" s="1193">
        <f>AC151</f>
        <v>45747</v>
      </c>
      <c r="AD171" s="1192"/>
      <c r="AE171" s="1191"/>
      <c r="AF171" s="1193">
        <f>AF151</f>
        <v>45838</v>
      </c>
      <c r="AG171" s="1191"/>
      <c r="AH171" s="1191"/>
      <c r="AI171" s="1193">
        <f>AI151</f>
        <v>45930</v>
      </c>
      <c r="AJ171" s="1082"/>
      <c r="AK171" s="1082"/>
      <c r="AL171" s="1193"/>
      <c r="AM171" s="1083"/>
      <c r="AN171" s="1083"/>
      <c r="AO171" s="1085"/>
      <c r="AR171" s="12"/>
    </row>
    <row r="172" spans="5:44" x14ac:dyDescent="0.35">
      <c r="E172" s="1112"/>
      <c r="F172" s="1132"/>
      <c r="G172" s="1132"/>
      <c r="H172" s="1132"/>
      <c r="I172" s="359"/>
      <c r="J172" s="1132"/>
      <c r="K172" s="1079"/>
      <c r="L172" s="1178"/>
      <c r="M172" s="1178"/>
      <c r="N172" s="1194"/>
      <c r="O172" s="1194"/>
      <c r="P172" s="1194"/>
      <c r="Q172" s="1194"/>
      <c r="R172" s="1194"/>
      <c r="S172" s="1178"/>
      <c r="T172" s="1178"/>
      <c r="U172" s="1178"/>
      <c r="V172" s="1178"/>
      <c r="W172" s="588"/>
      <c r="X172" s="588"/>
      <c r="Y172" s="588"/>
      <c r="Z172" s="588"/>
      <c r="AA172" s="588"/>
      <c r="AB172" s="588"/>
      <c r="AC172" s="588"/>
      <c r="AD172" s="588"/>
      <c r="AE172" s="588"/>
      <c r="AF172" s="1178"/>
      <c r="AG172" s="1178"/>
      <c r="AH172" s="1178"/>
      <c r="AI172" s="1178"/>
      <c r="AJ172" s="1178"/>
      <c r="AK172" s="1178"/>
      <c r="AL172" s="1178"/>
      <c r="AM172" s="1132"/>
      <c r="AN172" s="1132"/>
      <c r="AO172" s="516"/>
      <c r="AR172" s="12"/>
    </row>
    <row r="173" spans="5:44" x14ac:dyDescent="0.35">
      <c r="E173" s="1112" t="s">
        <v>728</v>
      </c>
      <c r="F173" s="1132"/>
      <c r="G173" s="1132"/>
      <c r="H173" s="1132"/>
      <c r="I173" s="1132"/>
      <c r="J173" s="1132"/>
      <c r="K173" s="1177"/>
      <c r="L173" s="1178"/>
      <c r="M173" s="1178"/>
      <c r="N173" s="1178"/>
      <c r="O173" s="1178"/>
      <c r="P173" s="1178"/>
      <c r="Q173" s="1177">
        <f>SUM(L132:Q132)</f>
        <v>52768.930816092172</v>
      </c>
      <c r="R173" s="1178"/>
      <c r="S173" s="1178"/>
      <c r="T173" s="1177">
        <f>SUM(R132:T132)</f>
        <v>60678.203446360509</v>
      </c>
      <c r="U173" s="1178"/>
      <c r="V173" s="1178"/>
      <c r="W173" s="1177">
        <f>SUM(U132:W132)</f>
        <v>59519.217335249399</v>
      </c>
      <c r="X173" s="1178"/>
      <c r="Y173" s="1178"/>
      <c r="Z173" s="1177">
        <f>SUM(X132:Z132)</f>
        <v>4137.2374827588574</v>
      </c>
      <c r="AA173" s="1178"/>
      <c r="AB173" s="1178"/>
      <c r="AC173" s="1177">
        <f>SUM(AA132:AC132)</f>
        <v>65160.108348621055</v>
      </c>
      <c r="AD173" s="1178"/>
      <c r="AE173" s="1178"/>
      <c r="AF173" s="1177">
        <f>SUM(AD132:AF132)</f>
        <v>64001.122237509946</v>
      </c>
      <c r="AG173" s="1178"/>
      <c r="AH173" s="1178"/>
      <c r="AI173" s="1177">
        <f>SUM(AG132:AI132)</f>
        <v>62842.136126398836</v>
      </c>
      <c r="AJ173" s="1178"/>
      <c r="AK173" s="1178"/>
      <c r="AL173" s="1177"/>
      <c r="AM173" s="1132"/>
      <c r="AN173" s="1132"/>
      <c r="AO173" s="516"/>
    </row>
    <row r="174" spans="5:44" x14ac:dyDescent="0.35">
      <c r="E174" s="1112" t="s">
        <v>729</v>
      </c>
      <c r="F174" s="359"/>
      <c r="G174" s="1132"/>
      <c r="H174" s="1134"/>
      <c r="I174" s="1132"/>
      <c r="J174" s="1132"/>
      <c r="K174" s="1132"/>
      <c r="L174" s="1132"/>
      <c r="M174" s="1132"/>
      <c r="N174" s="1177"/>
      <c r="O174" s="1177"/>
      <c r="P174" s="1177"/>
      <c r="Q174" s="1177">
        <f>N115</f>
        <v>0</v>
      </c>
      <c r="R174" s="1177"/>
      <c r="S174" s="1177"/>
      <c r="T174" s="1177">
        <v>0</v>
      </c>
      <c r="U174" s="1177"/>
      <c r="V174" s="1177"/>
      <c r="W174" s="1177">
        <v>0</v>
      </c>
      <c r="X174" s="1177"/>
      <c r="Y174" s="1177"/>
      <c r="Z174" s="1177">
        <f>-Z27</f>
        <v>0</v>
      </c>
      <c r="AA174" s="1177"/>
      <c r="AB174" s="1177"/>
      <c r="AC174" s="1177">
        <v>0</v>
      </c>
      <c r="AD174" s="1177"/>
      <c r="AE174" s="1177"/>
      <c r="AF174" s="1177">
        <v>0</v>
      </c>
      <c r="AG174" s="1177"/>
      <c r="AH174" s="1177"/>
      <c r="AI174" s="1177">
        <v>0</v>
      </c>
      <c r="AJ174" s="1177"/>
      <c r="AK174" s="1177"/>
      <c r="AL174" s="1177"/>
      <c r="AM174" s="1132"/>
      <c r="AN174" s="1132"/>
      <c r="AO174" s="516"/>
    </row>
    <row r="175" spans="5:44" x14ac:dyDescent="0.35">
      <c r="E175" s="1112" t="s">
        <v>732</v>
      </c>
      <c r="F175" s="1132"/>
      <c r="G175" s="1132"/>
      <c r="H175" s="1132"/>
      <c r="I175" s="1132"/>
      <c r="J175" s="1132"/>
      <c r="K175" s="359"/>
      <c r="L175" s="1132"/>
      <c r="M175" s="1132"/>
      <c r="N175" s="1177"/>
      <c r="O175" s="1177"/>
      <c r="P175" s="1177"/>
      <c r="Q175" s="1177">
        <v>0</v>
      </c>
      <c r="R175" s="1177"/>
      <c r="S175" s="1177"/>
      <c r="T175" s="1177">
        <f>T115</f>
        <v>0</v>
      </c>
      <c r="U175" s="1177"/>
      <c r="V175" s="1177"/>
      <c r="W175" s="1177">
        <v>0</v>
      </c>
      <c r="X175" s="1177"/>
      <c r="Y175" s="1177"/>
      <c r="Z175" s="1177">
        <f>-Z32</f>
        <v>0</v>
      </c>
      <c r="AA175" s="1177"/>
      <c r="AB175" s="1177"/>
      <c r="AC175" s="1177">
        <v>0</v>
      </c>
      <c r="AD175" s="1177"/>
      <c r="AE175" s="1177"/>
      <c r="AF175" s="1177">
        <v>0</v>
      </c>
      <c r="AG175" s="1177"/>
      <c r="AH175" s="1177"/>
      <c r="AI175" s="1177">
        <v>0</v>
      </c>
      <c r="AJ175" s="1177"/>
      <c r="AK175" s="1132"/>
      <c r="AL175" s="1177"/>
      <c r="AM175" s="1132"/>
      <c r="AN175" s="1132"/>
      <c r="AO175" s="516"/>
    </row>
    <row r="176" spans="5:44" x14ac:dyDescent="0.35">
      <c r="E176" s="9" t="s">
        <v>730</v>
      </c>
      <c r="F176" s="1132"/>
      <c r="G176" s="1132"/>
      <c r="H176" s="1132"/>
      <c r="I176" s="1132"/>
      <c r="J176" s="1132"/>
      <c r="K176" s="359"/>
      <c r="L176" s="1132"/>
      <c r="M176" s="1132"/>
      <c r="N176" s="1177"/>
      <c r="O176" s="1177"/>
      <c r="P176" s="1177"/>
      <c r="Q176" s="1177">
        <v>0</v>
      </c>
      <c r="R176" s="1177"/>
      <c r="S176" s="1177"/>
      <c r="T176" s="1177">
        <f>T175</f>
        <v>0</v>
      </c>
      <c r="U176" s="1177"/>
      <c r="V176" s="1177"/>
      <c r="W176" s="1177">
        <v>0</v>
      </c>
      <c r="X176" s="1177"/>
      <c r="Y176" s="1177"/>
      <c r="Z176" s="1177">
        <f>Z175</f>
        <v>0</v>
      </c>
      <c r="AA176" s="1177"/>
      <c r="AB176" s="1177"/>
      <c r="AC176" s="1177">
        <v>0</v>
      </c>
      <c r="AD176" s="1177"/>
      <c r="AE176" s="1177"/>
      <c r="AF176" s="1177">
        <v>0</v>
      </c>
      <c r="AG176" s="1177"/>
      <c r="AH176" s="1177"/>
      <c r="AI176" s="1177">
        <v>0</v>
      </c>
      <c r="AJ176" s="1177"/>
      <c r="AK176" s="1177"/>
      <c r="AL176" s="1177"/>
      <c r="AM176" s="1132"/>
      <c r="AN176" s="1132"/>
      <c r="AO176" s="516"/>
    </row>
    <row r="177" spans="5:44" x14ac:dyDescent="0.35">
      <c r="E177" s="374" t="s">
        <v>731</v>
      </c>
      <c r="F177" s="1069"/>
      <c r="G177" s="1069"/>
      <c r="H177" s="1069"/>
      <c r="I177" s="1069"/>
      <c r="J177" s="1069"/>
      <c r="K177" s="1070"/>
      <c r="L177" s="1071"/>
      <c r="M177" s="1071"/>
      <c r="N177" s="1071"/>
      <c r="O177" s="1071"/>
      <c r="P177" s="1071"/>
      <c r="Q177" s="1070">
        <f>Q173</f>
        <v>52768.930816092172</v>
      </c>
      <c r="R177" s="1071"/>
      <c r="S177" s="1071"/>
      <c r="T177" s="1070">
        <f>T173</f>
        <v>60678.203446360509</v>
      </c>
      <c r="U177" s="1071"/>
      <c r="V177" s="1071"/>
      <c r="W177" s="1070">
        <f>W173</f>
        <v>59519.217335249399</v>
      </c>
      <c r="X177" s="1071"/>
      <c r="Y177" s="1071"/>
      <c r="Z177" s="1070">
        <f>Z173+Z174</f>
        <v>4137.2374827588574</v>
      </c>
      <c r="AA177" s="1071"/>
      <c r="AB177" s="1071"/>
      <c r="AC177" s="1070">
        <f>AC173</f>
        <v>65160.108348621055</v>
      </c>
      <c r="AD177" s="1071"/>
      <c r="AE177" s="1071"/>
      <c r="AF177" s="1070">
        <f>AF173</f>
        <v>64001.122237509946</v>
      </c>
      <c r="AG177" s="1071"/>
      <c r="AH177" s="1071"/>
      <c r="AI177" s="1070">
        <f>AI173</f>
        <v>62842.136126398836</v>
      </c>
      <c r="AJ177" s="1071"/>
      <c r="AK177" s="1071"/>
      <c r="AL177" s="1070"/>
      <c r="AM177" s="1069"/>
      <c r="AN177" s="1069"/>
      <c r="AO177" s="1072"/>
    </row>
    <row r="178" spans="5:44" x14ac:dyDescent="0.35">
      <c r="E178" s="1112" t="s">
        <v>304</v>
      </c>
      <c r="F178" s="1132"/>
      <c r="G178" s="1132"/>
      <c r="H178" s="1132"/>
      <c r="I178" s="1132"/>
      <c r="J178" s="1132"/>
      <c r="K178" s="588"/>
      <c r="L178" s="1178"/>
      <c r="M178" s="1178"/>
      <c r="N178" s="1178"/>
      <c r="O178" s="1178"/>
      <c r="P178" s="1178"/>
      <c r="Q178" s="588">
        <f>Q177/-($H$115+SUM($K$176:Q176))*4</f>
        <v>5.9433838325654548E-2</v>
      </c>
      <c r="R178" s="1178"/>
      <c r="S178" s="1178"/>
      <c r="T178" s="588">
        <f>T177/-($H$115+SUM($K$176:T176))*4</f>
        <v>6.8342080799226518E-2</v>
      </c>
      <c r="U178" s="1178"/>
      <c r="V178" s="1178"/>
      <c r="W178" s="588">
        <f>W177/-($H$115+SUM($K$176:W176))*4</f>
        <v>6.703671053524439E-2</v>
      </c>
      <c r="X178" s="1178"/>
      <c r="Y178" s="1178"/>
      <c r="Z178" s="588">
        <f>Z177/-($H$115+SUM($K$176:Z176))*4</f>
        <v>4.6597855947110049E-3</v>
      </c>
      <c r="AA178" s="1178"/>
      <c r="AB178" s="1178"/>
      <c r="AC178" s="588">
        <f>AC177/-($H$115+SUM($K$176:AC176))*4</f>
        <v>7.3390066559640643E-2</v>
      </c>
      <c r="AD178" s="1178"/>
      <c r="AE178" s="1178"/>
      <c r="AF178" s="588">
        <f>AF177/-($H$115+SUM($K$176:AF176))*4</f>
        <v>7.2084696295658515E-2</v>
      </c>
      <c r="AG178" s="1178"/>
      <c r="AH178" s="1178"/>
      <c r="AI178" s="588">
        <f>AI177/-($H$115+SUM($K$176:AI176))*4</f>
        <v>7.0779326031676401E-2</v>
      </c>
      <c r="AJ178" s="1178"/>
      <c r="AK178" s="1178"/>
      <c r="AL178" s="588"/>
      <c r="AM178" s="1178"/>
      <c r="AN178" s="1132"/>
      <c r="AO178" s="516"/>
    </row>
    <row r="179" spans="5:44" x14ac:dyDescent="0.35">
      <c r="E179" s="1112"/>
      <c r="F179" s="1132"/>
      <c r="G179" s="1132"/>
      <c r="H179" s="1132"/>
      <c r="I179" s="1132"/>
      <c r="J179" s="1132"/>
      <c r="K179" s="1132"/>
      <c r="L179" s="1132"/>
      <c r="M179" s="1132"/>
      <c r="N179" s="1132"/>
      <c r="O179" s="1132"/>
      <c r="P179" s="1132"/>
      <c r="Q179" s="1132"/>
      <c r="R179" s="1132"/>
      <c r="S179" s="1132"/>
      <c r="T179" s="1132"/>
      <c r="U179" s="1132"/>
      <c r="V179" s="1132"/>
      <c r="W179" s="1132"/>
      <c r="X179" s="1132"/>
      <c r="Y179" s="1132"/>
      <c r="Z179" s="1132"/>
      <c r="AA179" s="1132"/>
      <c r="AB179" s="1132"/>
      <c r="AC179" s="1132"/>
      <c r="AD179" s="1132"/>
      <c r="AE179" s="1132"/>
      <c r="AF179" s="1132"/>
      <c r="AG179" s="1132"/>
      <c r="AH179" s="1132"/>
      <c r="AI179" s="1132"/>
      <c r="AJ179" s="1132"/>
      <c r="AK179" s="1132"/>
      <c r="AL179" s="1132"/>
      <c r="AM179" s="1132"/>
      <c r="AN179" s="1132"/>
      <c r="AO179" s="516"/>
    </row>
    <row r="180" spans="5:44" ht="15" thickBot="1" x14ac:dyDescent="0.4">
      <c r="E180" s="1073" t="s">
        <v>733</v>
      </c>
      <c r="F180" s="1074"/>
      <c r="G180" s="1075"/>
      <c r="H180" s="1074"/>
      <c r="I180" s="1074"/>
      <c r="J180" s="1074"/>
      <c r="K180" s="1074"/>
      <c r="L180" s="1074"/>
      <c r="M180" s="1074"/>
      <c r="N180" s="1074"/>
      <c r="O180" s="1074"/>
      <c r="P180" s="1074"/>
      <c r="Q180" s="1076">
        <f>SUM(Q177:Z177)/4</f>
        <v>44275.897270115231</v>
      </c>
      <c r="R180" s="1074"/>
      <c r="S180" s="1074"/>
      <c r="T180" s="1077">
        <f>Q180</f>
        <v>44275.897270115231</v>
      </c>
      <c r="U180" s="1074"/>
      <c r="V180" s="1074"/>
      <c r="W180" s="1077">
        <f>T180</f>
        <v>44275.897270115231</v>
      </c>
      <c r="X180" s="1074"/>
      <c r="Y180" s="1074"/>
      <c r="Z180" s="1077">
        <f>W180</f>
        <v>44275.897270115231</v>
      </c>
      <c r="AA180" s="1074"/>
      <c r="AB180" s="1074"/>
      <c r="AC180" s="1076">
        <f>SUM(AC177:AL177)/4</f>
        <v>48000.841678132463</v>
      </c>
      <c r="AD180" s="1074"/>
      <c r="AE180" s="1074"/>
      <c r="AF180" s="1077">
        <f>AC180</f>
        <v>48000.841678132463</v>
      </c>
      <c r="AG180" s="1074"/>
      <c r="AH180" s="1074"/>
      <c r="AI180" s="1077">
        <f>AF180</f>
        <v>48000.841678132463</v>
      </c>
      <c r="AJ180" s="1074"/>
      <c r="AK180" s="1074"/>
      <c r="AL180" s="1077"/>
      <c r="AM180" s="1074"/>
      <c r="AN180" s="1074"/>
      <c r="AO180" s="1078"/>
    </row>
    <row r="181" spans="5:44" x14ac:dyDescent="0.35">
      <c r="AO181" s="43"/>
    </row>
    <row r="182" spans="5:44" x14ac:dyDescent="0.35">
      <c r="AR182" s="594"/>
    </row>
    <row r="186" spans="5:44" x14ac:dyDescent="0.35">
      <c r="AI186" s="740"/>
    </row>
  </sheetData>
  <mergeCells count="33">
    <mergeCell ref="AR66:AS66"/>
    <mergeCell ref="AR67:AS67"/>
    <mergeCell ref="AR73:AS73"/>
    <mergeCell ref="AR74:AS74"/>
    <mergeCell ref="AJ111:AL111"/>
    <mergeCell ref="AM111:AN111"/>
    <mergeCell ref="E85:AP85"/>
    <mergeCell ref="BI22:BK22"/>
    <mergeCell ref="BI32:BK32"/>
    <mergeCell ref="AU4:BG4"/>
    <mergeCell ref="BI4:BK4"/>
    <mergeCell ref="BM62:BO62"/>
    <mergeCell ref="BM53:BO53"/>
    <mergeCell ref="BM43:BO43"/>
    <mergeCell ref="BI13:BK13"/>
    <mergeCell ref="BM33:BO33"/>
    <mergeCell ref="BM14:BO14"/>
    <mergeCell ref="BM68:BO68"/>
    <mergeCell ref="E64:AP64"/>
    <mergeCell ref="AA111:AC111"/>
    <mergeCell ref="BQ4:BW4"/>
    <mergeCell ref="BQ5:BW5"/>
    <mergeCell ref="BQ22:BR22"/>
    <mergeCell ref="BQ23:BR23"/>
    <mergeCell ref="X111:Z111"/>
    <mergeCell ref="E106:AP106"/>
    <mergeCell ref="I111:K111"/>
    <mergeCell ref="L111:N111"/>
    <mergeCell ref="O111:Q111"/>
    <mergeCell ref="R111:T111"/>
    <mergeCell ref="BM4:BO4"/>
    <mergeCell ref="BM24:BO24"/>
    <mergeCell ref="E4:AP4"/>
  </mergeCells>
  <phoneticPr fontId="43" type="noConversion"/>
  <conditionalFormatting sqref="D39">
    <cfRule type="colorScale" priority="61">
      <colorScale>
        <cfvo type="min"/>
        <cfvo type="percentile" val="50"/>
        <cfvo type="max"/>
        <color rgb="FFF8696B"/>
        <color rgb="FFFFEB84"/>
        <color rgb="FF63BE7B"/>
      </colorScale>
    </cfRule>
  </conditionalFormatting>
  <conditionalFormatting sqref="D40">
    <cfRule type="colorScale" priority="62">
      <colorScale>
        <cfvo type="min"/>
        <cfvo type="percentile" val="50"/>
        <cfvo type="max"/>
        <color rgb="FFF8696B"/>
        <color rgb="FFFFEB84"/>
        <color rgb="FF63BE7B"/>
      </colorScale>
    </cfRule>
  </conditionalFormatting>
  <conditionalFormatting sqref="I162:AK162">
    <cfRule type="cellIs" dxfId="15" priority="5" operator="lessThan">
      <formula>0.06</formula>
    </cfRule>
  </conditionalFormatting>
  <conditionalFormatting sqref="AU9:BG9 AV10:AV11">
    <cfRule type="expression" dxfId="14" priority="38">
      <formula>AU9&lt;&gt;""</formula>
    </cfRule>
    <cfRule type="expression" dxfId="13" priority="41">
      <formula>AU$8&lt;&gt;""</formula>
    </cfRule>
  </conditionalFormatting>
  <conditionalFormatting sqref="BJ5:BK5">
    <cfRule type="colorScale" priority="3">
      <colorScale>
        <cfvo type="min"/>
        <cfvo type="percentile" val="50"/>
        <cfvo type="max"/>
        <color rgb="FFF8696B"/>
        <color rgb="FFFFEB84"/>
        <color rgb="FF63BE7B"/>
      </colorScale>
    </cfRule>
  </conditionalFormatting>
  <conditionalFormatting sqref="BJ14:BK14">
    <cfRule type="colorScale" priority="63">
      <colorScale>
        <cfvo type="min"/>
        <cfvo type="percentile" val="50"/>
        <cfvo type="max"/>
        <color rgb="FFF8696B"/>
        <color rgb="FFFFEB84"/>
        <color rgb="FF63BE7B"/>
      </colorScale>
    </cfRule>
  </conditionalFormatting>
  <conditionalFormatting sqref="BJ23:BK23">
    <cfRule type="colorScale" priority="4">
      <colorScale>
        <cfvo type="min"/>
        <cfvo type="percentile" val="50"/>
        <cfvo type="max"/>
        <color rgb="FFF8696B"/>
        <color rgb="FFFFEB84"/>
        <color rgb="FF63BE7B"/>
      </colorScale>
    </cfRule>
  </conditionalFormatting>
  <conditionalFormatting sqref="BJ33:BK33">
    <cfRule type="colorScale" priority="2">
      <colorScale>
        <cfvo type="min"/>
        <cfvo type="percentile" val="50"/>
        <cfvo type="max"/>
        <color rgb="FFF8696B"/>
        <color rgb="FFFFEB84"/>
        <color rgb="FF63BE7B"/>
      </colorScale>
    </cfRule>
  </conditionalFormatting>
  <dataValidations disablePrompts="1" count="1">
    <dataValidation type="list" allowBlank="1" showInputMessage="1" showErrorMessage="1" sqref="G13" xr:uid="{FC81C910-339B-4819-8E3B-68A57567E4FB}">
      <formula1>$G$14:$G$15</formula1>
    </dataValidation>
  </dataValidations>
  <pageMargins left="0" right="0.25" top="1" bottom="0.25" header="0.3" footer="0.3"/>
  <pageSetup paperSize="12" scale="45" fitToWidth="2" orientation="landscape" r:id="rId1"/>
  <ignoredErrors>
    <ignoredError sqref="AO17:AO18 E17:E22 AO19:AO21 E27 AO22:AO26 E32:E34 E39:E40 AO39:AO40 AO27:AO34" unlockedFormula="1"/>
    <ignoredError sqref="AO57:AP57 BI63:BK63 BM18:BO23 BO36 BO7 BM25:BO25 BO47 BO56 BI65:BK69 BJ64:BK64 Z145:AD145 BM27:BO28 BM26 BO26 AF140:AF142 AY13:AZ13 BA13:BG14 BA16:BG18 BA20:BD20 BA19 BK35 BK25 BI7:BK19 AL129:AM129 AL124 AL144 AM144:AN144 BF20:BG20 AM145:AN145 M80 P115:U115 H115:L115 V115:AC115 N132 AB12:AK12 AE115:AJ115 AL48 P12" formula="1"/>
    <ignoredError sqref="AY96:BG96 F143 H100 AW96" evalError="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67915-1B4F-408F-98C3-BD05954019F4}">
  <sheetPr codeName="Sheet3">
    <tabColor theme="5" tint="0.59999389629810485"/>
    <pageSetUpPr fitToPage="1"/>
  </sheetPr>
  <dimension ref="A1:XFC145"/>
  <sheetViews>
    <sheetView showGridLines="0" zoomScale="60" zoomScaleNormal="60" workbookViewId="0">
      <selection activeCell="H7" sqref="H7"/>
    </sheetView>
  </sheetViews>
  <sheetFormatPr defaultColWidth="7.7265625" defaultRowHeight="0" customHeight="1" zeroHeight="1" outlineLevelRow="1" x14ac:dyDescent="0.35"/>
  <cols>
    <col min="1" max="1" width="1.26953125" style="155" customWidth="1"/>
    <col min="2" max="2" width="31.81640625" style="155" customWidth="1"/>
    <col min="3" max="3" width="15.453125" style="155" customWidth="1"/>
    <col min="4" max="4" width="18.453125" style="155" bestFit="1" customWidth="1"/>
    <col min="5" max="5" width="23.26953125" style="155" bestFit="1" customWidth="1"/>
    <col min="6" max="16" width="14.54296875" style="156" customWidth="1"/>
    <col min="17" max="17" width="4" style="155" customWidth="1"/>
    <col min="18" max="18" width="31.81640625" style="155" customWidth="1"/>
    <col min="19" max="19" width="15.453125" style="155" customWidth="1"/>
    <col min="20" max="20" width="18.453125" style="155" bestFit="1" customWidth="1"/>
    <col min="21" max="21" width="23.26953125" style="155" bestFit="1" customWidth="1"/>
    <col min="22" max="27" width="14.54296875" style="156" customWidth="1"/>
    <col min="28" max="16383" width="7.7265625" style="155"/>
    <col min="16384" max="16384" width="7.7265625" style="155" hidden="1" customWidth="1"/>
  </cols>
  <sheetData>
    <row r="1" spans="2:27" ht="6.75" customHeight="1" x14ac:dyDescent="0.35"/>
    <row r="2" spans="2:27" ht="18.5" x14ac:dyDescent="0.45">
      <c r="B2" s="224" t="s">
        <v>180</v>
      </c>
      <c r="C2" s="223"/>
      <c r="D2" s="223"/>
      <c r="E2" s="223"/>
      <c r="F2" s="222"/>
      <c r="G2" s="222"/>
      <c r="H2" s="222"/>
      <c r="I2" s="222"/>
      <c r="J2" s="222"/>
      <c r="K2" s="222"/>
      <c r="L2" s="222"/>
      <c r="M2" s="222"/>
      <c r="N2" s="222"/>
      <c r="O2" s="222"/>
      <c r="P2" s="222"/>
      <c r="R2" s="224" t="s">
        <v>181</v>
      </c>
      <c r="S2" s="223"/>
      <c r="T2" s="223"/>
      <c r="U2" s="223"/>
      <c r="V2" s="222"/>
      <c r="W2" s="222"/>
      <c r="X2" s="222"/>
      <c r="Y2" s="222"/>
      <c r="Z2" s="222"/>
      <c r="AA2" s="222"/>
    </row>
    <row r="3" spans="2:27" ht="5.15" customHeight="1" x14ac:dyDescent="0.35">
      <c r="B3" s="295"/>
      <c r="C3" s="294"/>
      <c r="D3" s="294"/>
      <c r="E3" s="294"/>
      <c r="F3" s="289"/>
      <c r="G3" s="289"/>
      <c r="H3" s="289"/>
      <c r="I3" s="289"/>
      <c r="J3" s="289"/>
      <c r="K3" s="289"/>
      <c r="L3" s="289"/>
      <c r="M3" s="289"/>
      <c r="N3" s="289"/>
      <c r="O3" s="289"/>
      <c r="P3" s="289"/>
      <c r="R3" s="295"/>
      <c r="S3" s="294"/>
      <c r="T3" s="294"/>
      <c r="U3" s="294"/>
      <c r="V3" s="289"/>
      <c r="W3" s="289"/>
      <c r="X3" s="289"/>
      <c r="Y3" s="289"/>
      <c r="Z3" s="289"/>
      <c r="AA3" s="289"/>
    </row>
    <row r="4" spans="2:27" ht="15.5" x14ac:dyDescent="0.35">
      <c r="B4" s="295" t="s">
        <v>168</v>
      </c>
      <c r="C4" s="294"/>
      <c r="D4" s="296" t="s">
        <v>32</v>
      </c>
      <c r="E4" s="294"/>
      <c r="F4" s="291"/>
      <c r="G4" s="291"/>
      <c r="H4" s="291"/>
      <c r="I4" s="291"/>
      <c r="J4" s="289"/>
      <c r="K4" s="289"/>
      <c r="L4" s="289"/>
      <c r="M4" s="289"/>
      <c r="N4" s="289"/>
      <c r="O4" s="289"/>
      <c r="P4" s="289"/>
      <c r="R4" s="295" t="s">
        <v>168</v>
      </c>
      <c r="S4" s="294"/>
      <c r="T4" s="296" t="s">
        <v>32</v>
      </c>
      <c r="U4" s="294"/>
      <c r="V4" s="291"/>
      <c r="W4" s="291"/>
      <c r="X4" s="291"/>
      <c r="Y4" s="291"/>
      <c r="Z4" s="289"/>
      <c r="AA4" s="289"/>
    </row>
    <row r="5" spans="2:27" ht="15.5" x14ac:dyDescent="0.35">
      <c r="B5" s="295" t="s">
        <v>158</v>
      </c>
      <c r="C5" s="294"/>
      <c r="D5" s="293" t="str">
        <f>IF(H14&lt;Equity_Share_GP,"LP 1st","Pari Passu")</f>
        <v>Pari Passu</v>
      </c>
      <c r="E5" s="292" t="s">
        <v>167</v>
      </c>
      <c r="F5" s="291"/>
      <c r="G5" s="291"/>
      <c r="H5" s="291"/>
      <c r="I5" s="291"/>
      <c r="J5" s="289"/>
      <c r="K5" s="289"/>
      <c r="L5" s="289"/>
      <c r="M5" s="289"/>
      <c r="N5" s="289"/>
      <c r="O5" s="289"/>
      <c r="P5" s="289"/>
      <c r="R5" s="295" t="s">
        <v>158</v>
      </c>
      <c r="S5" s="294"/>
      <c r="T5" s="293" t="str">
        <f>IF(X14&lt;Equity_Share_GP,"LP 1st","Pari Passu")</f>
        <v>Pari Passu</v>
      </c>
      <c r="U5" s="292" t="s">
        <v>167</v>
      </c>
      <c r="V5" s="291"/>
      <c r="W5" s="291"/>
      <c r="X5" s="291"/>
      <c r="Y5" s="291"/>
      <c r="Z5" s="289"/>
      <c r="AA5" s="289"/>
    </row>
    <row r="6" spans="2:27" ht="5.15" customHeight="1" x14ac:dyDescent="0.35">
      <c r="B6" s="1"/>
      <c r="C6" s="1"/>
      <c r="D6" s="290"/>
      <c r="E6"/>
      <c r="F6" s="287"/>
      <c r="G6" s="287"/>
      <c r="H6" s="287"/>
      <c r="I6" s="287"/>
      <c r="J6" s="4"/>
      <c r="K6" s="4"/>
      <c r="L6" s="4"/>
      <c r="M6" s="289"/>
      <c r="N6" s="4"/>
      <c r="O6" s="4"/>
      <c r="P6" s="4"/>
      <c r="R6" s="1"/>
      <c r="S6" s="1"/>
      <c r="T6" s="290"/>
      <c r="U6"/>
      <c r="V6" s="287"/>
      <c r="W6" s="287"/>
      <c r="X6" s="287"/>
      <c r="Y6" s="287"/>
      <c r="Z6" s="4"/>
      <c r="AA6" s="4"/>
    </row>
    <row r="7" spans="2:27" ht="15.5" x14ac:dyDescent="0.35">
      <c r="B7" s="240" t="s">
        <v>166</v>
      </c>
      <c r="C7" s="279" t="s">
        <v>165</v>
      </c>
      <c r="D7" s="279" t="s">
        <v>46</v>
      </c>
      <c r="E7"/>
      <c r="F7" s="288"/>
      <c r="G7" s="287"/>
      <c r="H7" s="287"/>
      <c r="I7" s="287"/>
      <c r="J7" s="4"/>
      <c r="K7" s="4"/>
      <c r="L7" s="4"/>
      <c r="M7" s="289"/>
      <c r="N7" s="4"/>
      <c r="O7" s="4"/>
      <c r="P7" s="4"/>
      <c r="R7" s="240" t="s">
        <v>166</v>
      </c>
      <c r="S7" s="279" t="s">
        <v>165</v>
      </c>
      <c r="T7" s="279" t="s">
        <v>46</v>
      </c>
      <c r="U7"/>
      <c r="V7" s="288"/>
      <c r="W7" s="287"/>
      <c r="X7" s="287"/>
      <c r="Y7" s="287"/>
      <c r="Z7" s="4"/>
      <c r="AA7" s="4"/>
    </row>
    <row r="8" spans="2:27" ht="14.5" x14ac:dyDescent="0.35">
      <c r="B8" s="1" t="s">
        <v>164</v>
      </c>
      <c r="C8" s="326">
        <f>'Property CF'!AS47</f>
        <v>0.1</v>
      </c>
      <c r="D8" s="253">
        <f ca="1">Equity_Share_GP*Total_Equity</f>
        <v>415453.84556194453</v>
      </c>
      <c r="E8" s="1"/>
      <c r="F8" s="5"/>
      <c r="G8" s="267"/>
      <c r="H8" s="4"/>
      <c r="I8" s="4"/>
      <c r="J8" s="4"/>
      <c r="K8" s="283"/>
      <c r="L8" s="286"/>
      <c r="M8" s="4"/>
      <c r="N8" s="4"/>
      <c r="O8" s="4"/>
      <c r="P8" s="4"/>
      <c r="R8" s="1" t="s">
        <v>164</v>
      </c>
      <c r="S8" s="326">
        <f>Equity_Share_GP</f>
        <v>0.1</v>
      </c>
      <c r="T8" s="253">
        <f ca="1">Equity_Share_GP*Total_Equity</f>
        <v>415453.84556194453</v>
      </c>
      <c r="U8" s="1"/>
      <c r="V8" s="5"/>
      <c r="W8" s="267"/>
      <c r="X8" s="4"/>
      <c r="Y8" s="4"/>
      <c r="Z8" s="4"/>
      <c r="AA8" s="283"/>
    </row>
    <row r="9" spans="2:27" ht="14.5" x14ac:dyDescent="0.35">
      <c r="B9" s="1" t="s">
        <v>163</v>
      </c>
      <c r="C9" s="327">
        <f>'Property CF'!AS48</f>
        <v>0.9</v>
      </c>
      <c r="D9" s="285">
        <f ca="1">Total_Equity*Equity_Share_LP</f>
        <v>3739084.6100575007</v>
      </c>
      <c r="E9" s="1"/>
      <c r="F9" s="5"/>
      <c r="G9" s="267"/>
      <c r="H9" s="4"/>
      <c r="I9" s="4"/>
      <c r="J9" s="4"/>
      <c r="K9" s="283"/>
      <c r="L9" s="284"/>
      <c r="M9" s="4"/>
      <c r="N9" s="4"/>
      <c r="O9" s="4"/>
      <c r="P9" s="4"/>
      <c r="R9" s="1" t="s">
        <v>163</v>
      </c>
      <c r="S9" s="326">
        <f>Equity_Share_LP</f>
        <v>0.9</v>
      </c>
      <c r="T9" s="285">
        <f ca="1">Total_Equity*Equity_Share_LP</f>
        <v>3739084.6100575007</v>
      </c>
      <c r="U9" s="1"/>
      <c r="V9" s="5"/>
      <c r="W9" s="267"/>
      <c r="X9" s="4"/>
      <c r="Y9" s="4"/>
      <c r="Z9" s="4"/>
      <c r="AA9" s="283"/>
    </row>
    <row r="10" spans="2:27" ht="14.5" x14ac:dyDescent="0.35">
      <c r="B10" s="1" t="s">
        <v>162</v>
      </c>
      <c r="C10" s="268"/>
      <c r="D10" s="253">
        <f ca="1">-SUMIF(F49:P49,"&lt;0")</f>
        <v>4154538.4556194451</v>
      </c>
      <c r="E10" s="1"/>
      <c r="F10" s="5"/>
      <c r="G10" s="267"/>
      <c r="H10" s="4"/>
      <c r="I10" s="4"/>
      <c r="J10" s="4"/>
      <c r="K10" s="283"/>
      <c r="L10" s="284"/>
      <c r="M10" s="4"/>
      <c r="N10" s="4"/>
      <c r="O10" s="4"/>
      <c r="P10" s="4"/>
      <c r="R10" s="1" t="s">
        <v>162</v>
      </c>
      <c r="S10" s="268"/>
      <c r="T10" s="253">
        <f ca="1">-SUMIF(V49:AA49,"&lt;0")</f>
        <v>4154538.4556194451</v>
      </c>
      <c r="U10" s="1"/>
      <c r="V10" s="5"/>
      <c r="W10" s="267"/>
      <c r="X10" s="4"/>
      <c r="Y10" s="4"/>
      <c r="Z10" s="4"/>
      <c r="AA10" s="283"/>
    </row>
    <row r="11" spans="2:27" ht="5.15" customHeight="1" x14ac:dyDescent="0.35">
      <c r="B11" s="1"/>
      <c r="C11" s="268"/>
      <c r="D11" s="282"/>
      <c r="E11" s="1"/>
      <c r="F11" s="5"/>
      <c r="G11" s="267"/>
      <c r="H11" s="4"/>
      <c r="I11" s="4"/>
      <c r="J11" s="4"/>
      <c r="K11" s="4"/>
      <c r="L11" s="4"/>
      <c r="M11" s="4"/>
      <c r="N11" s="4"/>
      <c r="O11" s="4"/>
      <c r="P11" s="4"/>
      <c r="R11" s="1"/>
      <c r="S11" s="268"/>
      <c r="T11" s="282"/>
      <c r="U11" s="1"/>
      <c r="V11" s="5"/>
      <c r="W11" s="267"/>
      <c r="X11" s="4"/>
      <c r="Y11" s="4"/>
      <c r="Z11" s="4"/>
      <c r="AA11" s="4"/>
    </row>
    <row r="12" spans="2:27" ht="14.5" customHeight="1" x14ac:dyDescent="0.35">
      <c r="B12" s="281" t="s">
        <v>161</v>
      </c>
      <c r="C12" s="280" t="str">
        <f>IF(D4="IRR","IRR")</f>
        <v>IRR</v>
      </c>
      <c r="D12" s="237"/>
      <c r="E12" s="239"/>
      <c r="F12" s="1276" t="s">
        <v>152</v>
      </c>
      <c r="G12" s="1276"/>
      <c r="H12" s="1277" t="s">
        <v>151</v>
      </c>
      <c r="I12" s="1277"/>
      <c r="J12" s="238"/>
      <c r="K12" s="238"/>
      <c r="L12" s="238"/>
      <c r="M12" s="238"/>
      <c r="N12" s="238"/>
      <c r="O12" s="238"/>
      <c r="P12" s="238"/>
      <c r="R12" s="281" t="s">
        <v>161</v>
      </c>
      <c r="S12" s="280" t="str">
        <f>IF(T4="IRR","IRR")</f>
        <v>IRR</v>
      </c>
      <c r="T12" s="237"/>
      <c r="U12" s="239"/>
      <c r="V12" s="1276" t="s">
        <v>152</v>
      </c>
      <c r="W12" s="1276"/>
      <c r="X12" s="1277" t="s">
        <v>151</v>
      </c>
      <c r="Y12" s="1277"/>
      <c r="Z12" s="238"/>
      <c r="AA12" s="238"/>
    </row>
    <row r="13" spans="2:27" ht="15.5" x14ac:dyDescent="0.35">
      <c r="B13" s="240" t="str">
        <f>IF(D4="Equity Multiple","Partnership Distribution Assumptions (Equity Multiple Hurdles)",IF(D4="IRR","Partnership Distribution Assumptions (IRR Hurdles)","Partnership Distribution Assumptions (Max of IRR or Emx Hurdles)"))</f>
        <v>Partnership Distribution Assumptions (IRR Hurdles)</v>
      </c>
      <c r="C13" s="239"/>
      <c r="D13" s="237"/>
      <c r="E13" s="239"/>
      <c r="F13" s="1276"/>
      <c r="G13" s="1276"/>
      <c r="H13" s="279" t="s">
        <v>149</v>
      </c>
      <c r="I13" s="278" t="s">
        <v>148</v>
      </c>
      <c r="J13" s="278"/>
      <c r="K13" s="238"/>
      <c r="L13" s="238"/>
      <c r="M13" s="238"/>
      <c r="N13" s="238"/>
      <c r="O13" s="238"/>
      <c r="P13" s="238"/>
      <c r="R13" s="240" t="str">
        <f>IF(T4="Equity Multiple","Partnership Distribution Assumptions (Equity Multiple Hurdles)",IF(T4="IRR","Partnership Distribution Assumptions (IRR Hurdles)","Partnership Distribution Assumptions (Max of IRR or Emx Hurdles)"))</f>
        <v>Partnership Distribution Assumptions (IRR Hurdles)</v>
      </c>
      <c r="S13" s="239"/>
      <c r="T13" s="237"/>
      <c r="U13" s="239"/>
      <c r="V13" s="1276"/>
      <c r="W13" s="1276"/>
      <c r="X13" s="279" t="s">
        <v>149</v>
      </c>
      <c r="Y13" s="278" t="s">
        <v>148</v>
      </c>
      <c r="Z13" s="278"/>
      <c r="AA13" s="238"/>
    </row>
    <row r="14" spans="2:27" ht="14.5" x14ac:dyDescent="0.35">
      <c r="B14" s="1" t="s">
        <v>147</v>
      </c>
      <c r="C14" s="277" t="s">
        <v>37</v>
      </c>
      <c r="D14" s="276" t="s">
        <v>32</v>
      </c>
      <c r="E14" s="275">
        <f>IF($D$4="Equity Multiple",C15,D15)</f>
        <v>0</v>
      </c>
      <c r="F14" s="274" t="s">
        <v>146</v>
      </c>
      <c r="G14" s="273"/>
      <c r="H14" s="270">
        <f>Equity_Share_GP</f>
        <v>0.1</v>
      </c>
      <c r="I14" s="268">
        <f>1-H14</f>
        <v>0.9</v>
      </c>
      <c r="J14" s="1275"/>
      <c r="K14" s="1275"/>
      <c r="L14" s="1275"/>
      <c r="M14" s="1275"/>
      <c r="N14" s="1275"/>
      <c r="O14" s="4"/>
      <c r="P14" s="4"/>
      <c r="R14" s="1" t="s">
        <v>147</v>
      </c>
      <c r="S14" s="277" t="s">
        <v>37</v>
      </c>
      <c r="T14" s="276" t="s">
        <v>32</v>
      </c>
      <c r="U14" s="275">
        <f>IF($T$4="Equity Multiple",S15,T15)</f>
        <v>0</v>
      </c>
      <c r="V14" s="274" t="s">
        <v>146</v>
      </c>
      <c r="W14" s="273"/>
      <c r="X14" s="270">
        <f>Equity_Share_GP</f>
        <v>0.1</v>
      </c>
      <c r="Y14" s="268">
        <f>1-X14</f>
        <v>0.9</v>
      </c>
      <c r="Z14" s="1275"/>
      <c r="AA14" s="1275"/>
    </row>
    <row r="15" spans="2:27" ht="14.5" x14ac:dyDescent="0.35">
      <c r="B15" s="1" t="s">
        <v>145</v>
      </c>
      <c r="C15" s="272">
        <v>2</v>
      </c>
      <c r="D15" s="271">
        <v>0</v>
      </c>
      <c r="E15" s="246">
        <f>IF($D$4="Equity Multiple",C16,D16)</f>
        <v>0</v>
      </c>
      <c r="F15" s="270">
        <v>0</v>
      </c>
      <c r="G15" s="268"/>
      <c r="H15" s="269">
        <f>H14+F15</f>
        <v>0.1</v>
      </c>
      <c r="I15" s="268">
        <f>1-H15</f>
        <v>0.9</v>
      </c>
      <c r="J15" s="1275"/>
      <c r="K15" s="1275"/>
      <c r="L15" s="1275"/>
      <c r="M15" s="1275"/>
      <c r="N15" s="1275"/>
      <c r="O15" s="4"/>
      <c r="P15" s="4"/>
      <c r="R15" s="1" t="s">
        <v>145</v>
      </c>
      <c r="S15" s="272">
        <v>2</v>
      </c>
      <c r="T15" s="271">
        <v>0</v>
      </c>
      <c r="U15" s="246">
        <f>IF($T$4="Equity Multiple",S16,T16)</f>
        <v>0</v>
      </c>
      <c r="V15" s="270">
        <v>0</v>
      </c>
      <c r="W15" s="268"/>
      <c r="X15" s="269">
        <f>X14+V15</f>
        <v>0.1</v>
      </c>
      <c r="Y15" s="268">
        <f>1-X15</f>
        <v>0.9</v>
      </c>
      <c r="Z15" s="1275"/>
      <c r="AA15" s="1275"/>
    </row>
    <row r="16" spans="2:27" ht="14.5" x14ac:dyDescent="0.35">
      <c r="B16" s="1" t="s">
        <v>144</v>
      </c>
      <c r="C16" s="272">
        <v>2.5</v>
      </c>
      <c r="D16" s="271">
        <v>0</v>
      </c>
      <c r="E16" s="246">
        <f>IF($D$4="Equity Multiple",C17,D17)</f>
        <v>0</v>
      </c>
      <c r="F16" s="270">
        <v>0</v>
      </c>
      <c r="G16" s="268"/>
      <c r="H16" s="269">
        <f>F16+H14</f>
        <v>0.1</v>
      </c>
      <c r="I16" s="268">
        <f>1-H16</f>
        <v>0.9</v>
      </c>
      <c r="J16" s="1275"/>
      <c r="K16" s="1275"/>
      <c r="L16" s="1275"/>
      <c r="M16" s="1275"/>
      <c r="N16" s="1275"/>
      <c r="O16" s="4"/>
      <c r="P16" s="4"/>
      <c r="R16" s="1" t="s">
        <v>144</v>
      </c>
      <c r="S16" s="272">
        <v>2.5</v>
      </c>
      <c r="T16" s="271">
        <v>0</v>
      </c>
      <c r="U16" s="246">
        <f>IF($T$4="Equity Multiple",S17,T17)</f>
        <v>0</v>
      </c>
      <c r="V16" s="270">
        <v>0</v>
      </c>
      <c r="W16" s="268"/>
      <c r="X16" s="269">
        <f>V16+X14</f>
        <v>0.1</v>
      </c>
      <c r="Y16" s="268">
        <f>1-X16</f>
        <v>0.9</v>
      </c>
      <c r="Z16" s="1275"/>
      <c r="AA16" s="1275"/>
    </row>
    <row r="17" spans="2:27" ht="14.5" x14ac:dyDescent="0.35">
      <c r="B17" s="1" t="s">
        <v>143</v>
      </c>
      <c r="C17" s="272">
        <v>3</v>
      </c>
      <c r="D17" s="271">
        <v>0</v>
      </c>
      <c r="E17" s="246"/>
      <c r="F17" s="270">
        <v>0</v>
      </c>
      <c r="G17" s="268"/>
      <c r="H17" s="269">
        <f>H14+F17</f>
        <v>0.1</v>
      </c>
      <c r="I17" s="268">
        <f>1-H17</f>
        <v>0.9</v>
      </c>
      <c r="J17" s="1275"/>
      <c r="K17" s="1275"/>
      <c r="L17" s="1275"/>
      <c r="M17" s="1275"/>
      <c r="N17" s="1275"/>
      <c r="O17" s="4"/>
      <c r="P17" s="4"/>
      <c r="R17" s="1" t="s">
        <v>143</v>
      </c>
      <c r="S17" s="272">
        <v>3</v>
      </c>
      <c r="T17" s="271">
        <v>0</v>
      </c>
      <c r="U17" s="246"/>
      <c r="V17" s="270">
        <v>0</v>
      </c>
      <c r="W17" s="268"/>
      <c r="X17" s="269">
        <f>X14+V17</f>
        <v>0.1</v>
      </c>
      <c r="Y17" s="268">
        <f>1-X17</f>
        <v>0.9</v>
      </c>
      <c r="Z17" s="1275"/>
      <c r="AA17" s="1275"/>
    </row>
    <row r="18" spans="2:27" ht="5.15" customHeight="1" x14ac:dyDescent="0.35">
      <c r="B18" s="1"/>
      <c r="C18" s="1"/>
      <c r="D18" s="257"/>
      <c r="E18" s="246"/>
      <c r="F18" s="267"/>
      <c r="G18" s="266"/>
      <c r="H18" s="6"/>
      <c r="I18" s="6"/>
      <c r="J18" s="4"/>
      <c r="K18" s="4"/>
      <c r="L18" s="4"/>
      <c r="M18" s="4"/>
      <c r="N18" s="4"/>
      <c r="O18" s="4"/>
      <c r="P18" s="4"/>
      <c r="R18" s="1"/>
      <c r="S18" s="1"/>
      <c r="T18" s="257"/>
      <c r="U18" s="246"/>
      <c r="V18" s="267"/>
      <c r="W18" s="266"/>
      <c r="X18" s="6"/>
      <c r="Y18" s="6"/>
      <c r="Z18" s="4"/>
      <c r="AA18" s="4"/>
    </row>
    <row r="19" spans="2:27" ht="15.5" x14ac:dyDescent="0.35">
      <c r="B19" s="240" t="s">
        <v>142</v>
      </c>
      <c r="C19" s="239"/>
      <c r="D19" s="265"/>
      <c r="E19" s="264"/>
      <c r="F19" s="236">
        <v>0</v>
      </c>
      <c r="G19" s="236">
        <f t="shared" ref="G19:P19" ca="1" si="0">IF(G45="","",F19+1)</f>
        <v>1</v>
      </c>
      <c r="H19" s="236">
        <f t="shared" ca="1" si="0"/>
        <v>2</v>
      </c>
      <c r="I19" s="236">
        <f t="shared" ca="1" si="0"/>
        <v>3</v>
      </c>
      <c r="J19" s="236">
        <f t="shared" ca="1" si="0"/>
        <v>4</v>
      </c>
      <c r="K19" s="236">
        <f t="shared" ca="1" si="0"/>
        <v>5</v>
      </c>
      <c r="L19" s="236">
        <f t="shared" ca="1" si="0"/>
        <v>6</v>
      </c>
      <c r="M19" s="236">
        <f t="shared" ca="1" si="0"/>
        <v>7</v>
      </c>
      <c r="N19" s="236">
        <f t="shared" ca="1" si="0"/>
        <v>8</v>
      </c>
      <c r="O19" s="236">
        <f t="shared" ca="1" si="0"/>
        <v>9</v>
      </c>
      <c r="P19" s="236">
        <f t="shared" ca="1" si="0"/>
        <v>10</v>
      </c>
      <c r="R19" s="240" t="s">
        <v>142</v>
      </c>
      <c r="S19" s="239"/>
      <c r="T19" s="265"/>
      <c r="U19" s="264"/>
      <c r="V19" s="236">
        <v>0</v>
      </c>
      <c r="W19" s="236">
        <f ca="1">IF(W45="","",V19+1)</f>
        <v>1</v>
      </c>
      <c r="X19" s="236">
        <f ca="1">IF(X45="","",W19+1)</f>
        <v>2</v>
      </c>
      <c r="Y19" s="236">
        <f ca="1">IF(Y45="","",X19+1)</f>
        <v>3</v>
      </c>
      <c r="Z19" s="236">
        <f ca="1">IF(Z45="","",Y19+1)</f>
        <v>4</v>
      </c>
      <c r="AA19" s="236">
        <f ca="1">IF(AA45="","",Z19+1)</f>
        <v>5</v>
      </c>
    </row>
    <row r="20" spans="2:27" ht="14.5" x14ac:dyDescent="0.35">
      <c r="B20" s="258" t="s">
        <v>141</v>
      </c>
      <c r="C20" s="1"/>
      <c r="D20" s="257"/>
      <c r="E20" s="246"/>
      <c r="F20" s="245"/>
      <c r="G20" s="244"/>
      <c r="H20" s="227"/>
      <c r="I20" s="227"/>
      <c r="J20" s="225"/>
      <c r="K20" s="225"/>
      <c r="L20" s="225"/>
      <c r="M20" s="225"/>
      <c r="N20" s="225"/>
      <c r="O20" s="225"/>
      <c r="P20" s="225"/>
      <c r="R20" s="258" t="s">
        <v>141</v>
      </c>
      <c r="S20" s="1"/>
      <c r="T20" s="257"/>
      <c r="U20" s="246"/>
      <c r="V20" s="245"/>
      <c r="W20" s="244"/>
      <c r="X20" s="227"/>
      <c r="Y20" s="227"/>
      <c r="Z20" s="225"/>
      <c r="AA20" s="225"/>
    </row>
    <row r="21" spans="2:27" ht="14.5" x14ac:dyDescent="0.35">
      <c r="B21" s="249"/>
      <c r="C21" s="263" t="s">
        <v>160</v>
      </c>
      <c r="D21" s="261"/>
      <c r="E21" s="246"/>
      <c r="F21" s="253"/>
      <c r="G21" s="253"/>
      <c r="H21" s="253"/>
      <c r="I21" s="253"/>
      <c r="J21" s="253"/>
      <c r="K21" s="253"/>
      <c r="L21" s="253"/>
      <c r="M21" s="253"/>
      <c r="N21" s="253"/>
      <c r="O21" s="253"/>
      <c r="P21" s="253"/>
      <c r="R21" s="249"/>
      <c r="S21" s="263" t="s">
        <v>160</v>
      </c>
      <c r="T21" s="261"/>
      <c r="U21" s="246"/>
      <c r="V21" s="253"/>
      <c r="W21" s="253"/>
      <c r="X21" s="253"/>
      <c r="Y21" s="253"/>
      <c r="Z21" s="253"/>
      <c r="AA21" s="253"/>
    </row>
    <row r="22" spans="2:27" ht="14.5" x14ac:dyDescent="0.35">
      <c r="B22" s="249" t="s">
        <v>159</v>
      </c>
      <c r="C22" s="256" t="str">
        <f ca="1">IF(ROUND(D22,0)=ROUND(SUM(F22:P22),0),"OK","ERROR")</f>
        <v>OK</v>
      </c>
      <c r="D22" s="261">
        <f ca="1">(C12="IRR")*(SUM(F94:P94)-D23)</f>
        <v>4.6566128730773926E-10</v>
      </c>
      <c r="E22" s="246"/>
      <c r="F22" s="253">
        <f ca="1">IF(F19="","",MIN($D22-SUM($E22:E22),F25-F23))</f>
        <v>0</v>
      </c>
      <c r="G22" s="253">
        <f ca="1">IF(G19="","",MIN($D22-SUM($E22:F22),G25-G23))</f>
        <v>0</v>
      </c>
      <c r="H22" s="253">
        <f ca="1">IF(H19="","",MIN($D22-SUM($E22:G22),H25-H23))</f>
        <v>0</v>
      </c>
      <c r="I22" s="253">
        <f ca="1">IF(I19="","",MIN($D22-SUM($E22:H22),I25-I23))</f>
        <v>0</v>
      </c>
      <c r="J22" s="253">
        <f ca="1">IF(J19="","",MIN($D22-SUM($E22:I22),J25-J23))</f>
        <v>0</v>
      </c>
      <c r="K22" s="253">
        <f ca="1">IF(K19="","",MIN($D22-SUM($E22:J22),K25-K23))</f>
        <v>0</v>
      </c>
      <c r="L22" s="253">
        <f ca="1">IF(L19="","",MIN($D22-SUM($E22:K22),L25-L23))</f>
        <v>0</v>
      </c>
      <c r="M22" s="253">
        <f ca="1">IF(M19="","",MIN($D22-SUM($E22:L22),M25-M23))</f>
        <v>0</v>
      </c>
      <c r="N22" s="253">
        <f ca="1">IF(N19="","",MIN($D22-SUM($E22:M22),N25-N23))</f>
        <v>0</v>
      </c>
      <c r="O22" s="253">
        <f ca="1">IF(O19="","",MIN($D22-SUM($E22:N22),O25-O23))</f>
        <v>0</v>
      </c>
      <c r="P22" s="253">
        <f ca="1">IF(P19="","",MIN($D22-SUM($E22:O22),P25-P23))</f>
        <v>4.6566128730773926E-10</v>
      </c>
      <c r="R22" s="249" t="s">
        <v>159</v>
      </c>
      <c r="S22" s="256" t="str">
        <f ca="1">IF(ROUND(T22,0)=ROUND(SUM(V22:AA22),0),"OK","ERROR")</f>
        <v>OK</v>
      </c>
      <c r="T22" s="261">
        <f ca="1">(S12="IRR")*(SUM(V94:AA94)-T23)</f>
        <v>4.6566128730773926E-10</v>
      </c>
      <c r="U22" s="246"/>
      <c r="V22" s="253">
        <f ca="1">IF(V19="","",MIN($T22-SUM($U22:U22),V25-V23))</f>
        <v>0</v>
      </c>
      <c r="W22" s="253">
        <f ca="1">IF(W19="","",MIN($T22-SUM($U22:V22),W25-W23))</f>
        <v>0</v>
      </c>
      <c r="X22" s="253">
        <f ca="1">IF(X19="","",MIN($T22-SUM($U22:W22),X25-X23))</f>
        <v>0</v>
      </c>
      <c r="Y22" s="253">
        <f ca="1">IF(Y19="","",MIN($T22-SUM($U22:X22),Y25-Y23))</f>
        <v>0</v>
      </c>
      <c r="Z22" s="253">
        <f ca="1">IF(Z19="","",MIN($T22-SUM($U22:Y22),Z25-Z23))</f>
        <v>0</v>
      </c>
      <c r="AA22" s="253">
        <f ca="1">IF(AA19="","",MIN($T22-SUM($U22:Z22),AA25-AA23))</f>
        <v>4.6566128730773926E-10</v>
      </c>
    </row>
    <row r="23" spans="2:27" ht="14.5" x14ac:dyDescent="0.35">
      <c r="B23" s="249" t="s">
        <v>158</v>
      </c>
      <c r="C23" s="256" t="str">
        <f ca="1">IF(ROUND(D23,0)=ROUND(SUM(F23:P23),0),"OK","ERROR")</f>
        <v>OK</v>
      </c>
      <c r="D23" s="261">
        <f ca="1">MIN(D26,D25)</f>
        <v>3739084.6100575007</v>
      </c>
      <c r="E23" s="246"/>
      <c r="F23" s="253">
        <f ca="1">IF(F19="","",MIN($D23-SUM($E23:E23),F25))</f>
        <v>0</v>
      </c>
      <c r="G23" s="253">
        <f ca="1">IF(G19="","",MIN($D23-SUM($E23:F23),G25))</f>
        <v>332360.72900245379</v>
      </c>
      <c r="H23" s="253">
        <f ca="1">IF(H19="","",MIN($D23-SUM($E23:G23),H25))</f>
        <v>344827.26494783838</v>
      </c>
      <c r="I23" s="253">
        <f ca="1">IF(I19="","",MIN($D23-SUM($E23:H23),I25))</f>
        <v>357543.13161213067</v>
      </c>
      <c r="J23" s="253">
        <f ca="1">IF(J19="","",MIN($D23-SUM($E23:I23),J25))</f>
        <v>370513.31560970878</v>
      </c>
      <c r="K23" s="253">
        <f ca="1">IF(K19="","",MIN($D23-SUM($E23:J23),K25))</f>
        <v>383742.9032872385</v>
      </c>
      <c r="L23" s="253">
        <f ca="1">IF(L19="","",MIN($D23-SUM($E23:K23),L25))</f>
        <v>397237.08271831885</v>
      </c>
      <c r="M23" s="253">
        <f ca="1">IF(M19="","",MIN($D23-SUM($E23:L23),M25))</f>
        <v>411001.14573802071</v>
      </c>
      <c r="N23" s="253">
        <f ca="1">IF(N19="","",MIN($D23-SUM($E23:M23),N25))</f>
        <v>425040.4900181166</v>
      </c>
      <c r="O23" s="253">
        <f ca="1">IF(O19="","",MIN($D23-SUM($E23:N23),O25))</f>
        <v>439360.62118381448</v>
      </c>
      <c r="P23" s="253">
        <f ca="1">IF(P19="","",MIN($D23-SUM($E23:O23),P25))</f>
        <v>277457.92593985982</v>
      </c>
      <c r="R23" s="249" t="s">
        <v>158</v>
      </c>
      <c r="S23" s="256" t="str">
        <f ca="1">IF(ROUND(T23,0)=ROUND(SUM(V23:AA23),0),"OK","ERROR")</f>
        <v>OK</v>
      </c>
      <c r="T23" s="261">
        <f ca="1">MIN(T26,T25)</f>
        <v>3739084.6100575007</v>
      </c>
      <c r="U23" s="246"/>
      <c r="V23" s="253">
        <f ca="1">IF(V19="","",MIN($T23-SUM($U23:U23),V25))</f>
        <v>0</v>
      </c>
      <c r="W23" s="253">
        <f ca="1">IF(W19="","",MIN($T23-SUM($U23:V23),W25))</f>
        <v>332360.72900245379</v>
      </c>
      <c r="X23" s="253">
        <f ca="1">IF(X19="","",MIN($T23-SUM($U23:W23),X25))</f>
        <v>344827.26494783838</v>
      </c>
      <c r="Y23" s="253">
        <f ca="1">IF(Y19="","",MIN($T23-SUM($U23:X23),Y25))</f>
        <v>357543.13161213067</v>
      </c>
      <c r="Z23" s="253">
        <f ca="1">IF(Z19="","",MIN($T23-SUM($U23:Y23),Z25))</f>
        <v>370513.31560970878</v>
      </c>
      <c r="AA23" s="253">
        <f ca="1">IF(AA19="","",MIN($T23-SUM($U23:Z23),AA25))</f>
        <v>2333840.1688853689</v>
      </c>
    </row>
    <row r="24" spans="2:27" ht="16" x14ac:dyDescent="0.5">
      <c r="B24" s="249" t="s">
        <v>156</v>
      </c>
      <c r="C24" s="256" t="str">
        <f ca="1">IF(ROUND(D24,0)=ROUND(SUM(F24:P24),0),"OK","ERROR")</f>
        <v>OK</v>
      </c>
      <c r="D24" s="262">
        <f ca="1">D25-D23-D22</f>
        <v>4823655.9068201091</v>
      </c>
      <c r="E24" s="246"/>
      <c r="F24" s="255">
        <f t="shared" ref="F24:P24" ca="1" si="1">IF(F19="","",F25-F23-F22)</f>
        <v>0</v>
      </c>
      <c r="G24" s="255">
        <f t="shared" ca="1" si="1"/>
        <v>0</v>
      </c>
      <c r="H24" s="255">
        <f t="shared" ca="1" si="1"/>
        <v>0</v>
      </c>
      <c r="I24" s="255">
        <f t="shared" ca="1" si="1"/>
        <v>0</v>
      </c>
      <c r="J24" s="255">
        <f t="shared" ca="1" si="1"/>
        <v>0</v>
      </c>
      <c r="K24" s="255">
        <f t="shared" ca="1" si="1"/>
        <v>0</v>
      </c>
      <c r="L24" s="255">
        <f t="shared" ca="1" si="1"/>
        <v>0</v>
      </c>
      <c r="M24" s="255">
        <f t="shared" ca="1" si="1"/>
        <v>0</v>
      </c>
      <c r="N24" s="255">
        <f t="shared" ca="1" si="1"/>
        <v>0</v>
      </c>
      <c r="O24" s="255">
        <f t="shared" ca="1" si="1"/>
        <v>0</v>
      </c>
      <c r="P24" s="255">
        <f t="shared" ca="1" si="1"/>
        <v>4823655.9068201091</v>
      </c>
      <c r="R24" s="249" t="s">
        <v>156</v>
      </c>
      <c r="S24" s="256" t="str">
        <f ca="1">IF(ROUND(T24,0)=ROUND(SUM(V24:AA24),0),"OK","ERROR")</f>
        <v>OK</v>
      </c>
      <c r="T24" s="262">
        <f ca="1">T25-T23-T22</f>
        <v>2041796.3725187853</v>
      </c>
      <c r="U24" s="246"/>
      <c r="V24" s="255">
        <f t="shared" ref="V24:AA24" ca="1" si="2">IF(V19="","",V25-V23-V22)</f>
        <v>0</v>
      </c>
      <c r="W24" s="255">
        <f t="shared" ca="1" si="2"/>
        <v>0</v>
      </c>
      <c r="X24" s="255">
        <f t="shared" ca="1" si="2"/>
        <v>0</v>
      </c>
      <c r="Y24" s="255">
        <f t="shared" ca="1" si="2"/>
        <v>0</v>
      </c>
      <c r="Z24" s="255">
        <f t="shared" ca="1" si="2"/>
        <v>0</v>
      </c>
      <c r="AA24" s="255">
        <f t="shared" ca="1" si="2"/>
        <v>2041796.3725187848</v>
      </c>
    </row>
    <row r="25" spans="2:27" ht="14.5" x14ac:dyDescent="0.35">
      <c r="B25" s="249" t="s">
        <v>140</v>
      </c>
      <c r="C25" s="248"/>
      <c r="D25" s="261">
        <f ca="1">SUM(F25:P25)</f>
        <v>8562740.5168776102</v>
      </c>
      <c r="E25" s="246"/>
      <c r="F25" s="253">
        <f t="shared" ref="F25:P25" ca="1" si="3">IF(F$19="","",($C$12="IRR")*F65)</f>
        <v>0</v>
      </c>
      <c r="G25" s="253">
        <f t="shared" ca="1" si="3"/>
        <v>332360.72900245379</v>
      </c>
      <c r="H25" s="253">
        <f t="shared" ca="1" si="3"/>
        <v>344827.26494783838</v>
      </c>
      <c r="I25" s="253">
        <f t="shared" ca="1" si="3"/>
        <v>357543.13161213067</v>
      </c>
      <c r="J25" s="253">
        <f t="shared" ca="1" si="3"/>
        <v>370513.31560970878</v>
      </c>
      <c r="K25" s="253">
        <f t="shared" ca="1" si="3"/>
        <v>383742.9032872385</v>
      </c>
      <c r="L25" s="253">
        <f t="shared" ca="1" si="3"/>
        <v>397237.08271831885</v>
      </c>
      <c r="M25" s="253">
        <f t="shared" ca="1" si="3"/>
        <v>411001.14573802071</v>
      </c>
      <c r="N25" s="253">
        <f t="shared" ca="1" si="3"/>
        <v>425040.4900181166</v>
      </c>
      <c r="O25" s="253">
        <f t="shared" ca="1" si="3"/>
        <v>439360.62118381448</v>
      </c>
      <c r="P25" s="253">
        <f t="shared" ca="1" si="3"/>
        <v>5101113.8327599689</v>
      </c>
      <c r="R25" s="249" t="s">
        <v>140</v>
      </c>
      <c r="S25" s="248"/>
      <c r="T25" s="261">
        <f ca="1">SUM(V25:AA25)</f>
        <v>5780880.9825762864</v>
      </c>
      <c r="U25" s="246"/>
      <c r="V25" s="253">
        <f t="shared" ref="V25:AA25" ca="1" si="4">IF(V$19="","",($S$12="IRR")*V65)</f>
        <v>0</v>
      </c>
      <c r="W25" s="253">
        <f t="shared" ca="1" si="4"/>
        <v>332360.72900245379</v>
      </c>
      <c r="X25" s="253">
        <f t="shared" ca="1" si="4"/>
        <v>344827.26494783838</v>
      </c>
      <c r="Y25" s="253">
        <f t="shared" ca="1" si="4"/>
        <v>357543.13161213067</v>
      </c>
      <c r="Z25" s="253">
        <f t="shared" ca="1" si="4"/>
        <v>370513.31560970878</v>
      </c>
      <c r="AA25" s="253">
        <f t="shared" ca="1" si="4"/>
        <v>4375636.5414041542</v>
      </c>
    </row>
    <row r="26" spans="2:27" ht="14.5" x14ac:dyDescent="0.35">
      <c r="B26" s="249" t="s">
        <v>139</v>
      </c>
      <c r="C26" s="248"/>
      <c r="D26" s="261">
        <f ca="1">SUM(F26:P26)</f>
        <v>3739084.6100575007</v>
      </c>
      <c r="E26" s="246"/>
      <c r="F26" s="253">
        <f t="shared" ref="F26:P26" ca="1" si="5">F93</f>
        <v>3739084.6100575007</v>
      </c>
      <c r="G26" s="253">
        <f t="shared" ca="1" si="5"/>
        <v>0</v>
      </c>
      <c r="H26" s="253">
        <f t="shared" ca="1" si="5"/>
        <v>0</v>
      </c>
      <c r="I26" s="253">
        <f t="shared" ca="1" si="5"/>
        <v>0</v>
      </c>
      <c r="J26" s="253">
        <f t="shared" ca="1" si="5"/>
        <v>0</v>
      </c>
      <c r="K26" s="253">
        <f t="shared" ca="1" si="5"/>
        <v>0</v>
      </c>
      <c r="L26" s="253">
        <f t="shared" ca="1" si="5"/>
        <v>0</v>
      </c>
      <c r="M26" s="253">
        <f t="shared" ca="1" si="5"/>
        <v>0</v>
      </c>
      <c r="N26" s="253">
        <f t="shared" ca="1" si="5"/>
        <v>0</v>
      </c>
      <c r="O26" s="253">
        <f t="shared" ca="1" si="5"/>
        <v>0</v>
      </c>
      <c r="P26" s="253">
        <f t="shared" ca="1" si="5"/>
        <v>0</v>
      </c>
      <c r="R26" s="249" t="s">
        <v>139</v>
      </c>
      <c r="S26" s="248"/>
      <c r="T26" s="261">
        <f ca="1">SUM(V26:AA26)</f>
        <v>3739084.6100575007</v>
      </c>
      <c r="U26" s="246"/>
      <c r="V26" s="253">
        <f t="shared" ref="V26:AA26" ca="1" si="6">V93</f>
        <v>3739084.6100575007</v>
      </c>
      <c r="W26" s="253">
        <f t="shared" ca="1" si="6"/>
        <v>0</v>
      </c>
      <c r="X26" s="253">
        <f t="shared" ca="1" si="6"/>
        <v>0</v>
      </c>
      <c r="Y26" s="253">
        <f t="shared" ca="1" si="6"/>
        <v>0</v>
      </c>
      <c r="Z26" s="253">
        <f t="shared" ca="1" si="6"/>
        <v>0</v>
      </c>
      <c r="AA26" s="253">
        <f t="shared" ca="1" si="6"/>
        <v>0</v>
      </c>
    </row>
    <row r="27" spans="2:27" ht="15" thickBot="1" x14ac:dyDescent="0.4">
      <c r="B27" s="249" t="s">
        <v>138</v>
      </c>
      <c r="C27" s="248"/>
      <c r="D27" s="261">
        <f ca="1">D25-D26</f>
        <v>4823655.9068201091</v>
      </c>
      <c r="E27" s="246"/>
      <c r="F27" s="254"/>
      <c r="G27" s="253"/>
      <c r="H27" s="252"/>
      <c r="I27" s="252"/>
      <c r="J27" s="252"/>
      <c r="K27" s="252"/>
      <c r="L27" s="252"/>
      <c r="M27" s="252"/>
      <c r="N27" s="252"/>
      <c r="O27" s="252"/>
      <c r="P27" s="252"/>
      <c r="R27" s="249" t="s">
        <v>138</v>
      </c>
      <c r="S27" s="248"/>
      <c r="T27" s="261">
        <f ca="1">T25-T26</f>
        <v>2041796.3725187858</v>
      </c>
      <c r="U27" s="246"/>
      <c r="V27" s="254"/>
      <c r="W27" s="253"/>
      <c r="X27" s="252"/>
      <c r="Y27" s="252"/>
      <c r="Z27" s="252"/>
      <c r="AA27" s="252"/>
    </row>
    <row r="28" spans="2:27" ht="15" thickBot="1" x14ac:dyDescent="0.4">
      <c r="B28" s="249" t="s">
        <v>137</v>
      </c>
      <c r="C28" s="248"/>
      <c r="D28" s="260">
        <f ca="1">IRR(F28:P28)</f>
        <v>0.11566556677933226</v>
      </c>
      <c r="E28" s="246"/>
      <c r="F28" s="567">
        <f t="shared" ref="F28:P28" ca="1" si="7">IF(F19="","",(-F26)+F25)</f>
        <v>-3739084.6100575007</v>
      </c>
      <c r="G28" s="568">
        <f t="shared" ca="1" si="7"/>
        <v>332360.72900245379</v>
      </c>
      <c r="H28" s="568">
        <f t="shared" ca="1" si="7"/>
        <v>344827.26494783838</v>
      </c>
      <c r="I28" s="568">
        <f t="shared" ca="1" si="7"/>
        <v>357543.13161213067</v>
      </c>
      <c r="J28" s="568">
        <f t="shared" ca="1" si="7"/>
        <v>370513.31560970878</v>
      </c>
      <c r="K28" s="568">
        <f t="shared" ca="1" si="7"/>
        <v>383742.9032872385</v>
      </c>
      <c r="L28" s="568">
        <f t="shared" ca="1" si="7"/>
        <v>397237.08271831885</v>
      </c>
      <c r="M28" s="568">
        <f t="shared" ca="1" si="7"/>
        <v>411001.14573802071</v>
      </c>
      <c r="N28" s="568">
        <f t="shared" ca="1" si="7"/>
        <v>425040.4900181166</v>
      </c>
      <c r="O28" s="568">
        <f t="shared" ca="1" si="7"/>
        <v>439360.62118381448</v>
      </c>
      <c r="P28" s="569">
        <f t="shared" ca="1" si="7"/>
        <v>5101113.8327599689</v>
      </c>
      <c r="R28" s="249" t="s">
        <v>137</v>
      </c>
      <c r="S28" s="248"/>
      <c r="T28" s="260">
        <f ca="1">IRR(V28:AA28)</f>
        <v>0.10594725198855337</v>
      </c>
      <c r="U28" s="246"/>
      <c r="V28" s="253">
        <f t="shared" ref="V28:AA28" ca="1" si="8">IF(V19="","",(-V26)+V25)</f>
        <v>-3739084.6100575007</v>
      </c>
      <c r="W28" s="253">
        <f t="shared" ca="1" si="8"/>
        <v>332360.72900245379</v>
      </c>
      <c r="X28" s="253">
        <f t="shared" ca="1" si="8"/>
        <v>344827.26494783838</v>
      </c>
      <c r="Y28" s="253">
        <f t="shared" ca="1" si="8"/>
        <v>357543.13161213067</v>
      </c>
      <c r="Z28" s="253">
        <f t="shared" ca="1" si="8"/>
        <v>370513.31560970878</v>
      </c>
      <c r="AA28" s="253">
        <f t="shared" ca="1" si="8"/>
        <v>4375636.5414041542</v>
      </c>
    </row>
    <row r="29" spans="2:27" ht="14.5" x14ac:dyDescent="0.35">
      <c r="B29" s="249" t="s">
        <v>136</v>
      </c>
      <c r="C29" s="248"/>
      <c r="D29" s="259">
        <f ca="1">D25/D26</f>
        <v>2.2900633202696983</v>
      </c>
      <c r="E29" s="246"/>
      <c r="F29" s="254"/>
      <c r="G29" s="253"/>
      <c r="H29" s="252"/>
      <c r="I29" s="252"/>
      <c r="J29" s="252"/>
      <c r="K29" s="252"/>
      <c r="L29" s="252"/>
      <c r="M29" s="252"/>
      <c r="N29" s="252"/>
      <c r="O29" s="252"/>
      <c r="P29" s="252"/>
      <c r="R29" s="249" t="s">
        <v>136</v>
      </c>
      <c r="S29" s="248"/>
      <c r="T29" s="259">
        <f ca="1">T25/T26</f>
        <v>1.5460685128725629</v>
      </c>
      <c r="U29" s="246"/>
      <c r="V29" s="254"/>
      <c r="W29" s="253"/>
      <c r="X29" s="252"/>
      <c r="Y29" s="252"/>
      <c r="Z29" s="252"/>
      <c r="AA29" s="252"/>
    </row>
    <row r="30" spans="2:27" ht="5.15" customHeight="1" x14ac:dyDescent="0.35">
      <c r="B30" s="249"/>
      <c r="C30" s="248"/>
      <c r="D30" s="257"/>
      <c r="E30" s="246"/>
      <c r="F30" s="254"/>
      <c r="G30" s="253"/>
      <c r="H30" s="252"/>
      <c r="I30" s="252"/>
      <c r="J30" s="252"/>
      <c r="K30" s="252"/>
      <c r="L30" s="252"/>
      <c r="M30" s="252"/>
      <c r="N30" s="252"/>
      <c r="O30" s="252"/>
      <c r="P30" s="252"/>
      <c r="R30" s="249"/>
      <c r="S30" s="248"/>
      <c r="T30" s="257"/>
      <c r="U30" s="246"/>
      <c r="V30" s="254"/>
      <c r="W30" s="253"/>
      <c r="X30" s="252"/>
      <c r="Y30" s="252"/>
      <c r="Z30" s="252"/>
      <c r="AA30" s="252"/>
    </row>
    <row r="31" spans="2:27" ht="14.5" x14ac:dyDescent="0.35">
      <c r="B31" s="258" t="s">
        <v>135</v>
      </c>
      <c r="C31" s="248"/>
      <c r="D31" s="257"/>
      <c r="E31" s="246"/>
      <c r="F31" s="254"/>
      <c r="G31" s="253"/>
      <c r="H31" s="252"/>
      <c r="I31" s="252"/>
      <c r="J31" s="252"/>
      <c r="K31" s="252"/>
      <c r="L31" s="252"/>
      <c r="M31" s="252"/>
      <c r="N31" s="252"/>
      <c r="O31" s="252"/>
      <c r="P31" s="252"/>
      <c r="R31" s="258" t="s">
        <v>135</v>
      </c>
      <c r="S31" s="248"/>
      <c r="T31" s="257"/>
      <c r="U31" s="246"/>
      <c r="V31" s="254"/>
      <c r="W31" s="253"/>
      <c r="X31" s="252"/>
      <c r="Y31" s="252"/>
      <c r="Z31" s="252"/>
      <c r="AA31" s="252"/>
    </row>
    <row r="32" spans="2:27" ht="14.5" x14ac:dyDescent="0.35">
      <c r="B32" s="249" t="s">
        <v>159</v>
      </c>
      <c r="C32" s="256" t="str">
        <f ca="1">IF(ROUND(D32,0)=ROUND(SUM(F32:P32),0),"OK","ERROR")</f>
        <v>OK</v>
      </c>
      <c r="D32" s="253">
        <f ca="1">(C12="IRR")*(SUM(F102:P102)-D33)</f>
        <v>0</v>
      </c>
      <c r="E32" s="246"/>
      <c r="F32" s="253">
        <f ca="1">IF(F19="","",MIN($D32-SUM($E32:E32),F36-F33))</f>
        <v>0</v>
      </c>
      <c r="G32" s="253">
        <f ca="1">IF(G19="","",MIN($D32-SUM($E32:F32),G36-G33))</f>
        <v>0</v>
      </c>
      <c r="H32" s="253">
        <f ca="1">IF(H19="","",MIN($D32-SUM($E32:G32),H36-H33))</f>
        <v>0</v>
      </c>
      <c r="I32" s="253">
        <f ca="1">IF(I19="","",MIN($D32-SUM($E32:H32),I36-I33))</f>
        <v>0</v>
      </c>
      <c r="J32" s="253">
        <f ca="1">IF(J19="","",MIN($D32-SUM($E32:I32),J36-J33))</f>
        <v>0</v>
      </c>
      <c r="K32" s="253">
        <f ca="1">IF(K19="","",MIN($D32-SUM($E32:J32),K36-K33))</f>
        <v>0</v>
      </c>
      <c r="L32" s="253">
        <f ca="1">IF(L19="","",MIN($D32-SUM($E32:K32),L36-L33))</f>
        <v>0</v>
      </c>
      <c r="M32" s="253">
        <f ca="1">IF(M19="","",MIN($D32-SUM($E32:L32),M36-M33))</f>
        <v>0</v>
      </c>
      <c r="N32" s="253">
        <f ca="1">IF(N19="","",MIN($D32-SUM($E32:M32),N36-N33))</f>
        <v>0</v>
      </c>
      <c r="O32" s="253">
        <f ca="1">IF(O19="","",MIN($D32-SUM($E32:N32),O36-O33))</f>
        <v>0</v>
      </c>
      <c r="P32" s="253">
        <f ca="1">IF(P19="","",MIN($D32-SUM($E32:O32),P36-P33))</f>
        <v>0</v>
      </c>
      <c r="R32" s="249" t="s">
        <v>159</v>
      </c>
      <c r="S32" s="256" t="str">
        <f ca="1">IF(ROUND(T32,0)=ROUND(SUM(V32:AA32),0),"OK","ERROR")</f>
        <v>OK</v>
      </c>
      <c r="T32" s="253">
        <f ca="1">(S12="IRR")*(SUM(V102:AA102)-T33)</f>
        <v>0</v>
      </c>
      <c r="U32" s="246"/>
      <c r="V32" s="253">
        <f ca="1">IF(V19="","",MIN($T32-SUM($U32:U32),V36-V33))</f>
        <v>0</v>
      </c>
      <c r="W32" s="253">
        <f ca="1">IF(W19="","",MIN($T32-SUM($U32:V32),W36-W33))</f>
        <v>0</v>
      </c>
      <c r="X32" s="253">
        <f ca="1">IF(X19="","",MIN($T32-SUM($U32:W32),X36-X33))</f>
        <v>0</v>
      </c>
      <c r="Y32" s="253">
        <f ca="1">IF(Y19="","",MIN($T32-SUM($U32:X32),Y36-Y33))</f>
        <v>0</v>
      </c>
      <c r="Z32" s="253">
        <f ca="1">IF(Z19="","",MIN($T32-SUM($U32:Y32),Z36-Z33))</f>
        <v>0</v>
      </c>
      <c r="AA32" s="253">
        <f ca="1">IF(AA19="","",MIN($T32-SUM($U32:Z32),AA36-AA33))</f>
        <v>0</v>
      </c>
    </row>
    <row r="33" spans="2:27" ht="14.5" x14ac:dyDescent="0.35">
      <c r="B33" s="249" t="s">
        <v>158</v>
      </c>
      <c r="C33" s="256" t="str">
        <f ca="1">IF(ROUND(D33,0)=ROUND(SUM(F33:P33),0),"OK","ERROR")</f>
        <v>OK</v>
      </c>
      <c r="D33" s="253">
        <f ca="1">MIN(D36,D38)</f>
        <v>415453.84556194453</v>
      </c>
      <c r="E33" s="246"/>
      <c r="F33" s="253">
        <f ca="1">IF(F19="","",MIN($D33-SUM($E33:E33),F36))</f>
        <v>0</v>
      </c>
      <c r="G33" s="253">
        <f ca="1">IF(G19="","",MIN($D33-SUM($E33:F33),G36))</f>
        <v>36928.969889161534</v>
      </c>
      <c r="H33" s="253">
        <f ca="1">IF(H19="","",MIN($D33-SUM($E33:G33),H36))</f>
        <v>38314.140549759817</v>
      </c>
      <c r="I33" s="253">
        <f ca="1">IF(I19="","",MIN($D33-SUM($E33:H33),I36))</f>
        <v>39727.014623570081</v>
      </c>
      <c r="J33" s="253">
        <f ca="1">IF(J19="","",MIN($D33-SUM($E33:I33),J36))</f>
        <v>41168.146178856528</v>
      </c>
      <c r="K33" s="253">
        <f ca="1">IF(K19="","",MIN($D33-SUM($E33:J33),K36))</f>
        <v>42638.10036524872</v>
      </c>
      <c r="L33" s="253">
        <f ca="1">IF(L19="","",MIN($D33-SUM($E33:K33),L36))</f>
        <v>44137.453635368758</v>
      </c>
      <c r="M33" s="253">
        <f ca="1">IF(M19="","",MIN($D33-SUM($E33:L33),M36))</f>
        <v>45666.793970891187</v>
      </c>
      <c r="N33" s="253">
        <f ca="1">IF(N19="","",MIN($D33-SUM($E33:M33),N36))</f>
        <v>47226.721113124069</v>
      </c>
      <c r="O33" s="253">
        <f ca="1">IF(O19="","",MIN($D33-SUM($E33:N33),O36))</f>
        <v>48817.846798201615</v>
      </c>
      <c r="P33" s="253">
        <f ca="1">IF(P19="","",MIN($D33-SUM($E33:O33),P36))</f>
        <v>30828.658437762235</v>
      </c>
      <c r="R33" s="249" t="s">
        <v>158</v>
      </c>
      <c r="S33" s="256" t="str">
        <f ca="1">IF(ROUND(T33,0)=ROUND(SUM(V33:AA33),0),"OK","ERROR")</f>
        <v>OK</v>
      </c>
      <c r="T33" s="253">
        <f ca="1">MIN(T36,T38)</f>
        <v>415453.84556194453</v>
      </c>
      <c r="U33" s="246"/>
      <c r="V33" s="253">
        <f ca="1">IF(V19="","",MIN($T33-SUM($U33:U33),V36))</f>
        <v>0</v>
      </c>
      <c r="W33" s="253">
        <f ca="1">IF(W19="","",MIN($T33-SUM($U33:V33),W36))</f>
        <v>36928.969889161534</v>
      </c>
      <c r="X33" s="253">
        <f ca="1">IF(X19="","",MIN($T33-SUM($U33:W33),X36))</f>
        <v>38314.140549759817</v>
      </c>
      <c r="Y33" s="253">
        <f ca="1">IF(Y19="","",MIN($T33-SUM($U33:X33),Y36))</f>
        <v>39727.014623570081</v>
      </c>
      <c r="Z33" s="253">
        <f ca="1">IF(Z19="","",MIN($T33-SUM($U33:Y33),Z36))</f>
        <v>41168.146178856528</v>
      </c>
      <c r="AA33" s="253">
        <f ca="1">IF(AA19="","",MIN($T33-SUM($U33:Z33),AA36))</f>
        <v>259315.57432059658</v>
      </c>
    </row>
    <row r="34" spans="2:27" ht="14.5" x14ac:dyDescent="0.35">
      <c r="B34" s="249" t="s">
        <v>157</v>
      </c>
      <c r="C34" s="256" t="str">
        <f ca="1">IF(ROUND(D34,0)=ROUND(SUM(F34:P34),0),"OK","ERROR")</f>
        <v>OK</v>
      </c>
      <c r="D34" s="253">
        <f ca="1">D36-D33-D35-D32</f>
        <v>2.3283064365386963E-10</v>
      </c>
      <c r="E34" s="246"/>
      <c r="F34" s="253">
        <f t="shared" ref="F34:P34" ca="1" si="9">IF(F19="","",F36-F35-F33-F32)</f>
        <v>0</v>
      </c>
      <c r="G34" s="253">
        <f t="shared" ca="1" si="9"/>
        <v>0</v>
      </c>
      <c r="H34" s="253">
        <f t="shared" ca="1" si="9"/>
        <v>0</v>
      </c>
      <c r="I34" s="253">
        <f t="shared" ca="1" si="9"/>
        <v>0</v>
      </c>
      <c r="J34" s="253">
        <f t="shared" ca="1" si="9"/>
        <v>0</v>
      </c>
      <c r="K34" s="253">
        <f t="shared" ca="1" si="9"/>
        <v>0</v>
      </c>
      <c r="L34" s="253">
        <f t="shared" ca="1" si="9"/>
        <v>0</v>
      </c>
      <c r="M34" s="253">
        <f t="shared" ca="1" si="9"/>
        <v>0</v>
      </c>
      <c r="N34" s="253">
        <f t="shared" ca="1" si="9"/>
        <v>0</v>
      </c>
      <c r="O34" s="253">
        <f t="shared" ca="1" si="9"/>
        <v>0</v>
      </c>
      <c r="P34" s="253">
        <f t="shared" ca="1" si="9"/>
        <v>1.7462298274040222E-10</v>
      </c>
      <c r="R34" s="249" t="s">
        <v>157</v>
      </c>
      <c r="S34" s="256" t="str">
        <f ca="1">IF(ROUND(T34,0)=ROUND(SUM(V34:AA34),0),"OK","ERROR")</f>
        <v>OK</v>
      </c>
      <c r="T34" s="253">
        <f ca="1">T36-T33-T35-T32</f>
        <v>-8.7311491370201111E-11</v>
      </c>
      <c r="U34" s="246"/>
      <c r="V34" s="253">
        <f t="shared" ref="V34:AA34" ca="1" si="10">IF(V19="","",V36-V35-V33-V32)</f>
        <v>0</v>
      </c>
      <c r="W34" s="253">
        <f t="shared" ca="1" si="10"/>
        <v>0</v>
      </c>
      <c r="X34" s="253">
        <f t="shared" ca="1" si="10"/>
        <v>0</v>
      </c>
      <c r="Y34" s="253">
        <f t="shared" ca="1" si="10"/>
        <v>0</v>
      </c>
      <c r="Z34" s="253">
        <f t="shared" ca="1" si="10"/>
        <v>0</v>
      </c>
      <c r="AA34" s="253">
        <f t="shared" ca="1" si="10"/>
        <v>-8.7311491370201111E-11</v>
      </c>
    </row>
    <row r="35" spans="2:27" ht="16" x14ac:dyDescent="0.5">
      <c r="B35" s="249" t="s">
        <v>156</v>
      </c>
      <c r="C35" s="256" t="str">
        <f ca="1">IF(ROUND(D35,0)=ROUND(SUM(F35:P35),0),"OK","ERROR")</f>
        <v>OK</v>
      </c>
      <c r="D35" s="255">
        <f ca="1">D24/Equity_Share_LP*Equity_Share_GP</f>
        <v>535961.76742445666</v>
      </c>
      <c r="E35" s="246"/>
      <c r="F35" s="255">
        <f t="shared" ref="F35:P35" ca="1" si="11">IF(F19="","",F24/Equity_Share_LP*Equity_Share_GP)</f>
        <v>0</v>
      </c>
      <c r="G35" s="255">
        <f t="shared" ca="1" si="11"/>
        <v>0</v>
      </c>
      <c r="H35" s="255">
        <f t="shared" ca="1" si="11"/>
        <v>0</v>
      </c>
      <c r="I35" s="255">
        <f t="shared" ca="1" si="11"/>
        <v>0</v>
      </c>
      <c r="J35" s="255">
        <f t="shared" ca="1" si="11"/>
        <v>0</v>
      </c>
      <c r="K35" s="255">
        <f t="shared" ca="1" si="11"/>
        <v>0</v>
      </c>
      <c r="L35" s="255">
        <f t="shared" ca="1" si="11"/>
        <v>0</v>
      </c>
      <c r="M35" s="255">
        <f t="shared" ca="1" si="11"/>
        <v>0</v>
      </c>
      <c r="N35" s="255">
        <f t="shared" ca="1" si="11"/>
        <v>0</v>
      </c>
      <c r="O35" s="255">
        <f t="shared" ca="1" si="11"/>
        <v>0</v>
      </c>
      <c r="P35" s="255">
        <f t="shared" ca="1" si="11"/>
        <v>535961.76742445666</v>
      </c>
      <c r="R35" s="249" t="s">
        <v>156</v>
      </c>
      <c r="S35" s="256" t="str">
        <f ca="1">IF(ROUND(T35,0)=ROUND(SUM(V35:AA35),0),"OK","ERROR")</f>
        <v>OK</v>
      </c>
      <c r="T35" s="255">
        <f ca="1">T24/Equity_Share_LP*Equity_Share_GP</f>
        <v>226866.26361319839</v>
      </c>
      <c r="U35" s="246"/>
      <c r="V35" s="255">
        <f t="shared" ref="V35:AA35" ca="1" si="12">IF(V19="","",V24/Equity_Share_LP*Equity_Share_GP)</f>
        <v>0</v>
      </c>
      <c r="W35" s="255">
        <f t="shared" ca="1" si="12"/>
        <v>0</v>
      </c>
      <c r="X35" s="255">
        <f t="shared" ca="1" si="12"/>
        <v>0</v>
      </c>
      <c r="Y35" s="255">
        <f t="shared" ca="1" si="12"/>
        <v>0</v>
      </c>
      <c r="Z35" s="255">
        <f t="shared" ca="1" si="12"/>
        <v>0</v>
      </c>
      <c r="AA35" s="255">
        <f t="shared" ca="1" si="12"/>
        <v>226866.26361319833</v>
      </c>
    </row>
    <row r="36" spans="2:27" ht="14.5" x14ac:dyDescent="0.35">
      <c r="B36" s="249" t="s">
        <v>85</v>
      </c>
      <c r="C36" s="248"/>
      <c r="D36" s="253">
        <f ca="1">SUM(F36:P36)</f>
        <v>951415.61298640142</v>
      </c>
      <c r="E36" s="246"/>
      <c r="F36" s="253">
        <f t="shared" ref="F36:P36" ca="1" si="13">IF(F$19="","",($C$12="IRR")*F72)</f>
        <v>0</v>
      </c>
      <c r="G36" s="253">
        <f t="shared" ca="1" si="13"/>
        <v>36928.969889161534</v>
      </c>
      <c r="H36" s="253">
        <f t="shared" ca="1" si="13"/>
        <v>38314.140549759817</v>
      </c>
      <c r="I36" s="253">
        <f t="shared" ca="1" si="13"/>
        <v>39727.014623570081</v>
      </c>
      <c r="J36" s="253">
        <f t="shared" ca="1" si="13"/>
        <v>41168.146178856528</v>
      </c>
      <c r="K36" s="253">
        <f t="shared" ca="1" si="13"/>
        <v>42638.10036524872</v>
      </c>
      <c r="L36" s="253">
        <f t="shared" ca="1" si="13"/>
        <v>44137.453635368758</v>
      </c>
      <c r="M36" s="253">
        <f t="shared" ca="1" si="13"/>
        <v>45666.793970891187</v>
      </c>
      <c r="N36" s="253">
        <f t="shared" ca="1" si="13"/>
        <v>47226.721113124069</v>
      </c>
      <c r="O36" s="253">
        <f t="shared" ca="1" si="13"/>
        <v>48817.846798201615</v>
      </c>
      <c r="P36" s="253">
        <f t="shared" ca="1" si="13"/>
        <v>566790.42586221907</v>
      </c>
      <c r="R36" s="249" t="s">
        <v>85</v>
      </c>
      <c r="S36" s="248"/>
      <c r="T36" s="253">
        <f ca="1">SUM(V36:AA36)</f>
        <v>642320.10917514283</v>
      </c>
      <c r="U36" s="246"/>
      <c r="V36" s="253">
        <f t="shared" ref="V36:AA36" ca="1" si="14">IF(V$19="","",($S$12="IRR")*V72)</f>
        <v>0</v>
      </c>
      <c r="W36" s="253">
        <f t="shared" ca="1" si="14"/>
        <v>36928.969889161534</v>
      </c>
      <c r="X36" s="253">
        <f t="shared" ca="1" si="14"/>
        <v>38314.140549759817</v>
      </c>
      <c r="Y36" s="253">
        <f t="shared" ca="1" si="14"/>
        <v>39727.014623570081</v>
      </c>
      <c r="Z36" s="253">
        <f t="shared" ca="1" si="14"/>
        <v>41168.146178856528</v>
      </c>
      <c r="AA36" s="253">
        <f t="shared" ca="1" si="14"/>
        <v>486181.83793379483</v>
      </c>
    </row>
    <row r="37" spans="2:27" ht="14.5" x14ac:dyDescent="0.35">
      <c r="B37" s="249" t="s">
        <v>134</v>
      </c>
      <c r="C37" s="248"/>
      <c r="D37" s="253">
        <f ca="1">SUM(F37:P37)</f>
        <v>103863.46139048615</v>
      </c>
      <c r="E37" s="246"/>
      <c r="F37" s="253">
        <f t="shared" ref="F37:P37" si="15">IF(F19="","",SUM(F46:F47))</f>
        <v>0</v>
      </c>
      <c r="G37" s="253">
        <f t="shared" ca="1" si="15"/>
        <v>10386.346139048614</v>
      </c>
      <c r="H37" s="253">
        <f t="shared" ca="1" si="15"/>
        <v>10386.346139048614</v>
      </c>
      <c r="I37" s="253">
        <f t="shared" ca="1" si="15"/>
        <v>10386.346139048614</v>
      </c>
      <c r="J37" s="253">
        <f t="shared" ca="1" si="15"/>
        <v>10386.346139048614</v>
      </c>
      <c r="K37" s="253">
        <f t="shared" ca="1" si="15"/>
        <v>10386.346139048614</v>
      </c>
      <c r="L37" s="253">
        <f t="shared" ca="1" si="15"/>
        <v>10386.346139048614</v>
      </c>
      <c r="M37" s="253">
        <f t="shared" ca="1" si="15"/>
        <v>10386.346139048614</v>
      </c>
      <c r="N37" s="253">
        <f t="shared" ca="1" si="15"/>
        <v>10386.346139048614</v>
      </c>
      <c r="O37" s="253">
        <f t="shared" ca="1" si="15"/>
        <v>10386.346139048614</v>
      </c>
      <c r="P37" s="253">
        <f t="shared" ca="1" si="15"/>
        <v>10386.346139048614</v>
      </c>
      <c r="R37" s="249" t="s">
        <v>134</v>
      </c>
      <c r="S37" s="248"/>
      <c r="T37" s="253">
        <f ca="1">SUM(V37:AA37)</f>
        <v>51931.730695243066</v>
      </c>
      <c r="U37" s="246"/>
      <c r="V37" s="253">
        <f t="shared" ref="V37:AA37" si="16">IF(V19="","",SUM(V46:V47))</f>
        <v>0</v>
      </c>
      <c r="W37" s="253">
        <f t="shared" ca="1" si="16"/>
        <v>10386.346139048614</v>
      </c>
      <c r="X37" s="253">
        <f t="shared" ca="1" si="16"/>
        <v>10386.346139048614</v>
      </c>
      <c r="Y37" s="253">
        <f t="shared" ca="1" si="16"/>
        <v>10386.346139048614</v>
      </c>
      <c r="Z37" s="253">
        <f t="shared" ca="1" si="16"/>
        <v>10386.346139048614</v>
      </c>
      <c r="AA37" s="253">
        <f t="shared" ca="1" si="16"/>
        <v>10386.346139048614</v>
      </c>
    </row>
    <row r="38" spans="2:27" ht="14.5" x14ac:dyDescent="0.35">
      <c r="B38" s="249" t="s">
        <v>133</v>
      </c>
      <c r="C38" s="248"/>
      <c r="D38" s="253">
        <f ca="1">SUM(F38:P38)</f>
        <v>415453.84556194453</v>
      </c>
      <c r="E38" s="246"/>
      <c r="F38" s="253">
        <f t="shared" ref="F38:P38" ca="1" si="17">F101</f>
        <v>415453.84556194453</v>
      </c>
      <c r="G38" s="253">
        <f t="shared" ca="1" si="17"/>
        <v>0</v>
      </c>
      <c r="H38" s="253">
        <f t="shared" ca="1" si="17"/>
        <v>0</v>
      </c>
      <c r="I38" s="253">
        <f t="shared" ca="1" si="17"/>
        <v>0</v>
      </c>
      <c r="J38" s="253">
        <f t="shared" ca="1" si="17"/>
        <v>0</v>
      </c>
      <c r="K38" s="253">
        <f t="shared" ca="1" si="17"/>
        <v>0</v>
      </c>
      <c r="L38" s="253">
        <f t="shared" ca="1" si="17"/>
        <v>0</v>
      </c>
      <c r="M38" s="253">
        <f t="shared" ca="1" si="17"/>
        <v>0</v>
      </c>
      <c r="N38" s="253">
        <f t="shared" ca="1" si="17"/>
        <v>0</v>
      </c>
      <c r="O38" s="253">
        <f t="shared" ca="1" si="17"/>
        <v>0</v>
      </c>
      <c r="P38" s="253">
        <f t="shared" ca="1" si="17"/>
        <v>0</v>
      </c>
      <c r="R38" s="249" t="s">
        <v>133</v>
      </c>
      <c r="S38" s="248"/>
      <c r="T38" s="253">
        <f ca="1">SUM(V38:AA38)</f>
        <v>415453.84556194453</v>
      </c>
      <c r="U38" s="246"/>
      <c r="V38" s="253">
        <f t="shared" ref="V38:AA38" ca="1" si="18">V101</f>
        <v>415453.84556194453</v>
      </c>
      <c r="W38" s="253">
        <f t="shared" ca="1" si="18"/>
        <v>0</v>
      </c>
      <c r="X38" s="253">
        <f t="shared" ca="1" si="18"/>
        <v>0</v>
      </c>
      <c r="Y38" s="253">
        <f t="shared" ca="1" si="18"/>
        <v>0</v>
      </c>
      <c r="Z38" s="253">
        <f t="shared" ca="1" si="18"/>
        <v>0</v>
      </c>
      <c r="AA38" s="253">
        <f t="shared" ca="1" si="18"/>
        <v>0</v>
      </c>
    </row>
    <row r="39" spans="2:27" ht="15" thickBot="1" x14ac:dyDescent="0.4">
      <c r="B39" s="249" t="s">
        <v>155</v>
      </c>
      <c r="C39" s="248"/>
      <c r="D39" s="253">
        <f ca="1">+D36+D37-D38</f>
        <v>639825.22881494311</v>
      </c>
      <c r="E39" s="246"/>
      <c r="F39" s="254"/>
      <c r="G39" s="253"/>
      <c r="H39" s="252"/>
      <c r="I39" s="252"/>
      <c r="J39" s="252"/>
      <c r="K39" s="252"/>
      <c r="L39" s="252"/>
      <c r="M39" s="252"/>
      <c r="N39" s="252"/>
      <c r="O39" s="252"/>
      <c r="P39" s="252"/>
      <c r="R39" s="249" t="s">
        <v>155</v>
      </c>
      <c r="S39" s="248"/>
      <c r="T39" s="253">
        <f ca="1">+T36+T37-T38</f>
        <v>278797.99430844141</v>
      </c>
      <c r="U39" s="246"/>
      <c r="V39" s="254"/>
      <c r="W39" s="253"/>
      <c r="X39" s="252"/>
      <c r="Y39" s="252"/>
      <c r="Z39" s="252"/>
      <c r="AA39" s="252"/>
    </row>
    <row r="40" spans="2:27" ht="15" thickBot="1" x14ac:dyDescent="0.4">
      <c r="B40" s="249" t="s">
        <v>131</v>
      </c>
      <c r="C40" s="248"/>
      <c r="D40" s="251">
        <f ca="1">IFERROR(IRR(F40:P40),"NA")</f>
        <v>0.13861658054268999</v>
      </c>
      <c r="E40" s="246"/>
      <c r="F40" s="250">
        <f t="shared" ref="F40:P40" ca="1" si="19">IF(F19="","",(-F38)+F36+F37)</f>
        <v>-415453.84556194453</v>
      </c>
      <c r="G40" s="137">
        <f t="shared" ca="1" si="19"/>
        <v>47315.316028210145</v>
      </c>
      <c r="H40" s="137">
        <f t="shared" ca="1" si="19"/>
        <v>48700.486688808429</v>
      </c>
      <c r="I40" s="137">
        <f t="shared" ca="1" si="19"/>
        <v>50113.360762618693</v>
      </c>
      <c r="J40" s="137">
        <f t="shared" ca="1" si="19"/>
        <v>51554.49231790514</v>
      </c>
      <c r="K40" s="137">
        <f t="shared" ca="1" si="19"/>
        <v>53024.446504297332</v>
      </c>
      <c r="L40" s="137">
        <f t="shared" ca="1" si="19"/>
        <v>54523.79977441737</v>
      </c>
      <c r="M40" s="137">
        <f t="shared" ca="1" si="19"/>
        <v>56053.140109939799</v>
      </c>
      <c r="N40" s="137">
        <f t="shared" ca="1" si="19"/>
        <v>57613.067252172681</v>
      </c>
      <c r="O40" s="137">
        <f t="shared" ca="1" si="19"/>
        <v>59204.192937250227</v>
      </c>
      <c r="P40" s="136">
        <f t="shared" ca="1" si="19"/>
        <v>577176.77200126764</v>
      </c>
      <c r="R40" s="249" t="s">
        <v>131</v>
      </c>
      <c r="S40" s="248"/>
      <c r="T40" s="251">
        <f ca="1">IFERROR(IRR(V40:AA40),"NA")</f>
        <v>0.13028360554211682</v>
      </c>
      <c r="U40" s="246"/>
      <c r="V40" s="250">
        <f t="shared" ref="V40:AA40" ca="1" si="20">IF(V19="","",(-V38)+V36+V37)</f>
        <v>-415453.84556194453</v>
      </c>
      <c r="W40" s="137">
        <f t="shared" ca="1" si="20"/>
        <v>47315.316028210145</v>
      </c>
      <c r="X40" s="137">
        <f t="shared" ca="1" si="20"/>
        <v>48700.486688808429</v>
      </c>
      <c r="Y40" s="137">
        <f t="shared" ca="1" si="20"/>
        <v>50113.360762618693</v>
      </c>
      <c r="Z40" s="137">
        <f t="shared" ca="1" si="20"/>
        <v>51554.49231790514</v>
      </c>
      <c r="AA40" s="136">
        <f t="shared" ca="1" si="20"/>
        <v>496568.18407284346</v>
      </c>
    </row>
    <row r="41" spans="2:27" ht="14.5" x14ac:dyDescent="0.35">
      <c r="B41" s="249" t="s">
        <v>130</v>
      </c>
      <c r="C41" s="248"/>
      <c r="D41" s="247">
        <f ca="1">IFERROR(D36/D38,"NA")</f>
        <v>2.2900633202696992</v>
      </c>
      <c r="E41" s="246"/>
      <c r="F41" s="245"/>
      <c r="G41" s="244"/>
      <c r="H41" s="227"/>
      <c r="I41" s="227"/>
      <c r="J41" s="225"/>
      <c r="K41" s="225"/>
      <c r="L41" s="225"/>
      <c r="M41" s="225"/>
      <c r="N41" s="225"/>
      <c r="O41" s="225"/>
      <c r="P41" s="225"/>
      <c r="R41" s="249" t="s">
        <v>130</v>
      </c>
      <c r="S41" s="248"/>
      <c r="T41" s="247">
        <f ca="1">IFERROR(T36/T38,"NA")</f>
        <v>1.5460685128725624</v>
      </c>
      <c r="U41" s="246"/>
      <c r="V41" s="245"/>
      <c r="W41" s="244"/>
      <c r="X41" s="227"/>
      <c r="Y41" s="227"/>
      <c r="Z41" s="225"/>
      <c r="AA41" s="225"/>
    </row>
    <row r="42" spans="2:27" ht="5.15" customHeight="1" x14ac:dyDescent="0.35">
      <c r="B42" s="243"/>
      <c r="C42" s="242"/>
      <c r="D42" s="241"/>
      <c r="E42" s="1"/>
      <c r="F42" s="225"/>
      <c r="G42" s="225"/>
      <c r="H42" s="225"/>
      <c r="I42" s="225"/>
      <c r="J42" s="225"/>
      <c r="K42" s="225"/>
      <c r="L42" s="225"/>
      <c r="M42" s="225"/>
      <c r="N42" s="225"/>
      <c r="O42" s="225"/>
      <c r="P42" s="225"/>
      <c r="R42" s="243"/>
      <c r="S42" s="242"/>
      <c r="T42" s="241"/>
      <c r="U42" s="1"/>
      <c r="V42" s="225"/>
      <c r="W42" s="225"/>
      <c r="X42" s="225"/>
      <c r="Y42" s="225"/>
      <c r="Z42" s="225"/>
      <c r="AA42" s="225"/>
    </row>
    <row r="43" spans="2:27" ht="15.5" x14ac:dyDescent="0.35">
      <c r="B43" s="240" t="s">
        <v>129</v>
      </c>
      <c r="C43" s="239"/>
      <c r="D43" s="239"/>
      <c r="E43" s="238"/>
      <c r="F43" s="237" t="s">
        <v>30</v>
      </c>
      <c r="G43" s="236">
        <f t="shared" ref="G43:P43" ca="1" si="21">G$19</f>
        <v>1</v>
      </c>
      <c r="H43" s="236">
        <f t="shared" ca="1" si="21"/>
        <v>2</v>
      </c>
      <c r="I43" s="236">
        <f t="shared" ca="1" si="21"/>
        <v>3</v>
      </c>
      <c r="J43" s="236">
        <f t="shared" ca="1" si="21"/>
        <v>4</v>
      </c>
      <c r="K43" s="236">
        <f t="shared" ca="1" si="21"/>
        <v>5</v>
      </c>
      <c r="L43" s="236">
        <f t="shared" ca="1" si="21"/>
        <v>6</v>
      </c>
      <c r="M43" s="236">
        <f t="shared" ca="1" si="21"/>
        <v>7</v>
      </c>
      <c r="N43" s="236">
        <f t="shared" ca="1" si="21"/>
        <v>8</v>
      </c>
      <c r="O43" s="236">
        <f t="shared" ca="1" si="21"/>
        <v>9</v>
      </c>
      <c r="P43" s="236">
        <f t="shared" ca="1" si="21"/>
        <v>10</v>
      </c>
      <c r="Q43" s="235"/>
      <c r="R43" s="240" t="s">
        <v>129</v>
      </c>
      <c r="S43" s="239"/>
      <c r="T43" s="239"/>
      <c r="U43" s="238"/>
      <c r="V43" s="237" t="s">
        <v>30</v>
      </c>
      <c r="W43" s="236">
        <f ca="1">W$19</f>
        <v>1</v>
      </c>
      <c r="X43" s="236">
        <f ca="1">X$19</f>
        <v>2</v>
      </c>
      <c r="Y43" s="236">
        <f ca="1">Y$19</f>
        <v>3</v>
      </c>
      <c r="Z43" s="236">
        <f ca="1">Z$19</f>
        <v>4</v>
      </c>
      <c r="AA43" s="236">
        <f ca="1">AA$19</f>
        <v>5</v>
      </c>
    </row>
    <row r="44" spans="2:27" ht="14.5" x14ac:dyDescent="0.35">
      <c r="B44" s="1"/>
      <c r="C44" s="1"/>
      <c r="D44" s="1"/>
      <c r="E44" s="225" t="s">
        <v>31</v>
      </c>
      <c r="F44" s="234">
        <f>'Property CF'!AV8</f>
        <v>46022</v>
      </c>
      <c r="G44" s="70">
        <f t="shared" ref="G44:P44" ca="1" si="22">IF(G43="","",EOMONTH(F44,12))</f>
        <v>46387</v>
      </c>
      <c r="H44" s="70">
        <f t="shared" ca="1" si="22"/>
        <v>46752</v>
      </c>
      <c r="I44" s="70">
        <f t="shared" ca="1" si="22"/>
        <v>47118</v>
      </c>
      <c r="J44" s="70">
        <f t="shared" ca="1" si="22"/>
        <v>47483</v>
      </c>
      <c r="K44" s="70">
        <f t="shared" ca="1" si="22"/>
        <v>47848</v>
      </c>
      <c r="L44" s="70">
        <f t="shared" ca="1" si="22"/>
        <v>48213</v>
      </c>
      <c r="M44" s="70">
        <f t="shared" ca="1" si="22"/>
        <v>48579</v>
      </c>
      <c r="N44" s="70">
        <f t="shared" ca="1" si="22"/>
        <v>48944</v>
      </c>
      <c r="O44" s="70">
        <f t="shared" ca="1" si="22"/>
        <v>49309</v>
      </c>
      <c r="P44" s="70">
        <f t="shared" ca="1" si="22"/>
        <v>49674</v>
      </c>
      <c r="Q44" s="235"/>
      <c r="R44" s="1"/>
      <c r="S44" s="1"/>
      <c r="T44" s="1"/>
      <c r="U44" s="225" t="s">
        <v>31</v>
      </c>
      <c r="V44" s="234">
        <f>F44</f>
        <v>46022</v>
      </c>
      <c r="W44" s="70">
        <f ca="1">IF(W43="","",EOMONTH(V44,12))</f>
        <v>46387</v>
      </c>
      <c r="X44" s="70">
        <f ca="1">IF(X43="","",EOMONTH(W44,12))</f>
        <v>46752</v>
      </c>
      <c r="Y44" s="70">
        <f ca="1">IF(Y43="","",EOMONTH(X44,12))</f>
        <v>47118</v>
      </c>
      <c r="Z44" s="70">
        <f ca="1">IF(Z43="","",EOMONTH(Y44,12))</f>
        <v>47483</v>
      </c>
      <c r="AA44" s="70">
        <f ca="1">IF(AA43="","",EOMONTH(Z44,12))</f>
        <v>47848</v>
      </c>
    </row>
    <row r="45" spans="2:27" ht="14.5" x14ac:dyDescent="0.35">
      <c r="B45" s="231" t="s">
        <v>128</v>
      </c>
      <c r="C45" s="1"/>
      <c r="D45" s="1"/>
      <c r="E45" s="230"/>
      <c r="F45" s="232">
        <f ca="1">'Property CF'!AV44</f>
        <v>-4154538.4556194451</v>
      </c>
      <c r="G45" s="232">
        <f ca="1">'Property CF'!AW42</f>
        <v>379676.04503066395</v>
      </c>
      <c r="H45" s="232">
        <f ca="1">'Property CF'!AY42</f>
        <v>393527.7516366468</v>
      </c>
      <c r="I45" s="232">
        <f ca="1">'Property CF'!AZ42</f>
        <v>407656.49237474939</v>
      </c>
      <c r="J45" s="232">
        <f ca="1">'Property CF'!BA42</f>
        <v>422067.80792761396</v>
      </c>
      <c r="K45" s="232">
        <f ca="1">'Property CF'!BB42</f>
        <v>436767.34979153587</v>
      </c>
      <c r="L45" s="232">
        <f ca="1">'Property CF'!BC42</f>
        <v>451760.88249273621</v>
      </c>
      <c r="M45" s="232">
        <f ca="1">'Property CF'!BD42</f>
        <v>467054.28584796051</v>
      </c>
      <c r="N45" s="232">
        <f ca="1">'Property CF'!BE42</f>
        <v>482653.55727028928</v>
      </c>
      <c r="O45" s="232">
        <f ca="1">'Property CF'!BF42</f>
        <v>498564.81412106473</v>
      </c>
      <c r="P45" s="232">
        <f ca="1">'Property CF'!BG42+'Property CF'!BG39</f>
        <v>5678290.6047612363</v>
      </c>
      <c r="R45" s="231" t="s">
        <v>128</v>
      </c>
      <c r="S45" s="1"/>
      <c r="T45" s="1"/>
      <c r="U45" s="230"/>
      <c r="V45" s="232">
        <f ca="1">'Property CF'!AV44</f>
        <v>-4154538.4556194451</v>
      </c>
      <c r="W45" s="232">
        <f ca="1">'Property CF'!AW42</f>
        <v>379676.04503066395</v>
      </c>
      <c r="X45" s="232">
        <f ca="1">'Property CF'!AY42</f>
        <v>393527.7516366468</v>
      </c>
      <c r="Y45" s="232">
        <f ca="1">'Property CF'!AZ42</f>
        <v>407656.49237474939</v>
      </c>
      <c r="Z45" s="232">
        <f ca="1">'Property CF'!BA42</f>
        <v>422067.80792761396</v>
      </c>
      <c r="AA45" s="232">
        <f ca="1">'Property CF'!BB39+'Property CF'!BB42</f>
        <v>4872204.725476997</v>
      </c>
    </row>
    <row r="46" spans="2:27" ht="14.5" x14ac:dyDescent="0.35">
      <c r="B46" s="233" t="s">
        <v>44</v>
      </c>
      <c r="C46" s="1"/>
      <c r="D46" s="1"/>
      <c r="E46" s="230"/>
      <c r="F46" s="232">
        <v>0</v>
      </c>
      <c r="G46" s="232">
        <f ca="1">-'Property CF'!AW43</f>
        <v>10386.346139048614</v>
      </c>
      <c r="H46" s="232">
        <f t="shared" ref="H46:P46" ca="1" si="23">G46</f>
        <v>10386.346139048614</v>
      </c>
      <c r="I46" s="232">
        <f t="shared" ca="1" si="23"/>
        <v>10386.346139048614</v>
      </c>
      <c r="J46" s="232">
        <f t="shared" ca="1" si="23"/>
        <v>10386.346139048614</v>
      </c>
      <c r="K46" s="232">
        <f t="shared" ca="1" si="23"/>
        <v>10386.346139048614</v>
      </c>
      <c r="L46" s="232">
        <f t="shared" ca="1" si="23"/>
        <v>10386.346139048614</v>
      </c>
      <c r="M46" s="232">
        <f t="shared" ca="1" si="23"/>
        <v>10386.346139048614</v>
      </c>
      <c r="N46" s="232">
        <f t="shared" ca="1" si="23"/>
        <v>10386.346139048614</v>
      </c>
      <c r="O46" s="232">
        <f t="shared" ca="1" si="23"/>
        <v>10386.346139048614</v>
      </c>
      <c r="P46" s="232">
        <f t="shared" ca="1" si="23"/>
        <v>10386.346139048614</v>
      </c>
      <c r="R46" s="233" t="s">
        <v>44</v>
      </c>
      <c r="S46" s="1"/>
      <c r="T46" s="1"/>
      <c r="U46" s="230"/>
      <c r="V46" s="232">
        <f>'Property CF'!AV43</f>
        <v>0</v>
      </c>
      <c r="W46" s="232">
        <f ca="1">-'Property CF'!AW43</f>
        <v>10386.346139048614</v>
      </c>
      <c r="X46" s="232">
        <f ca="1">W46</f>
        <v>10386.346139048614</v>
      </c>
      <c r="Y46" s="232">
        <f ca="1">X46</f>
        <v>10386.346139048614</v>
      </c>
      <c r="Z46" s="232">
        <f ca="1">Y46</f>
        <v>10386.346139048614</v>
      </c>
      <c r="AA46" s="232">
        <f ca="1">Z46</f>
        <v>10386.346139048614</v>
      </c>
    </row>
    <row r="47" spans="2:27" ht="14.5" x14ac:dyDescent="0.35">
      <c r="B47" s="233" t="s">
        <v>154</v>
      </c>
      <c r="C47" s="1"/>
      <c r="D47" s="1"/>
      <c r="E47" s="230"/>
      <c r="F47" s="232">
        <v>0</v>
      </c>
      <c r="G47" s="232">
        <v>0</v>
      </c>
      <c r="H47" s="232">
        <v>0</v>
      </c>
      <c r="I47" s="232">
        <v>0</v>
      </c>
      <c r="J47" s="232">
        <v>0</v>
      </c>
      <c r="K47" s="232">
        <v>0</v>
      </c>
      <c r="L47" s="232">
        <v>0</v>
      </c>
      <c r="M47" s="232">
        <v>0</v>
      </c>
      <c r="N47" s="232">
        <v>0</v>
      </c>
      <c r="O47" s="232">
        <v>0</v>
      </c>
      <c r="P47" s="232">
        <v>0</v>
      </c>
      <c r="R47" s="233" t="s">
        <v>154</v>
      </c>
      <c r="S47" s="1"/>
      <c r="T47" s="1"/>
      <c r="U47" s="230"/>
      <c r="V47" s="232">
        <v>0</v>
      </c>
      <c r="W47" s="232">
        <v>0</v>
      </c>
      <c r="X47" s="232">
        <v>0</v>
      </c>
      <c r="Y47" s="232">
        <v>0</v>
      </c>
      <c r="Z47" s="232">
        <v>0</v>
      </c>
      <c r="AA47" s="232">
        <v>0</v>
      </c>
    </row>
    <row r="48" spans="2:27" ht="14.5" x14ac:dyDescent="0.35">
      <c r="B48" s="233"/>
      <c r="C48" s="1"/>
      <c r="D48" s="1"/>
      <c r="E48" s="230"/>
      <c r="F48" s="232"/>
      <c r="G48" s="232"/>
      <c r="H48" s="232"/>
      <c r="I48" s="232"/>
      <c r="J48" s="232"/>
      <c r="K48" s="232"/>
      <c r="L48" s="232"/>
      <c r="M48" s="232"/>
      <c r="N48" s="232"/>
      <c r="O48" s="232"/>
      <c r="P48" s="232"/>
      <c r="R48" s="233"/>
      <c r="S48" s="1"/>
      <c r="T48" s="1"/>
      <c r="U48" s="230"/>
      <c r="V48" s="232"/>
      <c r="W48" s="232"/>
      <c r="X48" s="232"/>
      <c r="Y48" s="232"/>
      <c r="Z48" s="232"/>
      <c r="AA48" s="232"/>
    </row>
    <row r="49" spans="2:27" ht="14.5" x14ac:dyDescent="0.35">
      <c r="B49" s="231" t="s">
        <v>127</v>
      </c>
      <c r="C49" s="1"/>
      <c r="D49" s="1"/>
      <c r="E49" s="230"/>
      <c r="F49" s="229">
        <f t="shared" ref="F49:P49" ca="1" si="24">IF(F43="","",F45-F46-F47)</f>
        <v>-4154538.4556194451</v>
      </c>
      <c r="G49" s="229">
        <f t="shared" ca="1" si="24"/>
        <v>369289.69889161532</v>
      </c>
      <c r="H49" s="229">
        <f t="shared" ca="1" si="24"/>
        <v>383141.40549759817</v>
      </c>
      <c r="I49" s="229">
        <f t="shared" ca="1" si="24"/>
        <v>397270.14623570075</v>
      </c>
      <c r="J49" s="229">
        <f t="shared" ca="1" si="24"/>
        <v>411681.46178856533</v>
      </c>
      <c r="K49" s="229">
        <f t="shared" ca="1" si="24"/>
        <v>426381.00365248724</v>
      </c>
      <c r="L49" s="229">
        <f t="shared" ca="1" si="24"/>
        <v>441374.53635368758</v>
      </c>
      <c r="M49" s="229">
        <f t="shared" ca="1" si="24"/>
        <v>456667.93970891187</v>
      </c>
      <c r="N49" s="229">
        <f t="shared" ca="1" si="24"/>
        <v>472267.21113124065</v>
      </c>
      <c r="O49" s="229">
        <f t="shared" ca="1" si="24"/>
        <v>488178.4679820161</v>
      </c>
      <c r="P49" s="229">
        <f t="shared" ca="1" si="24"/>
        <v>5667904.2586221881</v>
      </c>
      <c r="R49" s="231" t="s">
        <v>127</v>
      </c>
      <c r="S49" s="1"/>
      <c r="T49" s="1"/>
      <c r="U49" s="230"/>
      <c r="V49" s="229">
        <f t="shared" ref="V49:AA49" ca="1" si="25">IF(V43="","",V45-V46-V47)</f>
        <v>-4154538.4556194451</v>
      </c>
      <c r="W49" s="229">
        <f t="shared" ca="1" si="25"/>
        <v>369289.69889161532</v>
      </c>
      <c r="X49" s="229">
        <f t="shared" ca="1" si="25"/>
        <v>383141.40549759817</v>
      </c>
      <c r="Y49" s="229">
        <f t="shared" ca="1" si="25"/>
        <v>397270.14623570075</v>
      </c>
      <c r="Z49" s="229">
        <f t="shared" ca="1" si="25"/>
        <v>411681.46178856533</v>
      </c>
      <c r="AA49" s="229">
        <f t="shared" ca="1" si="25"/>
        <v>4861818.3793379487</v>
      </c>
    </row>
    <row r="50" spans="2:27" ht="14.5" x14ac:dyDescent="0.35">
      <c r="B50" s="1" t="s">
        <v>25</v>
      </c>
      <c r="C50" s="1"/>
      <c r="D50" s="1"/>
      <c r="E50" s="1"/>
      <c r="F50" s="227">
        <f ca="1">IRR(F49:P49)</f>
        <v>0.11566556677933226</v>
      </c>
      <c r="G50" s="225"/>
      <c r="H50" s="225"/>
      <c r="I50" s="225"/>
      <c r="J50" s="225"/>
      <c r="K50" s="225"/>
      <c r="L50" s="225"/>
      <c r="M50" s="225"/>
      <c r="N50" s="225"/>
      <c r="O50" s="225"/>
      <c r="P50" s="225"/>
      <c r="R50" s="1" t="s">
        <v>25</v>
      </c>
      <c r="S50" s="1"/>
      <c r="T50" s="1"/>
      <c r="U50" s="1"/>
      <c r="V50" s="227">
        <f ca="1">IRR(V49:AA49)</f>
        <v>0.10594725198855337</v>
      </c>
      <c r="W50" s="225"/>
      <c r="X50" s="225"/>
      <c r="Y50" s="225"/>
      <c r="Z50" s="225"/>
      <c r="AA50" s="225"/>
    </row>
    <row r="51" spans="2:27" ht="14.5" x14ac:dyDescent="0.35">
      <c r="B51" s="1" t="s">
        <v>37</v>
      </c>
      <c r="C51" s="1"/>
      <c r="D51" s="1"/>
      <c r="E51" s="1"/>
      <c r="F51" s="228">
        <f ca="1">SUMIF(F49:P49,"&gt;0")/-SUMIF(F49:P49,"&lt;0")</f>
        <v>2.2900633202696983</v>
      </c>
      <c r="G51" s="225"/>
      <c r="H51" s="227"/>
      <c r="I51" s="225"/>
      <c r="J51" s="225"/>
      <c r="K51" s="225"/>
      <c r="L51" s="225"/>
      <c r="M51" s="225"/>
      <c r="N51" s="225"/>
      <c r="O51" s="225"/>
      <c r="P51" s="225"/>
      <c r="R51" s="1" t="s">
        <v>37</v>
      </c>
      <c r="S51" s="1"/>
      <c r="T51" s="1"/>
      <c r="U51" s="1"/>
      <c r="V51" s="228">
        <f ca="1">SUMIF(V49:AA49,"&gt;0")/-SUMIF(V49:AA49,"&lt;0")</f>
        <v>1.5460685128725626</v>
      </c>
      <c r="W51" s="225"/>
      <c r="X51" s="227"/>
      <c r="Y51" s="225"/>
      <c r="Z51" s="225"/>
      <c r="AA51" s="225"/>
    </row>
    <row r="52" spans="2:27" ht="5.15" customHeight="1" x14ac:dyDescent="0.35">
      <c r="B52" s="1"/>
      <c r="C52" s="1"/>
      <c r="D52" s="1"/>
      <c r="E52" s="225"/>
      <c r="F52" s="226"/>
      <c r="G52" s="225"/>
      <c r="H52" s="225"/>
      <c r="I52" s="225"/>
      <c r="J52" s="225"/>
      <c r="K52" s="225"/>
      <c r="L52" s="225"/>
      <c r="M52" s="225"/>
      <c r="N52" s="225"/>
      <c r="O52" s="225"/>
      <c r="P52" s="226"/>
      <c r="R52" s="1"/>
      <c r="S52" s="1"/>
      <c r="T52" s="1"/>
      <c r="U52" s="225"/>
      <c r="V52" s="226"/>
      <c r="W52" s="225"/>
      <c r="X52" s="225"/>
      <c r="Y52" s="225"/>
      <c r="Z52" s="225"/>
      <c r="AA52" s="225"/>
    </row>
    <row r="53" spans="2:27" ht="14.5" x14ac:dyDescent="0.35"/>
    <row r="54" spans="2:27" ht="18.5" outlineLevel="1" x14ac:dyDescent="0.45">
      <c r="B54" s="224" t="s">
        <v>153</v>
      </c>
      <c r="C54" s="223"/>
      <c r="D54" s="223"/>
      <c r="E54" s="223"/>
      <c r="F54" s="222"/>
      <c r="G54" s="222"/>
      <c r="H54" s="222"/>
      <c r="I54" s="222"/>
      <c r="J54" s="222"/>
      <c r="K54" s="222"/>
      <c r="L54" s="222"/>
      <c r="M54" s="222"/>
      <c r="N54" s="222"/>
      <c r="O54" s="222"/>
      <c r="P54" s="222"/>
      <c r="R54" s="224" t="s">
        <v>153</v>
      </c>
      <c r="S54" s="223"/>
      <c r="T54" s="223"/>
      <c r="U54" s="223"/>
      <c r="V54" s="222"/>
      <c r="W54" s="222"/>
      <c r="X54" s="222"/>
      <c r="Y54" s="222"/>
      <c r="Z54" s="222"/>
      <c r="AA54" s="222"/>
    </row>
    <row r="55" spans="2:27" ht="5.15" customHeight="1" outlineLevel="1" x14ac:dyDescent="0.35">
      <c r="B55" s="206"/>
      <c r="C55" s="206"/>
      <c r="D55" s="206" t="s">
        <v>32</v>
      </c>
      <c r="E55" s="206"/>
      <c r="F55" s="206"/>
      <c r="G55" s="206"/>
      <c r="H55" s="206"/>
      <c r="I55" s="206"/>
      <c r="J55" s="206"/>
      <c r="K55" s="206"/>
      <c r="L55" s="206"/>
      <c r="M55" s="206"/>
      <c r="N55" s="206"/>
      <c r="O55" s="206"/>
      <c r="P55" s="206"/>
      <c r="R55" s="206"/>
      <c r="S55" s="206"/>
      <c r="T55" s="206" t="s">
        <v>32</v>
      </c>
      <c r="U55" s="206"/>
      <c r="V55" s="206"/>
      <c r="W55" s="206"/>
      <c r="X55" s="206"/>
      <c r="Y55" s="206"/>
      <c r="Z55" s="206"/>
      <c r="AA55" s="206"/>
    </row>
    <row r="56" spans="2:27" ht="14.5" customHeight="1" outlineLevel="1" x14ac:dyDescent="0.35">
      <c r="B56" s="167"/>
      <c r="C56" s="167"/>
      <c r="D56" s="166"/>
      <c r="E56" s="167"/>
      <c r="F56" s="1273" t="s">
        <v>152</v>
      </c>
      <c r="G56" s="1273"/>
      <c r="H56" s="1274" t="s">
        <v>151</v>
      </c>
      <c r="I56" s="1274"/>
      <c r="J56" s="188"/>
      <c r="K56" s="188"/>
      <c r="L56" s="188"/>
      <c r="M56" s="188"/>
      <c r="N56" s="188"/>
      <c r="O56" s="188"/>
      <c r="P56" s="188"/>
      <c r="R56" s="167"/>
      <c r="S56" s="167"/>
      <c r="T56" s="166"/>
      <c r="U56" s="167"/>
      <c r="V56" s="1273" t="s">
        <v>152</v>
      </c>
      <c r="W56" s="1273"/>
      <c r="X56" s="1274" t="s">
        <v>151</v>
      </c>
      <c r="Y56" s="1274"/>
      <c r="Z56" s="188"/>
      <c r="AA56" s="188"/>
    </row>
    <row r="57" spans="2:27" ht="15.5" outlineLevel="1" x14ac:dyDescent="0.35">
      <c r="B57" s="168" t="str">
        <f>IF(D55="Equity Multiple","Partnership Distribution Assumptions (Equity Multiple Hurdles)","Partnership Distribution Assumptions (IRR Hurdles)")</f>
        <v>Partnership Distribution Assumptions (IRR Hurdles)</v>
      </c>
      <c r="C57" s="167"/>
      <c r="D57" s="166"/>
      <c r="E57" s="167"/>
      <c r="F57" s="1273"/>
      <c r="G57" s="1273"/>
      <c r="H57" s="221" t="s">
        <v>149</v>
      </c>
      <c r="I57" s="220" t="s">
        <v>148</v>
      </c>
      <c r="J57" s="220" t="s">
        <v>150</v>
      </c>
      <c r="K57" s="188"/>
      <c r="L57" s="188"/>
      <c r="M57" s="188"/>
      <c r="N57" s="188"/>
      <c r="O57" s="188"/>
      <c r="P57" s="188"/>
      <c r="R57" s="168" t="str">
        <f>IF(T55="Equity Multiple","Partnership Distribution Assumptions (Equity Multiple Hurdles)","Partnership Distribution Assumptions (IRR Hurdles)")</f>
        <v>Partnership Distribution Assumptions (IRR Hurdles)</v>
      </c>
      <c r="S57" s="167"/>
      <c r="T57" s="166"/>
      <c r="U57" s="167"/>
      <c r="V57" s="1273"/>
      <c r="W57" s="1273"/>
      <c r="X57" s="221" t="s">
        <v>149</v>
      </c>
      <c r="Y57" s="220" t="s">
        <v>148</v>
      </c>
      <c r="Z57" s="220"/>
      <c r="AA57" s="188"/>
    </row>
    <row r="58" spans="2:27" ht="14.5" outlineLevel="1" x14ac:dyDescent="0.35">
      <c r="B58" s="160" t="s">
        <v>147</v>
      </c>
      <c r="C58" s="219"/>
      <c r="D58" s="218"/>
      <c r="E58" s="217">
        <f>D59</f>
        <v>0</v>
      </c>
      <c r="F58" s="216" t="s">
        <v>146</v>
      </c>
      <c r="G58" s="215"/>
      <c r="H58" s="212">
        <f>H14</f>
        <v>0.1</v>
      </c>
      <c r="I58" s="210">
        <f>1-H58</f>
        <v>0.9</v>
      </c>
      <c r="J58" s="1272" t="str">
        <f>IF(I58=Equity_Share_LP,"Pref prorata to LP/GP, then Pro rata return of capital",IF(CU?,"Return of capital and Pref NOT pro rata + GP Catch Up","Return of capital and Pref NOT pro rata"))</f>
        <v>Pref prorata to LP/GP, then Pro rata return of capital</v>
      </c>
      <c r="K58" s="1272"/>
      <c r="L58" s="1272"/>
      <c r="M58" s="1272"/>
      <c r="N58" s="1272"/>
      <c r="O58" s="206"/>
      <c r="P58" s="206"/>
      <c r="R58" s="160" t="s">
        <v>147</v>
      </c>
      <c r="S58" s="219"/>
      <c r="T58" s="218"/>
      <c r="U58" s="217">
        <f>T59</f>
        <v>0</v>
      </c>
      <c r="V58" s="216" t="s">
        <v>146</v>
      </c>
      <c r="W58" s="215"/>
      <c r="X58" s="212">
        <f>X14</f>
        <v>0.1</v>
      </c>
      <c r="Y58" s="210">
        <f>1-X58</f>
        <v>0.9</v>
      </c>
      <c r="Z58" s="1272"/>
      <c r="AA58" s="1272"/>
    </row>
    <row r="59" spans="2:27" ht="14.5" outlineLevel="1" x14ac:dyDescent="0.35">
      <c r="B59" s="160" t="s">
        <v>145</v>
      </c>
      <c r="C59" s="214"/>
      <c r="D59" s="213">
        <f>D15</f>
        <v>0</v>
      </c>
      <c r="E59" s="194">
        <f>D60</f>
        <v>0</v>
      </c>
      <c r="F59" s="212">
        <f>F15</f>
        <v>0</v>
      </c>
      <c r="G59" s="210"/>
      <c r="H59" s="211">
        <f>H15</f>
        <v>0.1</v>
      </c>
      <c r="I59" s="210">
        <f>1-H59</f>
        <v>0.9</v>
      </c>
      <c r="J59" s="1272" t="str">
        <f>IF(Equity_Share_GP&lt;&gt;H58,TEXT(I58,"0.0%")&amp;"/"&amp;TEXT(H58,"0.0%")&amp;" to "&amp;(IF(D55="IRR",TEXT(E58,"0.0%"),TEXT(E58,"0.0X")))&amp;", then "&amp;TEXT(I59,"0.0%")&amp;"/"&amp;TEXT(H59,"0.0%")&amp;" to "&amp;(IF(D55="IRR",TEXT(E59,"0.0%"),TEXT(E59,"0.0X"))),"Prorata to LP/GP to "&amp;(IF(D55="IRR",TEXT(E58,"0.0%"),TEXT(E58,"0.0X")))&amp;", then "&amp;TEXT(I59,"0.0%")&amp;"/"&amp;TEXT(H59,"0.0%")&amp;" to "&amp;(IF(D55="IRR",TEXT(E59,"0.0%"),TEXT(E59,"0.0X"))))</f>
        <v>Prorata to LP/GP to 0.0%, then 90.0%/10.0% to 0.0%</v>
      </c>
      <c r="K59" s="1272"/>
      <c r="L59" s="1272"/>
      <c r="M59" s="1272"/>
      <c r="N59" s="1272"/>
      <c r="O59" s="206"/>
      <c r="P59" s="206"/>
      <c r="R59" s="160" t="s">
        <v>145</v>
      </c>
      <c r="S59" s="214"/>
      <c r="T59" s="213">
        <f>T15</f>
        <v>0</v>
      </c>
      <c r="U59" s="194">
        <f>T60</f>
        <v>0</v>
      </c>
      <c r="V59" s="212">
        <f>V15</f>
        <v>0</v>
      </c>
      <c r="W59" s="210"/>
      <c r="X59" s="211">
        <f>X15</f>
        <v>0.1</v>
      </c>
      <c r="Y59" s="210">
        <f>1-X59</f>
        <v>0.9</v>
      </c>
      <c r="Z59" s="1272"/>
      <c r="AA59" s="1272"/>
    </row>
    <row r="60" spans="2:27" ht="14.5" outlineLevel="1" x14ac:dyDescent="0.35">
      <c r="B60" s="160" t="s">
        <v>144</v>
      </c>
      <c r="C60" s="214"/>
      <c r="D60" s="213">
        <f>D16</f>
        <v>0</v>
      </c>
      <c r="E60" s="194">
        <f>D61</f>
        <v>0</v>
      </c>
      <c r="F60" s="212">
        <f>F16</f>
        <v>0</v>
      </c>
      <c r="G60" s="210"/>
      <c r="H60" s="211">
        <f>H16</f>
        <v>0.1</v>
      </c>
      <c r="I60" s="210">
        <f>1-H60</f>
        <v>0.9</v>
      </c>
      <c r="J60" s="1272" t="str">
        <f>TEXT(I59,"0.0%")&amp;"/"&amp;TEXT(H59,"0.0%")&amp;" to "&amp;(IF(D55="IRR",TEXT(E59,"0.0%"),TEXT(E59,"0.0X")))&amp;", then "&amp;TEXT(I60,"0.0%")&amp;"/"&amp;TEXT(H60,"0.0%")&amp;" to "&amp;(IF(D55="IRR",TEXT(E60,"0.0%"),TEXT(E60,"0.0X")))</f>
        <v>90.0%/10.0% to 0.0%, then 90.0%/10.0% to 0.0%</v>
      </c>
      <c r="K60" s="1272"/>
      <c r="L60" s="1272"/>
      <c r="M60" s="1272"/>
      <c r="N60" s="1272"/>
      <c r="O60" s="206"/>
      <c r="P60" s="206"/>
      <c r="R60" s="160" t="s">
        <v>144</v>
      </c>
      <c r="S60" s="214"/>
      <c r="T60" s="213">
        <f>T16</f>
        <v>0</v>
      </c>
      <c r="U60" s="194">
        <f>T61</f>
        <v>0</v>
      </c>
      <c r="V60" s="212">
        <f>V16</f>
        <v>0</v>
      </c>
      <c r="W60" s="210"/>
      <c r="X60" s="211">
        <f>X16</f>
        <v>0.1</v>
      </c>
      <c r="Y60" s="210">
        <f>1-X60</f>
        <v>0.9</v>
      </c>
      <c r="Z60" s="1272"/>
      <c r="AA60" s="1272"/>
    </row>
    <row r="61" spans="2:27" ht="14.5" outlineLevel="1" x14ac:dyDescent="0.35">
      <c r="B61" s="160" t="s">
        <v>143</v>
      </c>
      <c r="C61" s="214"/>
      <c r="D61" s="213">
        <f>D17</f>
        <v>0</v>
      </c>
      <c r="E61" s="194"/>
      <c r="F61" s="212">
        <f>F17</f>
        <v>0</v>
      </c>
      <c r="G61" s="210"/>
      <c r="H61" s="211">
        <f>H17</f>
        <v>0.1</v>
      </c>
      <c r="I61" s="210">
        <f>1-H61</f>
        <v>0.9</v>
      </c>
      <c r="J61" s="1272" t="str">
        <f>TEXT(I60,"0.0%")&amp;"/"&amp;TEXT(H60,"0.0%")&amp;" to "&amp;(IF(D55="IRR",TEXT(E60,"0.0%"),TEXT(E60,"0.0X")))&amp;", then "&amp;TEXT(I61,"0.0%")&amp;"/"&amp;TEXT(H61,"0.0%")&amp;" thereafter"</f>
        <v>90.0%/10.0% to 0.0%, then 90.0%/10.0% thereafter</v>
      </c>
      <c r="K61" s="1272"/>
      <c r="L61" s="1272"/>
      <c r="M61" s="1272"/>
      <c r="N61" s="1272"/>
      <c r="O61" s="206"/>
      <c r="P61" s="206"/>
      <c r="R61" s="160" t="s">
        <v>143</v>
      </c>
      <c r="S61" s="214"/>
      <c r="T61" s="213">
        <f>T17</f>
        <v>0</v>
      </c>
      <c r="U61" s="194"/>
      <c r="V61" s="212">
        <f>V17</f>
        <v>0</v>
      </c>
      <c r="W61" s="210"/>
      <c r="X61" s="211">
        <f>X17</f>
        <v>0.1</v>
      </c>
      <c r="Y61" s="210">
        <f>1-X61</f>
        <v>0.9</v>
      </c>
      <c r="Z61" s="1272"/>
      <c r="AA61" s="1272"/>
    </row>
    <row r="62" spans="2:27" ht="14.5" outlineLevel="1" x14ac:dyDescent="0.35">
      <c r="B62" s="160"/>
      <c r="C62" s="160"/>
      <c r="D62" s="199"/>
      <c r="E62" s="194"/>
      <c r="F62" s="209"/>
      <c r="G62" s="208"/>
      <c r="H62" s="207"/>
      <c r="I62" s="207"/>
      <c r="J62" s="206"/>
      <c r="K62" s="206"/>
      <c r="L62" s="206"/>
      <c r="M62" s="206"/>
      <c r="N62" s="206"/>
      <c r="O62" s="206"/>
      <c r="P62" s="206"/>
      <c r="R62" s="160"/>
      <c r="S62" s="160"/>
      <c r="T62" s="199"/>
      <c r="U62" s="194"/>
      <c r="V62" s="209"/>
      <c r="W62" s="208"/>
      <c r="X62" s="207"/>
      <c r="Y62" s="207"/>
      <c r="Z62" s="206"/>
      <c r="AA62" s="206"/>
    </row>
    <row r="63" spans="2:27" ht="15.5" outlineLevel="1" x14ac:dyDescent="0.35">
      <c r="B63" s="168" t="s">
        <v>142</v>
      </c>
      <c r="C63" s="167"/>
      <c r="D63" s="205"/>
      <c r="E63" s="204"/>
      <c r="F63" s="165">
        <v>0</v>
      </c>
      <c r="G63" s="165">
        <f t="shared" ref="G63:P63" ca="1" si="26">IF(G81="","",F63+1)</f>
        <v>1</v>
      </c>
      <c r="H63" s="165">
        <f t="shared" ca="1" si="26"/>
        <v>2</v>
      </c>
      <c r="I63" s="165">
        <f t="shared" ca="1" si="26"/>
        <v>3</v>
      </c>
      <c r="J63" s="165">
        <f t="shared" ca="1" si="26"/>
        <v>4</v>
      </c>
      <c r="K63" s="165">
        <f t="shared" ca="1" si="26"/>
        <v>5</v>
      </c>
      <c r="L63" s="165">
        <f t="shared" ca="1" si="26"/>
        <v>6</v>
      </c>
      <c r="M63" s="165">
        <f t="shared" ca="1" si="26"/>
        <v>7</v>
      </c>
      <c r="N63" s="165">
        <f t="shared" ca="1" si="26"/>
        <v>8</v>
      </c>
      <c r="O63" s="165">
        <f t="shared" ca="1" si="26"/>
        <v>9</v>
      </c>
      <c r="P63" s="165">
        <f t="shared" ca="1" si="26"/>
        <v>10</v>
      </c>
      <c r="R63" s="168" t="s">
        <v>142</v>
      </c>
      <c r="S63" s="167"/>
      <c r="T63" s="205"/>
      <c r="U63" s="204"/>
      <c r="V63" s="165">
        <v>0</v>
      </c>
      <c r="W63" s="165">
        <f ca="1">IF(W81="","",V63+1)</f>
        <v>1</v>
      </c>
      <c r="X63" s="165">
        <f ca="1">IF(X81="","",W63+1)</f>
        <v>2</v>
      </c>
      <c r="Y63" s="165">
        <f ca="1">IF(Y81="","",X63+1)</f>
        <v>3</v>
      </c>
      <c r="Z63" s="165">
        <f ca="1">IF(Z81="","",Y63+1)</f>
        <v>4</v>
      </c>
      <c r="AA63" s="165">
        <f ca="1">IF(AA81="","",Z63+1)</f>
        <v>5</v>
      </c>
    </row>
    <row r="64" spans="2:27" ht="14.5" outlineLevel="1" x14ac:dyDescent="0.35">
      <c r="B64" s="200" t="s">
        <v>141</v>
      </c>
      <c r="C64" s="160"/>
      <c r="D64" s="199"/>
      <c r="E64" s="194"/>
      <c r="F64" s="193"/>
      <c r="G64" s="192"/>
      <c r="H64" s="180"/>
      <c r="I64" s="180"/>
      <c r="J64" s="162"/>
      <c r="K64" s="162"/>
      <c r="L64" s="162"/>
      <c r="M64" s="162"/>
      <c r="N64" s="162"/>
      <c r="O64" s="162"/>
      <c r="P64" s="162"/>
      <c r="R64" s="200" t="s">
        <v>141</v>
      </c>
      <c r="S64" s="160"/>
      <c r="T64" s="199"/>
      <c r="U64" s="194"/>
      <c r="V64" s="193"/>
      <c r="W64" s="192"/>
      <c r="X64" s="180"/>
      <c r="Y64" s="180"/>
      <c r="Z64" s="162"/>
      <c r="AA64" s="162"/>
    </row>
    <row r="65" spans="2:27" ht="14.5" outlineLevel="1" x14ac:dyDescent="0.35">
      <c r="B65" s="196" t="s">
        <v>140</v>
      </c>
      <c r="C65" s="160"/>
      <c r="D65" s="203">
        <f ca="1">SUM(F65:P65)</f>
        <v>8562740.5168776102</v>
      </c>
      <c r="E65" s="194"/>
      <c r="F65" s="173">
        <f t="shared" ref="F65:P65" ca="1" si="27">IF(F63="","",F97+F119+F134+F141)</f>
        <v>0</v>
      </c>
      <c r="G65" s="173">
        <f t="shared" ca="1" si="27"/>
        <v>332360.72900245379</v>
      </c>
      <c r="H65" s="173">
        <f t="shared" ca="1" si="27"/>
        <v>344827.26494783838</v>
      </c>
      <c r="I65" s="173">
        <f t="shared" ca="1" si="27"/>
        <v>357543.13161213067</v>
      </c>
      <c r="J65" s="173">
        <f t="shared" ca="1" si="27"/>
        <v>370513.31560970878</v>
      </c>
      <c r="K65" s="173">
        <f t="shared" ca="1" si="27"/>
        <v>383742.9032872385</v>
      </c>
      <c r="L65" s="173">
        <f t="shared" ca="1" si="27"/>
        <v>397237.08271831885</v>
      </c>
      <c r="M65" s="173">
        <f t="shared" ca="1" si="27"/>
        <v>411001.14573802071</v>
      </c>
      <c r="N65" s="173">
        <f t="shared" ca="1" si="27"/>
        <v>425040.4900181166</v>
      </c>
      <c r="O65" s="173">
        <f t="shared" ca="1" si="27"/>
        <v>439360.62118381448</v>
      </c>
      <c r="P65" s="173">
        <f t="shared" ca="1" si="27"/>
        <v>5101113.8327599689</v>
      </c>
      <c r="R65" s="196" t="s">
        <v>140</v>
      </c>
      <c r="S65" s="160"/>
      <c r="T65" s="203">
        <f ca="1">SUM(V65:AA65)</f>
        <v>5780880.9825762864</v>
      </c>
      <c r="U65" s="194"/>
      <c r="V65" s="173">
        <f t="shared" ref="V65:AA65" ca="1" si="28">IF(V63="","",V97+V119+V134+V141)</f>
        <v>0</v>
      </c>
      <c r="W65" s="173">
        <f t="shared" ca="1" si="28"/>
        <v>332360.72900245379</v>
      </c>
      <c r="X65" s="173">
        <f t="shared" ca="1" si="28"/>
        <v>344827.26494783838</v>
      </c>
      <c r="Y65" s="173">
        <f t="shared" ca="1" si="28"/>
        <v>357543.13161213067</v>
      </c>
      <c r="Z65" s="173">
        <f t="shared" ca="1" si="28"/>
        <v>370513.31560970878</v>
      </c>
      <c r="AA65" s="173">
        <f t="shared" ca="1" si="28"/>
        <v>4375636.5414041542</v>
      </c>
    </row>
    <row r="66" spans="2:27" ht="14.5" outlineLevel="1" x14ac:dyDescent="0.35">
      <c r="B66" s="196" t="s">
        <v>139</v>
      </c>
      <c r="C66" s="160"/>
      <c r="D66" s="203">
        <f ca="1">SUM(F66:P66)</f>
        <v>3739084.6100575007</v>
      </c>
      <c r="E66" s="194"/>
      <c r="F66" s="173">
        <f t="shared" ref="F66:P66" ca="1" si="29">F93</f>
        <v>3739084.6100575007</v>
      </c>
      <c r="G66" s="173">
        <f t="shared" ca="1" si="29"/>
        <v>0</v>
      </c>
      <c r="H66" s="173">
        <f t="shared" ca="1" si="29"/>
        <v>0</v>
      </c>
      <c r="I66" s="173">
        <f t="shared" ca="1" si="29"/>
        <v>0</v>
      </c>
      <c r="J66" s="173">
        <f t="shared" ca="1" si="29"/>
        <v>0</v>
      </c>
      <c r="K66" s="173">
        <f t="shared" ca="1" si="29"/>
        <v>0</v>
      </c>
      <c r="L66" s="173">
        <f t="shared" ca="1" si="29"/>
        <v>0</v>
      </c>
      <c r="M66" s="173">
        <f t="shared" ca="1" si="29"/>
        <v>0</v>
      </c>
      <c r="N66" s="173">
        <f t="shared" ca="1" si="29"/>
        <v>0</v>
      </c>
      <c r="O66" s="173">
        <f t="shared" ca="1" si="29"/>
        <v>0</v>
      </c>
      <c r="P66" s="173">
        <f t="shared" ca="1" si="29"/>
        <v>0</v>
      </c>
      <c r="R66" s="196" t="s">
        <v>139</v>
      </c>
      <c r="S66" s="160"/>
      <c r="T66" s="203">
        <f ca="1">SUM(V66:AA66)</f>
        <v>3739084.6100575007</v>
      </c>
      <c r="U66" s="194"/>
      <c r="V66" s="173">
        <f t="shared" ref="V66:AA66" ca="1" si="30">V93</f>
        <v>3739084.6100575007</v>
      </c>
      <c r="W66" s="173">
        <f t="shared" ca="1" si="30"/>
        <v>0</v>
      </c>
      <c r="X66" s="173">
        <f t="shared" ca="1" si="30"/>
        <v>0</v>
      </c>
      <c r="Y66" s="173">
        <f t="shared" ca="1" si="30"/>
        <v>0</v>
      </c>
      <c r="Z66" s="173">
        <f t="shared" ca="1" si="30"/>
        <v>0</v>
      </c>
      <c r="AA66" s="173">
        <f t="shared" ca="1" si="30"/>
        <v>0</v>
      </c>
    </row>
    <row r="67" spans="2:27" ht="14.5" outlineLevel="1" x14ac:dyDescent="0.35">
      <c r="B67" s="196" t="s">
        <v>138</v>
      </c>
      <c r="C67" s="160"/>
      <c r="D67" s="203">
        <f ca="1">D65-D66</f>
        <v>4823655.9068201091</v>
      </c>
      <c r="E67" s="194"/>
      <c r="F67" s="198"/>
      <c r="G67" s="173"/>
      <c r="H67" s="159"/>
      <c r="I67" s="159"/>
      <c r="J67" s="159"/>
      <c r="K67" s="159"/>
      <c r="L67" s="159"/>
      <c r="M67" s="159"/>
      <c r="N67" s="159"/>
      <c r="O67" s="159"/>
      <c r="P67" s="159"/>
      <c r="R67" s="196" t="s">
        <v>138</v>
      </c>
      <c r="S67" s="160"/>
      <c r="T67" s="203">
        <f ca="1">T65-T66</f>
        <v>2041796.3725187858</v>
      </c>
      <c r="U67" s="194"/>
      <c r="V67" s="198"/>
      <c r="W67" s="173"/>
      <c r="X67" s="159"/>
      <c r="Y67" s="159"/>
      <c r="Z67" s="159"/>
      <c r="AA67" s="159"/>
    </row>
    <row r="68" spans="2:27" ht="14.5" outlineLevel="1" x14ac:dyDescent="0.35">
      <c r="B68" s="196" t="s">
        <v>137</v>
      </c>
      <c r="C68" s="160"/>
      <c r="D68" s="202">
        <f ca="1">IRR(F68:Q68)</f>
        <v>0.11566556677933226</v>
      </c>
      <c r="E68" s="194"/>
      <c r="F68" s="173">
        <f t="shared" ref="F68:P68" ca="1" si="31">IF(F63="","",(-F66)+F65)</f>
        <v>-3739084.6100575007</v>
      </c>
      <c r="G68" s="173">
        <f t="shared" ca="1" si="31"/>
        <v>332360.72900245379</v>
      </c>
      <c r="H68" s="173">
        <f t="shared" ca="1" si="31"/>
        <v>344827.26494783838</v>
      </c>
      <c r="I68" s="173">
        <f t="shared" ca="1" si="31"/>
        <v>357543.13161213067</v>
      </c>
      <c r="J68" s="173">
        <f t="shared" ca="1" si="31"/>
        <v>370513.31560970878</v>
      </c>
      <c r="K68" s="173">
        <f t="shared" ca="1" si="31"/>
        <v>383742.9032872385</v>
      </c>
      <c r="L68" s="173">
        <f t="shared" ca="1" si="31"/>
        <v>397237.08271831885</v>
      </c>
      <c r="M68" s="173">
        <f t="shared" ca="1" si="31"/>
        <v>411001.14573802071</v>
      </c>
      <c r="N68" s="173">
        <f t="shared" ca="1" si="31"/>
        <v>425040.4900181166</v>
      </c>
      <c r="O68" s="173">
        <f t="shared" ca="1" si="31"/>
        <v>439360.62118381448</v>
      </c>
      <c r="P68" s="173">
        <f t="shared" ca="1" si="31"/>
        <v>5101113.8327599689</v>
      </c>
      <c r="R68" s="196" t="s">
        <v>137</v>
      </c>
      <c r="S68" s="160"/>
      <c r="T68" s="202">
        <f ca="1">IRR(V68:AA68)</f>
        <v>0.10594725198855337</v>
      </c>
      <c r="U68" s="194"/>
      <c r="V68" s="173">
        <f t="shared" ref="V68:AA68" ca="1" si="32">IF(V63="","",(-V66)+V65)</f>
        <v>-3739084.6100575007</v>
      </c>
      <c r="W68" s="173">
        <f t="shared" ca="1" si="32"/>
        <v>332360.72900245379</v>
      </c>
      <c r="X68" s="173">
        <f t="shared" ca="1" si="32"/>
        <v>344827.26494783838</v>
      </c>
      <c r="Y68" s="173">
        <f t="shared" ca="1" si="32"/>
        <v>357543.13161213067</v>
      </c>
      <c r="Z68" s="173">
        <f t="shared" ca="1" si="32"/>
        <v>370513.31560970878</v>
      </c>
      <c r="AA68" s="173">
        <f t="shared" ca="1" si="32"/>
        <v>4375636.5414041542</v>
      </c>
    </row>
    <row r="69" spans="2:27" ht="14.5" outlineLevel="1" x14ac:dyDescent="0.35">
      <c r="B69" s="196" t="s">
        <v>136</v>
      </c>
      <c r="C69" s="160"/>
      <c r="D69" s="201">
        <f ca="1">D65/D66</f>
        <v>2.2900633202696983</v>
      </c>
      <c r="E69" s="194"/>
      <c r="F69" s="198"/>
      <c r="G69" s="173"/>
      <c r="H69" s="159"/>
      <c r="I69" s="159"/>
      <c r="J69" s="159"/>
      <c r="K69" s="159"/>
      <c r="L69" s="159"/>
      <c r="M69" s="159"/>
      <c r="N69" s="159"/>
      <c r="O69" s="159"/>
      <c r="P69" s="159"/>
      <c r="R69" s="196" t="s">
        <v>136</v>
      </c>
      <c r="S69" s="160"/>
      <c r="T69" s="201">
        <f ca="1">T65/T66</f>
        <v>1.5460685128725629</v>
      </c>
      <c r="U69" s="194"/>
      <c r="V69" s="198"/>
      <c r="W69" s="173"/>
      <c r="X69" s="159"/>
      <c r="Y69" s="159"/>
      <c r="Z69" s="159"/>
      <c r="AA69" s="159"/>
    </row>
    <row r="70" spans="2:27" ht="14.5" outlineLevel="1" x14ac:dyDescent="0.35">
      <c r="B70" s="196"/>
      <c r="C70" s="160"/>
      <c r="D70" s="199"/>
      <c r="E70" s="194"/>
      <c r="F70" s="198"/>
      <c r="G70" s="173"/>
      <c r="H70" s="159"/>
      <c r="I70" s="159"/>
      <c r="J70" s="159"/>
      <c r="K70" s="159"/>
      <c r="L70" s="159"/>
      <c r="M70" s="159"/>
      <c r="N70" s="159"/>
      <c r="O70" s="159"/>
      <c r="P70" s="159"/>
      <c r="R70" s="196"/>
      <c r="S70" s="160"/>
      <c r="T70" s="199"/>
      <c r="U70" s="194"/>
      <c r="V70" s="198"/>
      <c r="W70" s="173"/>
      <c r="X70" s="159"/>
      <c r="Y70" s="159"/>
      <c r="Z70" s="159"/>
      <c r="AA70" s="159"/>
    </row>
    <row r="71" spans="2:27" ht="14.5" outlineLevel="1" x14ac:dyDescent="0.35">
      <c r="B71" s="200" t="s">
        <v>135</v>
      </c>
      <c r="C71" s="160"/>
      <c r="D71" s="199"/>
      <c r="E71" s="194"/>
      <c r="F71" s="198"/>
      <c r="G71" s="173"/>
      <c r="H71" s="159"/>
      <c r="I71" s="159"/>
      <c r="J71" s="159"/>
      <c r="K71" s="159"/>
      <c r="L71" s="159"/>
      <c r="M71" s="159"/>
      <c r="N71" s="159"/>
      <c r="O71" s="159"/>
      <c r="P71" s="159"/>
      <c r="R71" s="200" t="s">
        <v>135</v>
      </c>
      <c r="S71" s="160"/>
      <c r="T71" s="199"/>
      <c r="U71" s="194"/>
      <c r="V71" s="198"/>
      <c r="W71" s="173"/>
      <c r="X71" s="159"/>
      <c r="Y71" s="159"/>
      <c r="Z71" s="159"/>
      <c r="AA71" s="159"/>
    </row>
    <row r="72" spans="2:27" ht="14.5" outlineLevel="1" x14ac:dyDescent="0.35">
      <c r="B72" s="196" t="s">
        <v>85</v>
      </c>
      <c r="C72" s="160"/>
      <c r="D72" s="173">
        <f ca="1">SUM(F72:P72)</f>
        <v>951415.61298640142</v>
      </c>
      <c r="E72" s="194"/>
      <c r="F72" s="173">
        <f t="shared" ref="F72:P72" ca="1" si="33">IF(F63="","",F102+F120+F135+F142)</f>
        <v>0</v>
      </c>
      <c r="G72" s="173">
        <f t="shared" ca="1" si="33"/>
        <v>36928.969889161534</v>
      </c>
      <c r="H72" s="173">
        <f t="shared" ca="1" si="33"/>
        <v>38314.140549759817</v>
      </c>
      <c r="I72" s="173">
        <f t="shared" ca="1" si="33"/>
        <v>39727.014623570081</v>
      </c>
      <c r="J72" s="173">
        <f t="shared" ca="1" si="33"/>
        <v>41168.146178856528</v>
      </c>
      <c r="K72" s="173">
        <f t="shared" ca="1" si="33"/>
        <v>42638.10036524872</v>
      </c>
      <c r="L72" s="173">
        <f t="shared" ca="1" si="33"/>
        <v>44137.453635368758</v>
      </c>
      <c r="M72" s="173">
        <f t="shared" ca="1" si="33"/>
        <v>45666.793970891187</v>
      </c>
      <c r="N72" s="173">
        <f t="shared" ca="1" si="33"/>
        <v>47226.721113124069</v>
      </c>
      <c r="O72" s="173">
        <f t="shared" ca="1" si="33"/>
        <v>48817.846798201615</v>
      </c>
      <c r="P72" s="173">
        <f t="shared" ca="1" si="33"/>
        <v>566790.42586221907</v>
      </c>
      <c r="R72" s="196" t="s">
        <v>85</v>
      </c>
      <c r="S72" s="160"/>
      <c r="T72" s="173">
        <f ca="1">SUM(V72:AA72)</f>
        <v>642320.10917514283</v>
      </c>
      <c r="U72" s="194"/>
      <c r="V72" s="173">
        <f t="shared" ref="V72:AA72" ca="1" si="34">IF(V63="","",V102+V120+V135+V142)</f>
        <v>0</v>
      </c>
      <c r="W72" s="173">
        <f t="shared" ca="1" si="34"/>
        <v>36928.969889161534</v>
      </c>
      <c r="X72" s="173">
        <f t="shared" ca="1" si="34"/>
        <v>38314.140549759817</v>
      </c>
      <c r="Y72" s="173">
        <f t="shared" ca="1" si="34"/>
        <v>39727.014623570081</v>
      </c>
      <c r="Z72" s="173">
        <f t="shared" ca="1" si="34"/>
        <v>41168.146178856528</v>
      </c>
      <c r="AA72" s="173">
        <f t="shared" ca="1" si="34"/>
        <v>486181.83793379483</v>
      </c>
    </row>
    <row r="73" spans="2:27" ht="14.5" outlineLevel="1" x14ac:dyDescent="0.35">
      <c r="B73" s="196" t="s">
        <v>134</v>
      </c>
      <c r="C73" s="160"/>
      <c r="D73" s="173">
        <f ca="1">SUM(F73:Q73)</f>
        <v>103863.46139048615</v>
      </c>
      <c r="E73" s="194"/>
      <c r="F73" s="173">
        <f t="shared" ref="F73:P73" si="35">IF(F63="","",SUM(F82:F83))</f>
        <v>0</v>
      </c>
      <c r="G73" s="173">
        <f t="shared" ca="1" si="35"/>
        <v>10386.346139048614</v>
      </c>
      <c r="H73" s="173">
        <f t="shared" ca="1" si="35"/>
        <v>10386.346139048614</v>
      </c>
      <c r="I73" s="173">
        <f t="shared" ca="1" si="35"/>
        <v>10386.346139048614</v>
      </c>
      <c r="J73" s="173">
        <f t="shared" ca="1" si="35"/>
        <v>10386.346139048614</v>
      </c>
      <c r="K73" s="173">
        <f t="shared" ca="1" si="35"/>
        <v>10386.346139048614</v>
      </c>
      <c r="L73" s="173">
        <f t="shared" ca="1" si="35"/>
        <v>10386.346139048614</v>
      </c>
      <c r="M73" s="173">
        <f t="shared" ca="1" si="35"/>
        <v>10386.346139048614</v>
      </c>
      <c r="N73" s="173">
        <f t="shared" ca="1" si="35"/>
        <v>10386.346139048614</v>
      </c>
      <c r="O73" s="173">
        <f t="shared" ca="1" si="35"/>
        <v>10386.346139048614</v>
      </c>
      <c r="P73" s="173">
        <f t="shared" ca="1" si="35"/>
        <v>10386.346139048614</v>
      </c>
      <c r="R73" s="196" t="s">
        <v>134</v>
      </c>
      <c r="S73" s="160"/>
      <c r="T73" s="173">
        <f ca="1">SUM(V73:AA73)</f>
        <v>51931.730695243066</v>
      </c>
      <c r="U73" s="194"/>
      <c r="V73" s="173">
        <f t="shared" ref="V73:AA73" si="36">IF(V63="","",SUM(V82:V83))</f>
        <v>0</v>
      </c>
      <c r="W73" s="173">
        <f t="shared" ca="1" si="36"/>
        <v>10386.346139048614</v>
      </c>
      <c r="X73" s="173">
        <f t="shared" ca="1" si="36"/>
        <v>10386.346139048614</v>
      </c>
      <c r="Y73" s="173">
        <f t="shared" ca="1" si="36"/>
        <v>10386.346139048614</v>
      </c>
      <c r="Z73" s="173">
        <f t="shared" ca="1" si="36"/>
        <v>10386.346139048614</v>
      </c>
      <c r="AA73" s="173">
        <f t="shared" ca="1" si="36"/>
        <v>10386.346139048614</v>
      </c>
    </row>
    <row r="74" spans="2:27" ht="14.5" outlineLevel="1" x14ac:dyDescent="0.35">
      <c r="B74" s="196" t="s">
        <v>133</v>
      </c>
      <c r="C74" s="160"/>
      <c r="D74" s="173">
        <f ca="1">SUM(F74:P74)</f>
        <v>415453.84556194441</v>
      </c>
      <c r="E74" s="194"/>
      <c r="F74" s="173">
        <f t="shared" ref="F74:P74" ca="1" si="37">IF(F63="","",-(MIN(F84,0)+F93))</f>
        <v>415453.84556194441</v>
      </c>
      <c r="G74" s="173">
        <f t="shared" ca="1" si="37"/>
        <v>0</v>
      </c>
      <c r="H74" s="173">
        <f t="shared" ca="1" si="37"/>
        <v>0</v>
      </c>
      <c r="I74" s="173">
        <f t="shared" ca="1" si="37"/>
        <v>0</v>
      </c>
      <c r="J74" s="173">
        <f t="shared" ca="1" si="37"/>
        <v>0</v>
      </c>
      <c r="K74" s="173">
        <f t="shared" ca="1" si="37"/>
        <v>0</v>
      </c>
      <c r="L74" s="173">
        <f t="shared" ca="1" si="37"/>
        <v>0</v>
      </c>
      <c r="M74" s="173">
        <f t="shared" ca="1" si="37"/>
        <v>0</v>
      </c>
      <c r="N74" s="173">
        <f t="shared" ca="1" si="37"/>
        <v>0</v>
      </c>
      <c r="O74" s="173">
        <f t="shared" ca="1" si="37"/>
        <v>0</v>
      </c>
      <c r="P74" s="173">
        <f t="shared" ca="1" si="37"/>
        <v>0</v>
      </c>
      <c r="R74" s="196" t="s">
        <v>133</v>
      </c>
      <c r="S74" s="160"/>
      <c r="T74" s="173">
        <f ca="1">SUM(V74:AA74)</f>
        <v>415453.84556194441</v>
      </c>
      <c r="U74" s="194"/>
      <c r="V74" s="173">
        <f t="shared" ref="V74:AA74" ca="1" si="38">IF(V63="","",-(MIN(V84,0)+V93))</f>
        <v>415453.84556194441</v>
      </c>
      <c r="W74" s="173">
        <f t="shared" ca="1" si="38"/>
        <v>0</v>
      </c>
      <c r="X74" s="173">
        <f t="shared" ca="1" si="38"/>
        <v>0</v>
      </c>
      <c r="Y74" s="173">
        <f t="shared" ca="1" si="38"/>
        <v>0</v>
      </c>
      <c r="Z74" s="173">
        <f t="shared" ca="1" si="38"/>
        <v>0</v>
      </c>
      <c r="AA74" s="173">
        <f t="shared" ca="1" si="38"/>
        <v>0</v>
      </c>
    </row>
    <row r="75" spans="2:27" ht="14.5" outlineLevel="1" x14ac:dyDescent="0.35">
      <c r="B75" s="196" t="s">
        <v>132</v>
      </c>
      <c r="C75" s="160"/>
      <c r="D75" s="173">
        <f ca="1">+D72+D73-D74</f>
        <v>639825.22881494323</v>
      </c>
      <c r="E75" s="194"/>
      <c r="F75" s="198"/>
      <c r="G75" s="173"/>
      <c r="H75" s="159"/>
      <c r="I75" s="159"/>
      <c r="J75" s="159"/>
      <c r="K75" s="159"/>
      <c r="L75" s="159"/>
      <c r="M75" s="159"/>
      <c r="N75" s="159"/>
      <c r="O75" s="159"/>
      <c r="P75" s="159"/>
      <c r="R75" s="196" t="s">
        <v>132</v>
      </c>
      <c r="S75" s="160"/>
      <c r="T75" s="173">
        <f ca="1">+T72+T73-T74</f>
        <v>278797.99430844153</v>
      </c>
      <c r="U75" s="194"/>
      <c r="V75" s="198"/>
      <c r="W75" s="173"/>
      <c r="X75" s="159"/>
      <c r="Y75" s="159"/>
      <c r="Z75" s="159"/>
      <c r="AA75" s="159"/>
    </row>
    <row r="76" spans="2:27" ht="14.5" outlineLevel="1" x14ac:dyDescent="0.35">
      <c r="B76" s="196" t="s">
        <v>131</v>
      </c>
      <c r="C76" s="160"/>
      <c r="D76" s="197">
        <f ca="1">IFERROR(IRR(F76:Q76),"NA")</f>
        <v>0.13861658054268999</v>
      </c>
      <c r="E76" s="194"/>
      <c r="F76" s="173">
        <f t="shared" ref="F76:P76" ca="1" si="39">IF(F63="","",(-F74)+F72+F73)</f>
        <v>-415453.84556194441</v>
      </c>
      <c r="G76" s="173">
        <f t="shared" ca="1" si="39"/>
        <v>47315.316028210145</v>
      </c>
      <c r="H76" s="173">
        <f t="shared" ca="1" si="39"/>
        <v>48700.486688808429</v>
      </c>
      <c r="I76" s="173">
        <f t="shared" ca="1" si="39"/>
        <v>50113.360762618693</v>
      </c>
      <c r="J76" s="173">
        <f t="shared" ca="1" si="39"/>
        <v>51554.49231790514</v>
      </c>
      <c r="K76" s="173">
        <f t="shared" ca="1" si="39"/>
        <v>53024.446504297332</v>
      </c>
      <c r="L76" s="173">
        <f t="shared" ca="1" si="39"/>
        <v>54523.79977441737</v>
      </c>
      <c r="M76" s="173">
        <f t="shared" ca="1" si="39"/>
        <v>56053.140109939799</v>
      </c>
      <c r="N76" s="173">
        <f t="shared" ca="1" si="39"/>
        <v>57613.067252172681</v>
      </c>
      <c r="O76" s="173">
        <f t="shared" ca="1" si="39"/>
        <v>59204.192937250227</v>
      </c>
      <c r="P76" s="173">
        <f t="shared" ca="1" si="39"/>
        <v>577176.77200126764</v>
      </c>
      <c r="R76" s="196" t="s">
        <v>131</v>
      </c>
      <c r="S76" s="160"/>
      <c r="T76" s="197">
        <f ca="1">IFERROR(IRR(V76:AA76),"NA")</f>
        <v>0.13028360554211682</v>
      </c>
      <c r="U76" s="194"/>
      <c r="V76" s="173">
        <f t="shared" ref="V76:AA76" ca="1" si="40">IF(V63="","",(-V74)+V72+V73)</f>
        <v>-415453.84556194441</v>
      </c>
      <c r="W76" s="173">
        <f t="shared" ca="1" si="40"/>
        <v>47315.316028210145</v>
      </c>
      <c r="X76" s="173">
        <f t="shared" ca="1" si="40"/>
        <v>48700.486688808429</v>
      </c>
      <c r="Y76" s="173">
        <f t="shared" ca="1" si="40"/>
        <v>50113.360762618693</v>
      </c>
      <c r="Z76" s="173">
        <f t="shared" ca="1" si="40"/>
        <v>51554.49231790514</v>
      </c>
      <c r="AA76" s="173">
        <f t="shared" ca="1" si="40"/>
        <v>496568.18407284346</v>
      </c>
    </row>
    <row r="77" spans="2:27" ht="14.5" outlineLevel="1" x14ac:dyDescent="0.35">
      <c r="B77" s="196" t="s">
        <v>130</v>
      </c>
      <c r="C77" s="160"/>
      <c r="D77" s="195">
        <f ca="1">IFERROR(D72/D74,"NA")</f>
        <v>2.2900633202696996</v>
      </c>
      <c r="E77" s="194"/>
      <c r="F77" s="193"/>
      <c r="G77" s="192"/>
      <c r="H77" s="180"/>
      <c r="I77" s="180"/>
      <c r="J77" s="162"/>
      <c r="K77" s="162"/>
      <c r="L77" s="162"/>
      <c r="M77" s="162"/>
      <c r="N77" s="162"/>
      <c r="O77" s="162"/>
      <c r="P77" s="162"/>
      <c r="R77" s="196" t="s">
        <v>130</v>
      </c>
      <c r="S77" s="160"/>
      <c r="T77" s="195">
        <f ca="1">IFERROR(T72/T74,"NA")</f>
        <v>1.5460685128725629</v>
      </c>
      <c r="U77" s="194"/>
      <c r="V77" s="193"/>
      <c r="W77" s="192"/>
      <c r="X77" s="180"/>
      <c r="Y77" s="180"/>
      <c r="Z77" s="162"/>
      <c r="AA77" s="162"/>
    </row>
    <row r="78" spans="2:27" ht="14.5" outlineLevel="1" x14ac:dyDescent="0.35">
      <c r="B78" s="191"/>
      <c r="C78" s="190"/>
      <c r="D78" s="189"/>
      <c r="E78" s="160"/>
      <c r="F78" s="162"/>
      <c r="G78" s="162"/>
      <c r="H78" s="162"/>
      <c r="I78" s="162"/>
      <c r="J78" s="162"/>
      <c r="K78" s="162"/>
      <c r="L78" s="162"/>
      <c r="M78" s="162"/>
      <c r="N78" s="162"/>
      <c r="O78" s="162"/>
      <c r="P78" s="162"/>
      <c r="R78" s="191"/>
      <c r="S78" s="190"/>
      <c r="T78" s="189"/>
      <c r="U78" s="160"/>
      <c r="V78" s="162"/>
      <c r="W78" s="162"/>
      <c r="X78" s="162"/>
      <c r="Y78" s="162"/>
      <c r="Z78" s="162"/>
      <c r="AA78" s="162"/>
    </row>
    <row r="79" spans="2:27" ht="15.5" outlineLevel="1" x14ac:dyDescent="0.35">
      <c r="B79" s="168" t="s">
        <v>129</v>
      </c>
      <c r="C79" s="167"/>
      <c r="D79" s="167"/>
      <c r="E79" s="188"/>
      <c r="F79" s="166" t="s">
        <v>30</v>
      </c>
      <c r="G79" s="165">
        <f t="shared" ref="G79:P79" ca="1" si="41">G$19</f>
        <v>1</v>
      </c>
      <c r="H79" s="165">
        <f t="shared" ca="1" si="41"/>
        <v>2</v>
      </c>
      <c r="I79" s="165">
        <f t="shared" ca="1" si="41"/>
        <v>3</v>
      </c>
      <c r="J79" s="165">
        <f t="shared" ca="1" si="41"/>
        <v>4</v>
      </c>
      <c r="K79" s="165">
        <f t="shared" ca="1" si="41"/>
        <v>5</v>
      </c>
      <c r="L79" s="165">
        <f t="shared" ca="1" si="41"/>
        <v>6</v>
      </c>
      <c r="M79" s="165">
        <f t="shared" ca="1" si="41"/>
        <v>7</v>
      </c>
      <c r="N79" s="165">
        <f t="shared" ca="1" si="41"/>
        <v>8</v>
      </c>
      <c r="O79" s="165">
        <f t="shared" ca="1" si="41"/>
        <v>9</v>
      </c>
      <c r="P79" s="165">
        <f t="shared" ca="1" si="41"/>
        <v>10</v>
      </c>
      <c r="R79" s="168" t="s">
        <v>129</v>
      </c>
      <c r="S79" s="167"/>
      <c r="T79" s="167"/>
      <c r="U79" s="188"/>
      <c r="V79" s="166" t="s">
        <v>30</v>
      </c>
      <c r="W79" s="165">
        <f ca="1">W$19</f>
        <v>1</v>
      </c>
      <c r="X79" s="165">
        <f ca="1">X$19</f>
        <v>2</v>
      </c>
      <c r="Y79" s="165">
        <f ca="1">Y$19</f>
        <v>3</v>
      </c>
      <c r="Z79" s="165">
        <f ca="1">Z$19</f>
        <v>4</v>
      </c>
      <c r="AA79" s="165">
        <f ca="1">AA$19</f>
        <v>5</v>
      </c>
    </row>
    <row r="80" spans="2:27" ht="14.5" outlineLevel="1" x14ac:dyDescent="0.35">
      <c r="B80" s="160"/>
      <c r="C80" s="160"/>
      <c r="D80" s="160"/>
      <c r="E80" s="162" t="s">
        <v>31</v>
      </c>
      <c r="F80" s="187">
        <f t="shared" ref="F80:P80" si="42">IF(F44="","",F44)</f>
        <v>46022</v>
      </c>
      <c r="G80" s="186">
        <f t="shared" ca="1" si="42"/>
        <v>46387</v>
      </c>
      <c r="H80" s="186">
        <f t="shared" ca="1" si="42"/>
        <v>46752</v>
      </c>
      <c r="I80" s="186">
        <f t="shared" ca="1" si="42"/>
        <v>47118</v>
      </c>
      <c r="J80" s="186">
        <f t="shared" ca="1" si="42"/>
        <v>47483</v>
      </c>
      <c r="K80" s="186">
        <f t="shared" ca="1" si="42"/>
        <v>47848</v>
      </c>
      <c r="L80" s="186">
        <f t="shared" ca="1" si="42"/>
        <v>48213</v>
      </c>
      <c r="M80" s="186">
        <f t="shared" ca="1" si="42"/>
        <v>48579</v>
      </c>
      <c r="N80" s="186">
        <f t="shared" ca="1" si="42"/>
        <v>48944</v>
      </c>
      <c r="O80" s="186">
        <f t="shared" ca="1" si="42"/>
        <v>49309</v>
      </c>
      <c r="P80" s="186">
        <f t="shared" ca="1" si="42"/>
        <v>49674</v>
      </c>
      <c r="R80" s="160"/>
      <c r="S80" s="160"/>
      <c r="T80" s="160"/>
      <c r="U80" s="162" t="s">
        <v>31</v>
      </c>
      <c r="V80" s="187">
        <f t="shared" ref="V80:AA83" si="43">IF(V44="","",V44)</f>
        <v>46022</v>
      </c>
      <c r="W80" s="186">
        <f t="shared" ca="1" si="43"/>
        <v>46387</v>
      </c>
      <c r="X80" s="186">
        <f t="shared" ca="1" si="43"/>
        <v>46752</v>
      </c>
      <c r="Y80" s="186">
        <f t="shared" ca="1" si="43"/>
        <v>47118</v>
      </c>
      <c r="Z80" s="186">
        <f t="shared" ca="1" si="43"/>
        <v>47483</v>
      </c>
      <c r="AA80" s="186">
        <f t="shared" ca="1" si="43"/>
        <v>47848</v>
      </c>
    </row>
    <row r="81" spans="2:27" ht="14.5" outlineLevel="1" x14ac:dyDescent="0.35">
      <c r="B81" s="183" t="s">
        <v>128</v>
      </c>
      <c r="C81" s="160"/>
      <c r="D81" s="160"/>
      <c r="E81" s="182"/>
      <c r="F81" s="184">
        <f t="shared" ref="F81:P81" ca="1" si="44">IF(F45="","",F45)</f>
        <v>-4154538.4556194451</v>
      </c>
      <c r="G81" s="184">
        <f t="shared" ca="1" si="44"/>
        <v>379676.04503066395</v>
      </c>
      <c r="H81" s="184">
        <f t="shared" ca="1" si="44"/>
        <v>393527.7516366468</v>
      </c>
      <c r="I81" s="184">
        <f t="shared" ca="1" si="44"/>
        <v>407656.49237474939</v>
      </c>
      <c r="J81" s="184">
        <f t="shared" ca="1" si="44"/>
        <v>422067.80792761396</v>
      </c>
      <c r="K81" s="184">
        <f t="shared" ca="1" si="44"/>
        <v>436767.34979153587</v>
      </c>
      <c r="L81" s="184">
        <f t="shared" ca="1" si="44"/>
        <v>451760.88249273621</v>
      </c>
      <c r="M81" s="184">
        <f t="shared" ca="1" si="44"/>
        <v>467054.28584796051</v>
      </c>
      <c r="N81" s="184">
        <f t="shared" ca="1" si="44"/>
        <v>482653.55727028928</v>
      </c>
      <c r="O81" s="184">
        <f t="shared" ca="1" si="44"/>
        <v>498564.81412106473</v>
      </c>
      <c r="P81" s="184">
        <f t="shared" ca="1" si="44"/>
        <v>5678290.6047612363</v>
      </c>
      <c r="R81" s="183" t="s">
        <v>128</v>
      </c>
      <c r="S81" s="160"/>
      <c r="T81" s="160"/>
      <c r="U81" s="182"/>
      <c r="V81" s="184">
        <f t="shared" ca="1" si="43"/>
        <v>-4154538.4556194451</v>
      </c>
      <c r="W81" s="184">
        <f t="shared" ca="1" si="43"/>
        <v>379676.04503066395</v>
      </c>
      <c r="X81" s="184">
        <f t="shared" ca="1" si="43"/>
        <v>393527.7516366468</v>
      </c>
      <c r="Y81" s="184">
        <f t="shared" ca="1" si="43"/>
        <v>407656.49237474939</v>
      </c>
      <c r="Z81" s="184">
        <f t="shared" ca="1" si="43"/>
        <v>422067.80792761396</v>
      </c>
      <c r="AA81" s="184">
        <f t="shared" ca="1" si="43"/>
        <v>4872204.725476997</v>
      </c>
    </row>
    <row r="82" spans="2:27" ht="14.5" outlineLevel="1" x14ac:dyDescent="0.35">
      <c r="B82" s="185" t="str">
        <f>IF(B46="","",B46)</f>
        <v>Asset Management Fees</v>
      </c>
      <c r="C82" s="160"/>
      <c r="D82" s="160"/>
      <c r="E82" s="182"/>
      <c r="F82" s="184">
        <f t="shared" ref="F82:P82" si="45">IF(F46="","",F46)</f>
        <v>0</v>
      </c>
      <c r="G82" s="184">
        <f t="shared" ca="1" si="45"/>
        <v>10386.346139048614</v>
      </c>
      <c r="H82" s="184">
        <f t="shared" ca="1" si="45"/>
        <v>10386.346139048614</v>
      </c>
      <c r="I82" s="184">
        <f t="shared" ca="1" si="45"/>
        <v>10386.346139048614</v>
      </c>
      <c r="J82" s="184">
        <f t="shared" ca="1" si="45"/>
        <v>10386.346139048614</v>
      </c>
      <c r="K82" s="184">
        <f t="shared" ca="1" si="45"/>
        <v>10386.346139048614</v>
      </c>
      <c r="L82" s="184">
        <f t="shared" ca="1" si="45"/>
        <v>10386.346139048614</v>
      </c>
      <c r="M82" s="184">
        <f t="shared" ca="1" si="45"/>
        <v>10386.346139048614</v>
      </c>
      <c r="N82" s="184">
        <f t="shared" ca="1" si="45"/>
        <v>10386.346139048614</v>
      </c>
      <c r="O82" s="184">
        <f t="shared" ca="1" si="45"/>
        <v>10386.346139048614</v>
      </c>
      <c r="P82" s="184">
        <f t="shared" ca="1" si="45"/>
        <v>10386.346139048614</v>
      </c>
      <c r="R82" s="185" t="str">
        <f>IF(R46="","",R46)</f>
        <v>Asset Management Fees</v>
      </c>
      <c r="S82" s="160"/>
      <c r="T82" s="160"/>
      <c r="U82" s="182"/>
      <c r="V82" s="184">
        <f t="shared" si="43"/>
        <v>0</v>
      </c>
      <c r="W82" s="184">
        <f t="shared" ca="1" si="43"/>
        <v>10386.346139048614</v>
      </c>
      <c r="X82" s="184">
        <f t="shared" ca="1" si="43"/>
        <v>10386.346139048614</v>
      </c>
      <c r="Y82" s="184">
        <f t="shared" ca="1" si="43"/>
        <v>10386.346139048614</v>
      </c>
      <c r="Z82" s="184">
        <f t="shared" ca="1" si="43"/>
        <v>10386.346139048614</v>
      </c>
      <c r="AA82" s="184">
        <f t="shared" ca="1" si="43"/>
        <v>10386.346139048614</v>
      </c>
    </row>
    <row r="83" spans="2:27" ht="14.5" outlineLevel="1" x14ac:dyDescent="0.35">
      <c r="B83" s="185" t="str">
        <f>IF(B47="","",B47)</f>
        <v>Acquisition/Disposition Fees</v>
      </c>
      <c r="C83" s="160"/>
      <c r="D83" s="160"/>
      <c r="E83" s="182"/>
      <c r="F83" s="184">
        <f t="shared" ref="F83:P83" si="46">IF(F47="","",F47)</f>
        <v>0</v>
      </c>
      <c r="G83" s="184">
        <f t="shared" si="46"/>
        <v>0</v>
      </c>
      <c r="H83" s="184">
        <f t="shared" si="46"/>
        <v>0</v>
      </c>
      <c r="I83" s="184">
        <f t="shared" si="46"/>
        <v>0</v>
      </c>
      <c r="J83" s="184">
        <f t="shared" si="46"/>
        <v>0</v>
      </c>
      <c r="K83" s="184">
        <f t="shared" si="46"/>
        <v>0</v>
      </c>
      <c r="L83" s="184">
        <f t="shared" si="46"/>
        <v>0</v>
      </c>
      <c r="M83" s="184">
        <f t="shared" si="46"/>
        <v>0</v>
      </c>
      <c r="N83" s="184">
        <f t="shared" si="46"/>
        <v>0</v>
      </c>
      <c r="O83" s="184">
        <f t="shared" si="46"/>
        <v>0</v>
      </c>
      <c r="P83" s="184">
        <f t="shared" si="46"/>
        <v>0</v>
      </c>
      <c r="R83" s="185" t="str">
        <f>IF(R47="","",R47)</f>
        <v>Acquisition/Disposition Fees</v>
      </c>
      <c r="S83" s="160"/>
      <c r="T83" s="160"/>
      <c r="U83" s="182"/>
      <c r="V83" s="184">
        <f t="shared" si="43"/>
        <v>0</v>
      </c>
      <c r="W83" s="184">
        <f t="shared" si="43"/>
        <v>0</v>
      </c>
      <c r="X83" s="184">
        <f t="shared" si="43"/>
        <v>0</v>
      </c>
      <c r="Y83" s="184">
        <f t="shared" si="43"/>
        <v>0</v>
      </c>
      <c r="Z83" s="184">
        <f t="shared" si="43"/>
        <v>0</v>
      </c>
      <c r="AA83" s="184">
        <f t="shared" si="43"/>
        <v>0</v>
      </c>
    </row>
    <row r="84" spans="2:27" ht="14.5" outlineLevel="1" x14ac:dyDescent="0.35">
      <c r="B84" s="183" t="s">
        <v>127</v>
      </c>
      <c r="C84" s="160"/>
      <c r="D84" s="160"/>
      <c r="E84" s="182"/>
      <c r="F84" s="181">
        <f t="shared" ref="F84:P84" ca="1" si="47">IF(F79="","",F81-F82-F83)</f>
        <v>-4154538.4556194451</v>
      </c>
      <c r="G84" s="181">
        <f t="shared" ca="1" si="47"/>
        <v>369289.69889161532</v>
      </c>
      <c r="H84" s="181">
        <f t="shared" ca="1" si="47"/>
        <v>383141.40549759817</v>
      </c>
      <c r="I84" s="181">
        <f t="shared" ca="1" si="47"/>
        <v>397270.14623570075</v>
      </c>
      <c r="J84" s="181">
        <f t="shared" ca="1" si="47"/>
        <v>411681.46178856533</v>
      </c>
      <c r="K84" s="181">
        <f t="shared" ca="1" si="47"/>
        <v>426381.00365248724</v>
      </c>
      <c r="L84" s="181">
        <f t="shared" ca="1" si="47"/>
        <v>441374.53635368758</v>
      </c>
      <c r="M84" s="181">
        <f t="shared" ca="1" si="47"/>
        <v>456667.93970891187</v>
      </c>
      <c r="N84" s="181">
        <f t="shared" ca="1" si="47"/>
        <v>472267.21113124065</v>
      </c>
      <c r="O84" s="181">
        <f t="shared" ca="1" si="47"/>
        <v>488178.4679820161</v>
      </c>
      <c r="P84" s="181">
        <f t="shared" ca="1" si="47"/>
        <v>5667904.2586221881</v>
      </c>
      <c r="R84" s="183" t="s">
        <v>127</v>
      </c>
      <c r="S84" s="160"/>
      <c r="T84" s="160"/>
      <c r="U84" s="182"/>
      <c r="V84" s="181">
        <f t="shared" ref="V84:AA84" ca="1" si="48">IF(V79="","",V81-V82-V83)</f>
        <v>-4154538.4556194451</v>
      </c>
      <c r="W84" s="181">
        <f t="shared" ca="1" si="48"/>
        <v>369289.69889161532</v>
      </c>
      <c r="X84" s="181">
        <f t="shared" ca="1" si="48"/>
        <v>383141.40549759817</v>
      </c>
      <c r="Y84" s="181">
        <f t="shared" ca="1" si="48"/>
        <v>397270.14623570075</v>
      </c>
      <c r="Z84" s="181">
        <f t="shared" ca="1" si="48"/>
        <v>411681.46178856533</v>
      </c>
      <c r="AA84" s="181">
        <f t="shared" ca="1" si="48"/>
        <v>4861818.3793379487</v>
      </c>
    </row>
    <row r="85" spans="2:27" ht="14.5" outlineLevel="1" x14ac:dyDescent="0.35">
      <c r="B85" s="160" t="s">
        <v>25</v>
      </c>
      <c r="C85" s="160"/>
      <c r="D85" s="160"/>
      <c r="E85" s="160"/>
      <c r="F85" s="180">
        <f ca="1">IRR(F84:Q84)</f>
        <v>0.11566556677933226</v>
      </c>
      <c r="G85" s="162"/>
      <c r="H85" s="162"/>
      <c r="I85" s="162"/>
      <c r="J85" s="162"/>
      <c r="K85" s="162"/>
      <c r="L85" s="162"/>
      <c r="M85" s="162"/>
      <c r="N85" s="162"/>
      <c r="O85" s="162"/>
      <c r="P85" s="162"/>
      <c r="R85" s="160" t="s">
        <v>25</v>
      </c>
      <c r="S85" s="160"/>
      <c r="T85" s="160"/>
      <c r="U85" s="160"/>
      <c r="V85" s="180">
        <f ca="1">IRR(V84:AA84)</f>
        <v>0.10594725198855337</v>
      </c>
      <c r="W85" s="162"/>
      <c r="X85" s="162"/>
      <c r="Y85" s="162"/>
      <c r="Z85" s="162"/>
      <c r="AA85" s="162"/>
    </row>
    <row r="86" spans="2:27" ht="14.5" outlineLevel="1" x14ac:dyDescent="0.35">
      <c r="B86" s="160" t="s">
        <v>37</v>
      </c>
      <c r="C86" s="160"/>
      <c r="D86" s="160"/>
      <c r="E86" s="160"/>
      <c r="F86" s="179">
        <f ca="1">SUMIF(F84:Q84,"&gt;0")/-SUMIF(F84:Q84,"&lt;0")</f>
        <v>2.2900633202696983</v>
      </c>
      <c r="G86" s="162"/>
      <c r="H86" s="162"/>
      <c r="I86" s="162"/>
      <c r="J86" s="162"/>
      <c r="K86" s="162"/>
      <c r="L86" s="162"/>
      <c r="M86" s="162"/>
      <c r="N86" s="162"/>
      <c r="O86" s="162"/>
      <c r="P86" s="162"/>
      <c r="R86" s="160" t="s">
        <v>37</v>
      </c>
      <c r="S86" s="160"/>
      <c r="T86" s="160"/>
      <c r="U86" s="160"/>
      <c r="V86" s="179">
        <f ca="1">SUMIF(V84:AA84,"&gt;0")/-SUMIF(V84:AA84,"&lt;0")</f>
        <v>1.5460685128725626</v>
      </c>
      <c r="W86" s="162"/>
      <c r="X86" s="162"/>
      <c r="Y86" s="162"/>
      <c r="Z86" s="162"/>
      <c r="AA86" s="162"/>
    </row>
    <row r="87" spans="2:27" ht="14.5" outlineLevel="1" x14ac:dyDescent="0.35">
      <c r="B87" s="160"/>
      <c r="C87" s="160"/>
      <c r="D87" s="160"/>
      <c r="E87" s="162"/>
      <c r="F87" s="178"/>
      <c r="G87" s="162"/>
      <c r="H87" s="162"/>
      <c r="I87" s="162"/>
      <c r="J87" s="162"/>
      <c r="K87" s="162"/>
      <c r="L87" s="162"/>
      <c r="M87" s="162"/>
      <c r="N87" s="162"/>
      <c r="O87" s="162"/>
      <c r="P87" s="178"/>
      <c r="R87" s="160"/>
      <c r="S87" s="160"/>
      <c r="T87" s="160"/>
      <c r="U87" s="162"/>
      <c r="V87" s="178"/>
      <c r="W87" s="162"/>
      <c r="X87" s="162"/>
      <c r="Y87" s="162"/>
      <c r="Z87" s="162"/>
      <c r="AA87" s="162"/>
    </row>
    <row r="88" spans="2:27" ht="15.5" outlineLevel="1" x14ac:dyDescent="0.35">
      <c r="B88" s="168" t="s">
        <v>126</v>
      </c>
      <c r="C88" s="167"/>
      <c r="D88" s="167"/>
      <c r="E88" s="167"/>
      <c r="F88" s="166"/>
      <c r="G88" s="166"/>
      <c r="H88" s="166"/>
      <c r="I88" s="166"/>
      <c r="J88" s="166"/>
      <c r="K88" s="166"/>
      <c r="L88" s="166"/>
      <c r="M88" s="166"/>
      <c r="N88" s="166"/>
      <c r="O88" s="166"/>
      <c r="P88" s="166"/>
      <c r="R88" s="168" t="s">
        <v>126</v>
      </c>
      <c r="S88" s="167"/>
      <c r="T88" s="167"/>
      <c r="U88" s="167"/>
      <c r="V88" s="166"/>
      <c r="W88" s="166"/>
      <c r="X88" s="166"/>
      <c r="Y88" s="166"/>
      <c r="Z88" s="166"/>
      <c r="AA88" s="166"/>
    </row>
    <row r="89" spans="2:27" ht="14.5" outlineLevel="1" x14ac:dyDescent="0.35">
      <c r="B89" s="177" t="s">
        <v>115</v>
      </c>
      <c r="C89" s="176">
        <f>E58</f>
        <v>0</v>
      </c>
      <c r="D89" s="167"/>
      <c r="E89" s="167"/>
      <c r="F89" s="166" t="s">
        <v>30</v>
      </c>
      <c r="G89" s="165">
        <f t="shared" ref="G89:P89" ca="1" si="49">G$19</f>
        <v>1</v>
      </c>
      <c r="H89" s="165">
        <f t="shared" ca="1" si="49"/>
        <v>2</v>
      </c>
      <c r="I89" s="165">
        <f t="shared" ca="1" si="49"/>
        <v>3</v>
      </c>
      <c r="J89" s="165">
        <f t="shared" ca="1" si="49"/>
        <v>4</v>
      </c>
      <c r="K89" s="165">
        <f t="shared" ca="1" si="49"/>
        <v>5</v>
      </c>
      <c r="L89" s="165">
        <f t="shared" ca="1" si="49"/>
        <v>6</v>
      </c>
      <c r="M89" s="165">
        <f t="shared" ca="1" si="49"/>
        <v>7</v>
      </c>
      <c r="N89" s="165">
        <f t="shared" ca="1" si="49"/>
        <v>8</v>
      </c>
      <c r="O89" s="165">
        <f t="shared" ca="1" si="49"/>
        <v>9</v>
      </c>
      <c r="P89" s="165">
        <f t="shared" ca="1" si="49"/>
        <v>10</v>
      </c>
      <c r="R89" s="177" t="s">
        <v>115</v>
      </c>
      <c r="S89" s="176">
        <f>U58</f>
        <v>0</v>
      </c>
      <c r="T89" s="167"/>
      <c r="U89" s="167"/>
      <c r="V89" s="166" t="s">
        <v>30</v>
      </c>
      <c r="W89" s="165">
        <f ca="1">W$19</f>
        <v>1</v>
      </c>
      <c r="X89" s="165">
        <f ca="1">X$19</f>
        <v>2</v>
      </c>
      <c r="Y89" s="165">
        <f ca="1">Y$19</f>
        <v>3</v>
      </c>
      <c r="Z89" s="165">
        <f ca="1">Z$19</f>
        <v>4</v>
      </c>
      <c r="AA89" s="165">
        <f ca="1">AA$19</f>
        <v>5</v>
      </c>
    </row>
    <row r="90" spans="2:27" ht="14.5" outlineLevel="1" x14ac:dyDescent="0.35">
      <c r="B90" s="160" t="s">
        <v>114</v>
      </c>
      <c r="C90" s="160"/>
      <c r="D90" s="160"/>
      <c r="E90" s="160"/>
      <c r="F90" s="159">
        <f t="shared" ref="F90:P90" si="50">IF(F79="","",E95)</f>
        <v>0</v>
      </c>
      <c r="G90" s="159">
        <f t="shared" ca="1" si="50"/>
        <v>3739084.6100575007</v>
      </c>
      <c r="H90" s="159">
        <f t="shared" ca="1" si="50"/>
        <v>3406723.8810550468</v>
      </c>
      <c r="I90" s="159">
        <f t="shared" ca="1" si="50"/>
        <v>3061896.6161072087</v>
      </c>
      <c r="J90" s="159">
        <f t="shared" ca="1" si="50"/>
        <v>2704353.4844950782</v>
      </c>
      <c r="K90" s="159">
        <f t="shared" ca="1" si="50"/>
        <v>2333840.1688853693</v>
      </c>
      <c r="L90" s="159">
        <f t="shared" ca="1" si="50"/>
        <v>1950097.2655981309</v>
      </c>
      <c r="M90" s="159">
        <f t="shared" ca="1" si="50"/>
        <v>1552860.1828798121</v>
      </c>
      <c r="N90" s="159">
        <f t="shared" ca="1" si="50"/>
        <v>1141859.0371417913</v>
      </c>
      <c r="O90" s="159">
        <f t="shared" ca="1" si="50"/>
        <v>716818.54712367477</v>
      </c>
      <c r="P90" s="159">
        <f t="shared" ca="1" si="50"/>
        <v>277457.92593986029</v>
      </c>
      <c r="R90" s="160" t="s">
        <v>114</v>
      </c>
      <c r="S90" s="160"/>
      <c r="T90" s="160"/>
      <c r="U90" s="160"/>
      <c r="V90" s="159">
        <f t="shared" ref="V90:AA90" si="51">IF(V79="","",U95)</f>
        <v>0</v>
      </c>
      <c r="W90" s="159">
        <f t="shared" ca="1" si="51"/>
        <v>3739084.6100575007</v>
      </c>
      <c r="X90" s="159">
        <f t="shared" ca="1" si="51"/>
        <v>3406723.8810550468</v>
      </c>
      <c r="Y90" s="159">
        <f t="shared" ca="1" si="51"/>
        <v>3061896.6161072087</v>
      </c>
      <c r="Z90" s="159">
        <f t="shared" ca="1" si="51"/>
        <v>2704353.4844950782</v>
      </c>
      <c r="AA90" s="159">
        <f t="shared" ca="1" si="51"/>
        <v>2333840.1688853693</v>
      </c>
    </row>
    <row r="91" spans="2:27" ht="14.5" outlineLevel="1" x14ac:dyDescent="0.35">
      <c r="B91" s="160" t="s">
        <v>125</v>
      </c>
      <c r="C91" s="160"/>
      <c r="D91" s="160"/>
      <c r="E91" s="160"/>
      <c r="F91" s="175" t="str">
        <f ca="1">IF(ROUND(SUM(G91:Q91),0)=ROUND(SUM(F93:Q93),0),"All Capital Returned","Capital Not Returned")</f>
        <v>All Capital Returned</v>
      </c>
      <c r="G91" s="159">
        <f t="shared" ref="G91:P91" ca="1" si="52">IF(G79="","",G97-G92)</f>
        <v>332360.72900245379</v>
      </c>
      <c r="H91" s="159">
        <f t="shared" ca="1" si="52"/>
        <v>344827.26494783838</v>
      </c>
      <c r="I91" s="159">
        <f t="shared" ca="1" si="52"/>
        <v>357543.13161213067</v>
      </c>
      <c r="J91" s="159">
        <f t="shared" ca="1" si="52"/>
        <v>370513.31560970878</v>
      </c>
      <c r="K91" s="159">
        <f t="shared" ca="1" si="52"/>
        <v>383742.9032872385</v>
      </c>
      <c r="L91" s="159">
        <f t="shared" ca="1" si="52"/>
        <v>397237.08271831885</v>
      </c>
      <c r="M91" s="159">
        <f t="shared" ca="1" si="52"/>
        <v>411001.14573802071</v>
      </c>
      <c r="N91" s="159">
        <f t="shared" ca="1" si="52"/>
        <v>425040.4900181166</v>
      </c>
      <c r="O91" s="159">
        <f t="shared" ca="1" si="52"/>
        <v>439360.62118381448</v>
      </c>
      <c r="P91" s="159">
        <f t="shared" ca="1" si="52"/>
        <v>277457.92593986029</v>
      </c>
      <c r="R91" s="160" t="s">
        <v>125</v>
      </c>
      <c r="S91" s="160"/>
      <c r="T91" s="160"/>
      <c r="U91" s="160"/>
      <c r="V91" s="175" t="str">
        <f ca="1">IF(ROUND(SUM(W91:AA91),0)=ROUND(SUM(V93:AA93),0),"All Capital Returned","Capital Not Returned")</f>
        <v>All Capital Returned</v>
      </c>
      <c r="W91" s="159">
        <f ca="1">IF(W79="","",W97-W92)</f>
        <v>332360.72900245379</v>
      </c>
      <c r="X91" s="159">
        <f ca="1">IF(X79="","",X97-X92)</f>
        <v>344827.26494783838</v>
      </c>
      <c r="Y91" s="159">
        <f ca="1">IF(Y79="","",Y97-Y92)</f>
        <v>357543.13161213067</v>
      </c>
      <c r="Z91" s="159">
        <f ca="1">IF(Z79="","",Z97-Z92)</f>
        <v>370513.31560970878</v>
      </c>
      <c r="AA91" s="159">
        <f ca="1">IF(AA79="","",AA97-AA92)</f>
        <v>2333840.1688853693</v>
      </c>
    </row>
    <row r="92" spans="2:27" ht="14.5" outlineLevel="1" x14ac:dyDescent="0.35">
      <c r="B92" s="160" t="s">
        <v>124</v>
      </c>
      <c r="C92" s="160"/>
      <c r="D92" s="160"/>
      <c r="E92" s="160"/>
      <c r="F92" s="159">
        <f>IF(F90="","",IF($D$55="Equity Multiple",E93*$C89-E93,F90*Preferred_Return))</f>
        <v>0</v>
      </c>
      <c r="G92" s="159">
        <f ca="1">G90*Preferred_Return</f>
        <v>0</v>
      </c>
      <c r="H92" s="159">
        <f ca="1">H90*Preferred_Return</f>
        <v>0</v>
      </c>
      <c r="I92" s="159">
        <f ca="1">I90*Preferred_Return</f>
        <v>0</v>
      </c>
      <c r="J92" s="159">
        <f t="shared" ref="J92:P92" ca="1" si="53">IF(J90="","",IF($D$55="Equity Multiple",I93*$C89-I93,J90*Preferred_Return))</f>
        <v>0</v>
      </c>
      <c r="K92" s="159">
        <f t="shared" ca="1" si="53"/>
        <v>0</v>
      </c>
      <c r="L92" s="159">
        <f t="shared" ca="1" si="53"/>
        <v>0</v>
      </c>
      <c r="M92" s="159">
        <f t="shared" ca="1" si="53"/>
        <v>0</v>
      </c>
      <c r="N92" s="159">
        <f t="shared" ca="1" si="53"/>
        <v>0</v>
      </c>
      <c r="O92" s="159">
        <f t="shared" ca="1" si="53"/>
        <v>0</v>
      </c>
      <c r="P92" s="159">
        <f t="shared" ca="1" si="53"/>
        <v>0</v>
      </c>
      <c r="R92" s="160" t="s">
        <v>124</v>
      </c>
      <c r="S92" s="160"/>
      <c r="T92" s="160"/>
      <c r="U92" s="160"/>
      <c r="V92" s="159">
        <f>IF(V90="","",IF($T$55="Equity Multiple",U93*$S89-U93,V90*Preferred_Return))</f>
        <v>0</v>
      </c>
      <c r="W92" s="159">
        <f ca="1">W90*Preferred_Return</f>
        <v>0</v>
      </c>
      <c r="X92" s="159">
        <f ca="1">X90*Preferred_Return</f>
        <v>0</v>
      </c>
      <c r="Y92" s="159">
        <f ca="1">Y90*Preferred_Return</f>
        <v>0</v>
      </c>
      <c r="Z92" s="159">
        <f ca="1">IF(Z90="","",IF($T$55="Equity Multiple",Y93*$S89-Y93,Z90*Preferred_Return))</f>
        <v>0</v>
      </c>
      <c r="AA92" s="159">
        <f ca="1">IF(AA90="","",IF($T$55="Equity Multiple",Z93*$S89-Z93,AA90*Preferred_Return))</f>
        <v>0</v>
      </c>
    </row>
    <row r="93" spans="2:27" ht="14.5" outlineLevel="1" x14ac:dyDescent="0.35">
      <c r="B93" s="160" t="s">
        <v>112</v>
      </c>
      <c r="C93" s="160"/>
      <c r="D93" s="160"/>
      <c r="E93" s="160"/>
      <c r="F93" s="159">
        <f t="shared" ref="F93:P93" ca="1" si="54">IF(F90="","",-MIN(0,F84*Equity_Share_LP))</f>
        <v>3739084.6100575007</v>
      </c>
      <c r="G93" s="159">
        <f t="shared" ca="1" si="54"/>
        <v>0</v>
      </c>
      <c r="H93" s="159">
        <f t="shared" ca="1" si="54"/>
        <v>0</v>
      </c>
      <c r="I93" s="159">
        <f t="shared" ca="1" si="54"/>
        <v>0</v>
      </c>
      <c r="J93" s="159">
        <f t="shared" ca="1" si="54"/>
        <v>0</v>
      </c>
      <c r="K93" s="159">
        <f t="shared" ca="1" si="54"/>
        <v>0</v>
      </c>
      <c r="L93" s="159">
        <f t="shared" ca="1" si="54"/>
        <v>0</v>
      </c>
      <c r="M93" s="159">
        <f t="shared" ca="1" si="54"/>
        <v>0</v>
      </c>
      <c r="N93" s="159">
        <f t="shared" ca="1" si="54"/>
        <v>0</v>
      </c>
      <c r="O93" s="159">
        <f t="shared" ca="1" si="54"/>
        <v>0</v>
      </c>
      <c r="P93" s="159">
        <f t="shared" ca="1" si="54"/>
        <v>0</v>
      </c>
      <c r="R93" s="160" t="s">
        <v>112</v>
      </c>
      <c r="S93" s="160"/>
      <c r="T93" s="160"/>
      <c r="U93" s="160"/>
      <c r="V93" s="159">
        <f t="shared" ref="V93:AA93" ca="1" si="55">IF(V90="","",-MIN(0,V84*Equity_Share_LP))</f>
        <v>3739084.6100575007</v>
      </c>
      <c r="W93" s="159">
        <f t="shared" ca="1" si="55"/>
        <v>0</v>
      </c>
      <c r="X93" s="159">
        <f t="shared" ca="1" si="55"/>
        <v>0</v>
      </c>
      <c r="Y93" s="159">
        <f t="shared" ca="1" si="55"/>
        <v>0</v>
      </c>
      <c r="Z93" s="159">
        <f t="shared" ca="1" si="55"/>
        <v>0</v>
      </c>
      <c r="AA93" s="159">
        <f t="shared" ca="1" si="55"/>
        <v>0</v>
      </c>
    </row>
    <row r="94" spans="2:27" ht="14.5" outlineLevel="1" x14ac:dyDescent="0.35">
      <c r="B94" s="160" t="s">
        <v>123</v>
      </c>
      <c r="C94" s="160"/>
      <c r="D94" s="160"/>
      <c r="E94" s="160"/>
      <c r="F94" s="159">
        <f ca="1">MAX(F84,F92)</f>
        <v>0</v>
      </c>
      <c r="G94" s="173">
        <f t="shared" ref="G94:P94" ca="1" si="56">IF(G90="","",MIN(G90+G92,MAX(G84,0)*$I$14))</f>
        <v>332360.72900245379</v>
      </c>
      <c r="H94" s="173">
        <f t="shared" ca="1" si="56"/>
        <v>344827.26494783838</v>
      </c>
      <c r="I94" s="173">
        <f t="shared" ca="1" si="56"/>
        <v>357543.13161213067</v>
      </c>
      <c r="J94" s="173">
        <f t="shared" ca="1" si="56"/>
        <v>370513.31560970878</v>
      </c>
      <c r="K94" s="173">
        <f t="shared" ca="1" si="56"/>
        <v>383742.9032872385</v>
      </c>
      <c r="L94" s="173">
        <f t="shared" ca="1" si="56"/>
        <v>397237.08271831885</v>
      </c>
      <c r="M94" s="173">
        <f t="shared" ca="1" si="56"/>
        <v>411001.14573802071</v>
      </c>
      <c r="N94" s="173">
        <f t="shared" ca="1" si="56"/>
        <v>425040.4900181166</v>
      </c>
      <c r="O94" s="173">
        <f t="shared" ca="1" si="56"/>
        <v>439360.62118381448</v>
      </c>
      <c r="P94" s="173">
        <f t="shared" ca="1" si="56"/>
        <v>277457.92593986029</v>
      </c>
      <c r="R94" s="160" t="s">
        <v>123</v>
      </c>
      <c r="S94" s="160"/>
      <c r="T94" s="160"/>
      <c r="U94" s="160"/>
      <c r="V94" s="159">
        <f ca="1">MAX(V84,V92)</f>
        <v>0</v>
      </c>
      <c r="W94" s="173">
        <f ca="1">IF(W90="","",MIN(W90+W92,MAX(W84,0)*$Y$14))</f>
        <v>332360.72900245379</v>
      </c>
      <c r="X94" s="173">
        <f ca="1">IF(X90="","",MIN(X90+X92,MAX(X84,0)*$Y$14))</f>
        <v>344827.26494783838</v>
      </c>
      <c r="Y94" s="173">
        <f ca="1">IF(Y90="","",MIN(Y90+Y92,MAX(Y84,0)*$Y$14))</f>
        <v>357543.13161213067</v>
      </c>
      <c r="Z94" s="173">
        <f ca="1">IF(Z90="","",MIN(Z90+Z92,MAX(Z84,0)*$Y$14))</f>
        <v>370513.31560970878</v>
      </c>
      <c r="AA94" s="173">
        <f ca="1">IF(AA90="","",MIN(AA90+AA92,MAX(AA84,0)*$Y$14))</f>
        <v>2333840.1688853693</v>
      </c>
    </row>
    <row r="95" spans="2:27" ht="14.5" outlineLevel="1" x14ac:dyDescent="0.35">
      <c r="B95" s="160" t="s">
        <v>110</v>
      </c>
      <c r="C95" s="160"/>
      <c r="D95" s="160"/>
      <c r="E95" s="160"/>
      <c r="F95" s="159">
        <f ca="1">F90+F93-F94</f>
        <v>3739084.6100575007</v>
      </c>
      <c r="G95" s="159">
        <f t="shared" ref="G95:P95" ca="1" si="57">IF(G90="","",G90+G92+G93-G94)</f>
        <v>3406723.8810550468</v>
      </c>
      <c r="H95" s="159">
        <f t="shared" ca="1" si="57"/>
        <v>3061896.6161072087</v>
      </c>
      <c r="I95" s="159">
        <f t="shared" ca="1" si="57"/>
        <v>2704353.4844950782</v>
      </c>
      <c r="J95" s="159">
        <f t="shared" ca="1" si="57"/>
        <v>2333840.1688853693</v>
      </c>
      <c r="K95" s="159">
        <f t="shared" ca="1" si="57"/>
        <v>1950097.2655981309</v>
      </c>
      <c r="L95" s="159">
        <f t="shared" ca="1" si="57"/>
        <v>1552860.1828798121</v>
      </c>
      <c r="M95" s="159">
        <f t="shared" ca="1" si="57"/>
        <v>1141859.0371417913</v>
      </c>
      <c r="N95" s="159">
        <f t="shared" ca="1" si="57"/>
        <v>716818.54712367477</v>
      </c>
      <c r="O95" s="159">
        <f t="shared" ca="1" si="57"/>
        <v>277457.92593986029</v>
      </c>
      <c r="P95" s="159">
        <f t="shared" ca="1" si="57"/>
        <v>0</v>
      </c>
      <c r="R95" s="160" t="s">
        <v>110</v>
      </c>
      <c r="S95" s="160"/>
      <c r="T95" s="160"/>
      <c r="U95" s="160"/>
      <c r="V95" s="159">
        <f ca="1">V90+V93-V94</f>
        <v>3739084.6100575007</v>
      </c>
      <c r="W95" s="159">
        <f ca="1">IF(W90="","",W90+W92+W93-W94)</f>
        <v>3406723.8810550468</v>
      </c>
      <c r="X95" s="159">
        <f ca="1">IF(X90="","",X90+X92+X93-X94)</f>
        <v>3061896.6161072087</v>
      </c>
      <c r="Y95" s="159">
        <f ca="1">IF(Y90="","",Y90+Y92+Y93-Y94)</f>
        <v>2704353.4844950782</v>
      </c>
      <c r="Z95" s="159">
        <f ca="1">IF(Z90="","",Z90+Z92+Z93-Z94)</f>
        <v>2333840.1688853693</v>
      </c>
      <c r="AA95" s="159">
        <f ca="1">IF(AA90="","",AA90+AA92+AA93-AA94)</f>
        <v>0</v>
      </c>
    </row>
    <row r="96" spans="2:27" ht="14.5" outlineLevel="1" x14ac:dyDescent="0.35">
      <c r="B96" s="174" t="str">
        <f>IF(D55="Equity Multiple", "LP EMx Check","LP IRR Check")</f>
        <v>LP IRR Check</v>
      </c>
      <c r="C96" s="160"/>
      <c r="D96" s="160"/>
      <c r="E96" s="171">
        <f ca="1">IF($D$55="IRR",IRR(F96:Q96),SUMIF(F96:Q96,"&gt;0")/-SUMIF(F96:Q96,"&lt;0"))</f>
        <v>0</v>
      </c>
      <c r="F96" s="159">
        <f t="shared" ref="F96:P96" ca="1" si="58">IF(F90="","",-F93+F94)</f>
        <v>-3739084.6100575007</v>
      </c>
      <c r="G96" s="159">
        <f t="shared" ca="1" si="58"/>
        <v>332360.72900245379</v>
      </c>
      <c r="H96" s="159">
        <f t="shared" ca="1" si="58"/>
        <v>344827.26494783838</v>
      </c>
      <c r="I96" s="159">
        <f t="shared" ca="1" si="58"/>
        <v>357543.13161213067</v>
      </c>
      <c r="J96" s="159">
        <f t="shared" ca="1" si="58"/>
        <v>370513.31560970878</v>
      </c>
      <c r="K96" s="159">
        <f t="shared" ca="1" si="58"/>
        <v>383742.9032872385</v>
      </c>
      <c r="L96" s="159">
        <f t="shared" ca="1" si="58"/>
        <v>397237.08271831885</v>
      </c>
      <c r="M96" s="159">
        <f t="shared" ca="1" si="58"/>
        <v>411001.14573802071</v>
      </c>
      <c r="N96" s="159">
        <f t="shared" ca="1" si="58"/>
        <v>425040.4900181166</v>
      </c>
      <c r="O96" s="159">
        <f t="shared" ca="1" si="58"/>
        <v>439360.62118381448</v>
      </c>
      <c r="P96" s="159">
        <f t="shared" ca="1" si="58"/>
        <v>277457.92593986029</v>
      </c>
      <c r="R96" s="174" t="str">
        <f>IF(T55="Equity Multiple", "LP EMx Check","LP IRR Check")</f>
        <v>LP IRR Check</v>
      </c>
      <c r="S96" s="160"/>
      <c r="T96" s="160"/>
      <c r="U96" s="171">
        <f ca="1">IF($T$55="IRR",IRR(V96:AA96),SUMIF(V96:AA96,"&gt;0")/-SUMIF(V96:AA96,"&lt;0"))</f>
        <v>0</v>
      </c>
      <c r="V96" s="159">
        <f t="shared" ref="V96:AA96" ca="1" si="59">IF(V90="","",-V93+V94)</f>
        <v>-3739084.6100575007</v>
      </c>
      <c r="W96" s="159">
        <f t="shared" ca="1" si="59"/>
        <v>332360.72900245379</v>
      </c>
      <c r="X96" s="159">
        <f t="shared" ca="1" si="59"/>
        <v>344827.26494783838</v>
      </c>
      <c r="Y96" s="159">
        <f t="shared" ca="1" si="59"/>
        <v>357543.13161213067</v>
      </c>
      <c r="Z96" s="159">
        <f t="shared" ca="1" si="59"/>
        <v>370513.31560970878</v>
      </c>
      <c r="AA96" s="159">
        <f t="shared" ca="1" si="59"/>
        <v>2333840.1688853693</v>
      </c>
    </row>
    <row r="97" spans="2:27" ht="14.5" outlineLevel="1" x14ac:dyDescent="0.35">
      <c r="B97" s="160" t="s">
        <v>106</v>
      </c>
      <c r="C97" s="160"/>
      <c r="D97" s="160"/>
      <c r="E97" s="160"/>
      <c r="F97" s="159">
        <f ca="1">MAX(F84,F92)</f>
        <v>0</v>
      </c>
      <c r="G97" s="159">
        <f ca="1">IF(G90="","",MIN(G90+G92,MAX(G84,0)*$I$14))</f>
        <v>332360.72900245379</v>
      </c>
      <c r="H97" s="159">
        <f t="shared" ref="H97:P97" ca="1" si="60">H94</f>
        <v>344827.26494783838</v>
      </c>
      <c r="I97" s="159">
        <f t="shared" ca="1" si="60"/>
        <v>357543.13161213067</v>
      </c>
      <c r="J97" s="159">
        <f t="shared" ca="1" si="60"/>
        <v>370513.31560970878</v>
      </c>
      <c r="K97" s="159">
        <f t="shared" ca="1" si="60"/>
        <v>383742.9032872385</v>
      </c>
      <c r="L97" s="159">
        <f t="shared" ca="1" si="60"/>
        <v>397237.08271831885</v>
      </c>
      <c r="M97" s="159">
        <f t="shared" ca="1" si="60"/>
        <v>411001.14573802071</v>
      </c>
      <c r="N97" s="159">
        <f t="shared" ca="1" si="60"/>
        <v>425040.4900181166</v>
      </c>
      <c r="O97" s="159">
        <f t="shared" ca="1" si="60"/>
        <v>439360.62118381448</v>
      </c>
      <c r="P97" s="159">
        <f t="shared" ca="1" si="60"/>
        <v>277457.92593986029</v>
      </c>
      <c r="R97" s="160" t="s">
        <v>106</v>
      </c>
      <c r="S97" s="160"/>
      <c r="T97" s="160"/>
      <c r="U97" s="160"/>
      <c r="V97" s="159">
        <f ca="1">MAX(V84,V92)</f>
        <v>0</v>
      </c>
      <c r="W97" s="159">
        <f ca="1">IF(W90="","",MIN(W90+W92,MAX(W84,0)*$Y$14))</f>
        <v>332360.72900245379</v>
      </c>
      <c r="X97" s="159">
        <f ca="1">X94</f>
        <v>344827.26494783838</v>
      </c>
      <c r="Y97" s="159">
        <f ca="1">Y94</f>
        <v>357543.13161213067</v>
      </c>
      <c r="Z97" s="159">
        <f ca="1">Z94</f>
        <v>370513.31560970878</v>
      </c>
      <c r="AA97" s="159">
        <f ca="1">AA94</f>
        <v>2333840.1688853693</v>
      </c>
    </row>
    <row r="98" spans="2:27" ht="14.5" outlineLevel="1" x14ac:dyDescent="0.35">
      <c r="B98" s="160"/>
      <c r="C98" s="160"/>
      <c r="D98" s="160"/>
      <c r="E98" s="160"/>
      <c r="F98" s="159"/>
      <c r="G98" s="159"/>
      <c r="H98" s="159"/>
      <c r="I98" s="159"/>
      <c r="J98" s="159"/>
      <c r="K98" s="159"/>
      <c r="L98" s="159"/>
      <c r="M98" s="159"/>
      <c r="N98" s="159"/>
      <c r="O98" s="159"/>
      <c r="P98" s="159"/>
      <c r="R98" s="160"/>
      <c r="S98" s="160"/>
      <c r="T98" s="160"/>
      <c r="U98" s="160"/>
      <c r="V98" s="159"/>
      <c r="W98" s="159"/>
      <c r="X98" s="159"/>
      <c r="Y98" s="159"/>
      <c r="Z98" s="159"/>
      <c r="AA98" s="159"/>
    </row>
    <row r="99" spans="2:27" ht="14.5" outlineLevel="1" x14ac:dyDescent="0.35">
      <c r="B99" s="160" t="s">
        <v>122</v>
      </c>
      <c r="C99" s="160"/>
      <c r="D99" s="160"/>
      <c r="E99" s="160"/>
      <c r="F99" s="159">
        <f t="shared" ref="F99:P99" si="61">IF(F79="","",E103)</f>
        <v>0</v>
      </c>
      <c r="G99" s="159">
        <f t="shared" ca="1" si="61"/>
        <v>415453.84556194453</v>
      </c>
      <c r="H99" s="159">
        <f t="shared" ca="1" si="61"/>
        <v>378524.875672783</v>
      </c>
      <c r="I99" s="159">
        <f t="shared" ca="1" si="61"/>
        <v>340210.73512302316</v>
      </c>
      <c r="J99" s="159">
        <f t="shared" ca="1" si="61"/>
        <v>300483.72049945308</v>
      </c>
      <c r="K99" s="159">
        <f t="shared" ca="1" si="61"/>
        <v>259315.57432059656</v>
      </c>
      <c r="L99" s="159">
        <f t="shared" ca="1" si="61"/>
        <v>216677.47395534784</v>
      </c>
      <c r="M99" s="159">
        <f t="shared" ca="1" si="61"/>
        <v>172540.02031997908</v>
      </c>
      <c r="N99" s="159">
        <f t="shared" ca="1" si="61"/>
        <v>126873.2263490879</v>
      </c>
      <c r="O99" s="159">
        <f t="shared" ca="1" si="61"/>
        <v>79646.505235963821</v>
      </c>
      <c r="P99" s="159">
        <f t="shared" ca="1" si="61"/>
        <v>30828.658437762206</v>
      </c>
      <c r="R99" s="160" t="s">
        <v>122</v>
      </c>
      <c r="S99" s="160"/>
      <c r="T99" s="160"/>
      <c r="U99" s="160"/>
      <c r="V99" s="159">
        <f t="shared" ref="V99:AA99" si="62">IF(V79="","",U103)</f>
        <v>0</v>
      </c>
      <c r="W99" s="159">
        <f t="shared" ca="1" si="62"/>
        <v>415453.84556194453</v>
      </c>
      <c r="X99" s="159">
        <f t="shared" ca="1" si="62"/>
        <v>378524.875672783</v>
      </c>
      <c r="Y99" s="159">
        <f t="shared" ca="1" si="62"/>
        <v>340210.73512302316</v>
      </c>
      <c r="Z99" s="159">
        <f t="shared" ca="1" si="62"/>
        <v>300483.72049945308</v>
      </c>
      <c r="AA99" s="159">
        <f t="shared" ca="1" si="62"/>
        <v>259315.57432059656</v>
      </c>
    </row>
    <row r="100" spans="2:27" ht="14.5" outlineLevel="1" x14ac:dyDescent="0.35">
      <c r="B100" s="160" t="s">
        <v>121</v>
      </c>
      <c r="C100" s="160"/>
      <c r="D100" s="160"/>
      <c r="E100" s="160"/>
      <c r="F100" s="159">
        <f t="shared" ref="F100:P100" si="63">IF(F99="","",IF($D$55="Equity Multiple",E101*$C89-E101,F99*Preferred_Return))</f>
        <v>0</v>
      </c>
      <c r="G100" s="159">
        <f t="shared" ca="1" si="63"/>
        <v>0</v>
      </c>
      <c r="H100" s="159">
        <f t="shared" ca="1" si="63"/>
        <v>0</v>
      </c>
      <c r="I100" s="159">
        <f t="shared" ca="1" si="63"/>
        <v>0</v>
      </c>
      <c r="J100" s="159">
        <f t="shared" ca="1" si="63"/>
        <v>0</v>
      </c>
      <c r="K100" s="159">
        <f t="shared" ca="1" si="63"/>
        <v>0</v>
      </c>
      <c r="L100" s="159">
        <f t="shared" ca="1" si="63"/>
        <v>0</v>
      </c>
      <c r="M100" s="159">
        <f t="shared" ca="1" si="63"/>
        <v>0</v>
      </c>
      <c r="N100" s="159">
        <f t="shared" ca="1" si="63"/>
        <v>0</v>
      </c>
      <c r="O100" s="159">
        <f t="shared" ca="1" si="63"/>
        <v>0</v>
      </c>
      <c r="P100" s="159">
        <f t="shared" ca="1" si="63"/>
        <v>0</v>
      </c>
      <c r="R100" s="160" t="s">
        <v>121</v>
      </c>
      <c r="S100" s="160"/>
      <c r="T100" s="160"/>
      <c r="U100" s="160"/>
      <c r="V100" s="159">
        <f t="shared" ref="V100:AA100" si="64">IF(V99="","",IF($T$55="Equity Multiple",U101*$S89-U101,V99*Preferred_Return))</f>
        <v>0</v>
      </c>
      <c r="W100" s="159">
        <f t="shared" ca="1" si="64"/>
        <v>0</v>
      </c>
      <c r="X100" s="159">
        <f t="shared" ca="1" si="64"/>
        <v>0</v>
      </c>
      <c r="Y100" s="159">
        <f t="shared" ca="1" si="64"/>
        <v>0</v>
      </c>
      <c r="Z100" s="159">
        <f t="shared" ca="1" si="64"/>
        <v>0</v>
      </c>
      <c r="AA100" s="159">
        <f t="shared" ca="1" si="64"/>
        <v>0</v>
      </c>
    </row>
    <row r="101" spans="2:27" ht="14.5" outlineLevel="1" x14ac:dyDescent="0.35">
      <c r="B101" s="160" t="s">
        <v>120</v>
      </c>
      <c r="C101" s="160"/>
      <c r="D101" s="160"/>
      <c r="E101" s="160"/>
      <c r="F101" s="159">
        <f t="shared" ref="F101:P101" ca="1" si="65">IF(F79="","",-MIN(0,F84*Equity_Share_GP))</f>
        <v>415453.84556194453</v>
      </c>
      <c r="G101" s="159">
        <f t="shared" ca="1" si="65"/>
        <v>0</v>
      </c>
      <c r="H101" s="159">
        <f t="shared" ca="1" si="65"/>
        <v>0</v>
      </c>
      <c r="I101" s="159">
        <f t="shared" ca="1" si="65"/>
        <v>0</v>
      </c>
      <c r="J101" s="159">
        <f t="shared" ca="1" si="65"/>
        <v>0</v>
      </c>
      <c r="K101" s="159">
        <f t="shared" ca="1" si="65"/>
        <v>0</v>
      </c>
      <c r="L101" s="159">
        <f t="shared" ca="1" si="65"/>
        <v>0</v>
      </c>
      <c r="M101" s="159">
        <f t="shared" ca="1" si="65"/>
        <v>0</v>
      </c>
      <c r="N101" s="159">
        <f t="shared" ca="1" si="65"/>
        <v>0</v>
      </c>
      <c r="O101" s="159">
        <f t="shared" ca="1" si="65"/>
        <v>0</v>
      </c>
      <c r="P101" s="159">
        <f t="shared" ca="1" si="65"/>
        <v>0</v>
      </c>
      <c r="R101" s="160" t="s">
        <v>120</v>
      </c>
      <c r="S101" s="160"/>
      <c r="T101" s="160"/>
      <c r="U101" s="160"/>
      <c r="V101" s="159">
        <f t="shared" ref="V101:AA101" ca="1" si="66">IF(V79="","",-MIN(0,V84*Equity_Share_GP))</f>
        <v>415453.84556194453</v>
      </c>
      <c r="W101" s="159">
        <f t="shared" ca="1" si="66"/>
        <v>0</v>
      </c>
      <c r="X101" s="159">
        <f t="shared" ca="1" si="66"/>
        <v>0</v>
      </c>
      <c r="Y101" s="159">
        <f t="shared" ca="1" si="66"/>
        <v>0</v>
      </c>
      <c r="Z101" s="159">
        <f t="shared" ca="1" si="66"/>
        <v>0</v>
      </c>
      <c r="AA101" s="159">
        <f t="shared" ca="1" si="66"/>
        <v>0</v>
      </c>
    </row>
    <row r="102" spans="2:27" ht="14.5" outlineLevel="1" x14ac:dyDescent="0.35">
      <c r="B102" s="160" t="s">
        <v>105</v>
      </c>
      <c r="C102" s="160"/>
      <c r="D102" s="160"/>
      <c r="E102" s="160"/>
      <c r="F102" s="159">
        <f t="shared" ref="F102:P102" ca="1" si="67">IF(F79="","",IF(CU?,MAX(MIN(F84-F97,F99+F100+F101),0),F94/$I$14*$H$14))</f>
        <v>0</v>
      </c>
      <c r="G102" s="173">
        <f t="shared" ca="1" si="67"/>
        <v>36928.969889161534</v>
      </c>
      <c r="H102" s="173">
        <f t="shared" ca="1" si="67"/>
        <v>38314.140549759817</v>
      </c>
      <c r="I102" s="173">
        <f t="shared" ca="1" si="67"/>
        <v>39727.014623570081</v>
      </c>
      <c r="J102" s="173">
        <f t="shared" ca="1" si="67"/>
        <v>41168.146178856528</v>
      </c>
      <c r="K102" s="173">
        <f t="shared" ca="1" si="67"/>
        <v>42638.10036524872</v>
      </c>
      <c r="L102" s="173">
        <f t="shared" ca="1" si="67"/>
        <v>44137.453635368758</v>
      </c>
      <c r="M102" s="173">
        <f t="shared" ca="1" si="67"/>
        <v>45666.793970891187</v>
      </c>
      <c r="N102" s="173">
        <f t="shared" ca="1" si="67"/>
        <v>47226.721113124069</v>
      </c>
      <c r="O102" s="173">
        <f t="shared" ca="1" si="67"/>
        <v>48817.846798201615</v>
      </c>
      <c r="P102" s="173">
        <f t="shared" ca="1" si="67"/>
        <v>30828.658437762253</v>
      </c>
      <c r="R102" s="160" t="s">
        <v>105</v>
      </c>
      <c r="S102" s="160"/>
      <c r="T102" s="160"/>
      <c r="U102" s="160"/>
      <c r="V102" s="159">
        <f t="shared" ref="V102:AA102" ca="1" si="68">IF(V79="","",IF(CU?,MAX(MIN(V84-V97,V99+V100+V101),0),V94/$Y$14*$X$14))</f>
        <v>0</v>
      </c>
      <c r="W102" s="173">
        <f t="shared" ca="1" si="68"/>
        <v>36928.969889161534</v>
      </c>
      <c r="X102" s="173">
        <f t="shared" ca="1" si="68"/>
        <v>38314.140549759817</v>
      </c>
      <c r="Y102" s="173">
        <f t="shared" ca="1" si="68"/>
        <v>39727.014623570081</v>
      </c>
      <c r="Z102" s="173">
        <f t="shared" ca="1" si="68"/>
        <v>41168.146178856528</v>
      </c>
      <c r="AA102" s="173">
        <f t="shared" ca="1" si="68"/>
        <v>259315.57432059661</v>
      </c>
    </row>
    <row r="103" spans="2:27" ht="14.5" outlineLevel="1" x14ac:dyDescent="0.35">
      <c r="B103" s="160" t="s">
        <v>119</v>
      </c>
      <c r="C103" s="160"/>
      <c r="D103" s="160"/>
      <c r="E103" s="160"/>
      <c r="F103" s="159">
        <f t="shared" ref="F103:P103" ca="1" si="69">IF(F79="","",F99+F100+F101-F102)</f>
        <v>415453.84556194453</v>
      </c>
      <c r="G103" s="173">
        <f t="shared" ca="1" si="69"/>
        <v>378524.875672783</v>
      </c>
      <c r="H103" s="173">
        <f t="shared" ca="1" si="69"/>
        <v>340210.73512302316</v>
      </c>
      <c r="I103" s="173">
        <f t="shared" ca="1" si="69"/>
        <v>300483.72049945308</v>
      </c>
      <c r="J103" s="173">
        <f t="shared" ca="1" si="69"/>
        <v>259315.57432059656</v>
      </c>
      <c r="K103" s="173">
        <f t="shared" ca="1" si="69"/>
        <v>216677.47395534784</v>
      </c>
      <c r="L103" s="173">
        <f t="shared" ca="1" si="69"/>
        <v>172540.02031997908</v>
      </c>
      <c r="M103" s="173">
        <f t="shared" ca="1" si="69"/>
        <v>126873.2263490879</v>
      </c>
      <c r="N103" s="173">
        <f t="shared" ca="1" si="69"/>
        <v>79646.505235963821</v>
      </c>
      <c r="O103" s="173">
        <f t="shared" ca="1" si="69"/>
        <v>30828.658437762206</v>
      </c>
      <c r="P103" s="173">
        <f t="shared" ca="1" si="69"/>
        <v>-4.7293724492192268E-11</v>
      </c>
      <c r="R103" s="160" t="s">
        <v>119</v>
      </c>
      <c r="S103" s="160"/>
      <c r="T103" s="160"/>
      <c r="U103" s="160"/>
      <c r="V103" s="159">
        <f t="shared" ref="V103:AA103" ca="1" si="70">IF(V79="","",V99+V100+V101-V102)</f>
        <v>415453.84556194453</v>
      </c>
      <c r="W103" s="173">
        <f t="shared" ca="1" si="70"/>
        <v>378524.875672783</v>
      </c>
      <c r="X103" s="173">
        <f t="shared" ca="1" si="70"/>
        <v>340210.73512302316</v>
      </c>
      <c r="Y103" s="173">
        <f t="shared" ca="1" si="70"/>
        <v>300483.72049945308</v>
      </c>
      <c r="Z103" s="173">
        <f t="shared" ca="1" si="70"/>
        <v>259315.57432059656</v>
      </c>
      <c r="AA103" s="173">
        <f t="shared" ca="1" si="70"/>
        <v>-5.8207660913467407E-11</v>
      </c>
    </row>
    <row r="104" spans="2:27" ht="14.5" outlineLevel="1" x14ac:dyDescent="0.35">
      <c r="B104" s="174" t="str">
        <f>IF(D55="Equity Multiple", "GP EMx Check","GP IRR Check")</f>
        <v>GP IRR Check</v>
      </c>
      <c r="C104" s="160"/>
      <c r="D104" s="160"/>
      <c r="E104" s="171">
        <f ca="1">IF($D$55="IRR",IFERROR(IRR(F104:Q104),"NA"),SUMIF(F104:Q104,"&gt;0")/-SUMIF(F104:Q104,"&lt;0"))</f>
        <v>0</v>
      </c>
      <c r="F104" s="159">
        <f t="shared" ref="F104:P104" ca="1" si="71">IF(F79="","",-F101+F102)</f>
        <v>-415453.84556194453</v>
      </c>
      <c r="G104" s="173">
        <f t="shared" ca="1" si="71"/>
        <v>36928.969889161534</v>
      </c>
      <c r="H104" s="173">
        <f t="shared" ca="1" si="71"/>
        <v>38314.140549759817</v>
      </c>
      <c r="I104" s="173">
        <f t="shared" ca="1" si="71"/>
        <v>39727.014623570081</v>
      </c>
      <c r="J104" s="173">
        <f t="shared" ca="1" si="71"/>
        <v>41168.146178856528</v>
      </c>
      <c r="K104" s="173">
        <f t="shared" ca="1" si="71"/>
        <v>42638.10036524872</v>
      </c>
      <c r="L104" s="173">
        <f t="shared" ca="1" si="71"/>
        <v>44137.453635368758</v>
      </c>
      <c r="M104" s="173">
        <f t="shared" ca="1" si="71"/>
        <v>45666.793970891187</v>
      </c>
      <c r="N104" s="173">
        <f t="shared" ca="1" si="71"/>
        <v>47226.721113124069</v>
      </c>
      <c r="O104" s="173">
        <f t="shared" ca="1" si="71"/>
        <v>48817.846798201615</v>
      </c>
      <c r="P104" s="173">
        <f t="shared" ca="1" si="71"/>
        <v>30828.658437762253</v>
      </c>
      <c r="R104" s="174" t="str">
        <f>IF(T55="Equity Multiple", "GP EMx Check","GP IRR Check")</f>
        <v>GP IRR Check</v>
      </c>
      <c r="S104" s="160"/>
      <c r="T104" s="160"/>
      <c r="U104" s="171">
        <f ca="1">IF($T$55="IRR",IFERROR(IRR(V104:AA104),"NA"),SUMIF(V104:AA104,"&gt;0")/-SUMIF(V104:AA104,"&lt;0"))</f>
        <v>0</v>
      </c>
      <c r="V104" s="159">
        <f t="shared" ref="V104:AA104" ca="1" si="72">IF(V79="","",-V101+V102)</f>
        <v>-415453.84556194453</v>
      </c>
      <c r="W104" s="173">
        <f t="shared" ca="1" si="72"/>
        <v>36928.969889161534</v>
      </c>
      <c r="X104" s="173">
        <f t="shared" ca="1" si="72"/>
        <v>38314.140549759817</v>
      </c>
      <c r="Y104" s="173">
        <f t="shared" ca="1" si="72"/>
        <v>39727.014623570081</v>
      </c>
      <c r="Z104" s="173">
        <f t="shared" ca="1" si="72"/>
        <v>41168.146178856528</v>
      </c>
      <c r="AA104" s="173">
        <f t="shared" ca="1" si="72"/>
        <v>259315.57432059661</v>
      </c>
    </row>
    <row r="105" spans="2:27" ht="14.5" outlineLevel="1" x14ac:dyDescent="0.35">
      <c r="B105" s="160"/>
      <c r="C105" s="160"/>
      <c r="D105" s="160"/>
      <c r="E105" s="160"/>
      <c r="F105" s="159"/>
      <c r="G105" s="173"/>
      <c r="H105" s="173"/>
      <c r="I105" s="173"/>
      <c r="J105" s="173"/>
      <c r="K105" s="173"/>
      <c r="L105" s="173"/>
      <c r="M105" s="173"/>
      <c r="N105" s="173"/>
      <c r="O105" s="173"/>
      <c r="P105" s="173"/>
      <c r="R105" s="160"/>
      <c r="S105" s="160"/>
      <c r="T105" s="160"/>
      <c r="U105" s="160"/>
      <c r="V105" s="159"/>
      <c r="W105" s="173"/>
      <c r="X105" s="173"/>
      <c r="Y105" s="173"/>
      <c r="Z105" s="173"/>
      <c r="AA105" s="173"/>
    </row>
    <row r="106" spans="2:27" ht="14.5" outlineLevel="1" x14ac:dyDescent="0.35">
      <c r="B106" s="160" t="str">
        <f>"Total Distributions ("&amp;B88&amp;")"</f>
        <v>Total Distributions (Tier 1 - Preferred Return + Return of Capital)</v>
      </c>
      <c r="C106" s="160"/>
      <c r="D106" s="160"/>
      <c r="E106" s="160"/>
      <c r="F106" s="159">
        <f t="shared" ref="F106:P106" ca="1" si="73">IF(F90="","",F102+F97)</f>
        <v>0</v>
      </c>
      <c r="G106" s="159">
        <f t="shared" ca="1" si="73"/>
        <v>369289.69889161532</v>
      </c>
      <c r="H106" s="159">
        <f t="shared" ca="1" si="73"/>
        <v>383141.40549759823</v>
      </c>
      <c r="I106" s="159">
        <f t="shared" ca="1" si="73"/>
        <v>397270.14623570075</v>
      </c>
      <c r="J106" s="159">
        <f t="shared" ca="1" si="73"/>
        <v>411681.46178856533</v>
      </c>
      <c r="K106" s="159">
        <f t="shared" ca="1" si="73"/>
        <v>426381.00365248724</v>
      </c>
      <c r="L106" s="159">
        <f t="shared" ca="1" si="73"/>
        <v>441374.53635368764</v>
      </c>
      <c r="M106" s="159">
        <f t="shared" ca="1" si="73"/>
        <v>456667.93970891193</v>
      </c>
      <c r="N106" s="159">
        <f t="shared" ca="1" si="73"/>
        <v>472267.21113124065</v>
      </c>
      <c r="O106" s="159">
        <f t="shared" ca="1" si="73"/>
        <v>488178.4679820161</v>
      </c>
      <c r="P106" s="159">
        <f t="shared" ca="1" si="73"/>
        <v>308286.58437762252</v>
      </c>
      <c r="R106" s="160" t="str">
        <f>"Total Distributions ("&amp;R88&amp;")"</f>
        <v>Total Distributions (Tier 1 - Preferred Return + Return of Capital)</v>
      </c>
      <c r="S106" s="160"/>
      <c r="T106" s="160"/>
      <c r="U106" s="160"/>
      <c r="V106" s="159">
        <f t="shared" ref="V106:AA106" ca="1" si="74">IF(V90="","",V102+V97)</f>
        <v>0</v>
      </c>
      <c r="W106" s="159">
        <f t="shared" ca="1" si="74"/>
        <v>369289.69889161532</v>
      </c>
      <c r="X106" s="159">
        <f t="shared" ca="1" si="74"/>
        <v>383141.40549759823</v>
      </c>
      <c r="Y106" s="159">
        <f t="shared" ca="1" si="74"/>
        <v>397270.14623570075</v>
      </c>
      <c r="Z106" s="159">
        <f t="shared" ca="1" si="74"/>
        <v>411681.46178856533</v>
      </c>
      <c r="AA106" s="159">
        <f t="shared" ca="1" si="74"/>
        <v>2593155.743205966</v>
      </c>
    </row>
    <row r="107" spans="2:27" ht="14.5" outlineLevel="1" x14ac:dyDescent="0.35">
      <c r="B107" s="160" t="s">
        <v>104</v>
      </c>
      <c r="C107" s="160"/>
      <c r="D107" s="160"/>
      <c r="E107" s="160"/>
      <c r="F107" s="159">
        <f t="shared" ref="F107:P107" ca="1" si="75">IF(F90="","",MAX(F84-F106,0))</f>
        <v>0</v>
      </c>
      <c r="G107" s="159">
        <f t="shared" ca="1" si="75"/>
        <v>0</v>
      </c>
      <c r="H107" s="159">
        <f t="shared" ca="1" si="75"/>
        <v>0</v>
      </c>
      <c r="I107" s="159">
        <f t="shared" ca="1" si="75"/>
        <v>0</v>
      </c>
      <c r="J107" s="159">
        <f t="shared" ca="1" si="75"/>
        <v>0</v>
      </c>
      <c r="K107" s="159">
        <f t="shared" ca="1" si="75"/>
        <v>0</v>
      </c>
      <c r="L107" s="159">
        <f t="shared" ca="1" si="75"/>
        <v>0</v>
      </c>
      <c r="M107" s="159">
        <f t="shared" ca="1" si="75"/>
        <v>0</v>
      </c>
      <c r="N107" s="159">
        <f t="shared" ca="1" si="75"/>
        <v>0</v>
      </c>
      <c r="O107" s="159">
        <f t="shared" ca="1" si="75"/>
        <v>0</v>
      </c>
      <c r="P107" s="159">
        <f t="shared" ca="1" si="75"/>
        <v>5359617.6742445659</v>
      </c>
      <c r="R107" s="160" t="s">
        <v>104</v>
      </c>
      <c r="S107" s="160"/>
      <c r="T107" s="160"/>
      <c r="U107" s="160"/>
      <c r="V107" s="159">
        <f t="shared" ref="V107:AA107" ca="1" si="76">IF(V90="","",MAX(V84-V106,0))</f>
        <v>0</v>
      </c>
      <c r="W107" s="159">
        <f t="shared" ca="1" si="76"/>
        <v>0</v>
      </c>
      <c r="X107" s="159">
        <f t="shared" ca="1" si="76"/>
        <v>0</v>
      </c>
      <c r="Y107" s="159">
        <f t="shared" ca="1" si="76"/>
        <v>0</v>
      </c>
      <c r="Z107" s="159">
        <f t="shared" ca="1" si="76"/>
        <v>0</v>
      </c>
      <c r="AA107" s="159">
        <f t="shared" ca="1" si="76"/>
        <v>2268662.6361319828</v>
      </c>
    </row>
    <row r="108" spans="2:27" ht="14.5" outlineLevel="1" x14ac:dyDescent="0.35">
      <c r="B108" s="160"/>
      <c r="C108" s="160"/>
      <c r="D108" s="160"/>
      <c r="E108" s="160"/>
      <c r="F108" s="162"/>
      <c r="G108" s="162"/>
      <c r="H108" s="162"/>
      <c r="I108" s="162"/>
      <c r="J108" s="162"/>
      <c r="K108" s="162"/>
      <c r="L108" s="162"/>
      <c r="M108" s="162"/>
      <c r="N108" s="162"/>
      <c r="O108" s="162"/>
      <c r="P108" s="162"/>
      <c r="R108" s="160"/>
      <c r="S108" s="160"/>
      <c r="T108" s="160"/>
      <c r="U108" s="160"/>
      <c r="V108" s="162"/>
      <c r="W108" s="162"/>
      <c r="X108" s="162"/>
      <c r="Y108" s="162"/>
      <c r="Z108" s="162"/>
      <c r="AA108" s="162"/>
    </row>
    <row r="109" spans="2:27" ht="15.5" outlineLevel="1" x14ac:dyDescent="0.35">
      <c r="B109" s="168" t="s">
        <v>118</v>
      </c>
      <c r="C109" s="167"/>
      <c r="D109" s="167"/>
      <c r="E109" s="167"/>
      <c r="F109" s="166" t="s">
        <v>30</v>
      </c>
      <c r="G109" s="165">
        <f t="shared" ref="G109:P109" ca="1" si="77">G$19</f>
        <v>1</v>
      </c>
      <c r="H109" s="165">
        <f t="shared" ca="1" si="77"/>
        <v>2</v>
      </c>
      <c r="I109" s="165">
        <f t="shared" ca="1" si="77"/>
        <v>3</v>
      </c>
      <c r="J109" s="165">
        <f t="shared" ca="1" si="77"/>
        <v>4</v>
      </c>
      <c r="K109" s="165">
        <f t="shared" ca="1" si="77"/>
        <v>5</v>
      </c>
      <c r="L109" s="165">
        <f t="shared" ca="1" si="77"/>
        <v>6</v>
      </c>
      <c r="M109" s="165">
        <f t="shared" ca="1" si="77"/>
        <v>7</v>
      </c>
      <c r="N109" s="165">
        <f t="shared" ca="1" si="77"/>
        <v>8</v>
      </c>
      <c r="O109" s="165">
        <f t="shared" ca="1" si="77"/>
        <v>9</v>
      </c>
      <c r="P109" s="165">
        <f t="shared" ca="1" si="77"/>
        <v>10</v>
      </c>
      <c r="R109" s="168" t="s">
        <v>118</v>
      </c>
      <c r="S109" s="167"/>
      <c r="T109" s="167"/>
      <c r="U109" s="167"/>
      <c r="V109" s="166" t="s">
        <v>30</v>
      </c>
      <c r="W109" s="165">
        <f ca="1">W$19</f>
        <v>1</v>
      </c>
      <c r="X109" s="165">
        <f ca="1">X$19</f>
        <v>2</v>
      </c>
      <c r="Y109" s="165">
        <f ca="1">Y$19</f>
        <v>3</v>
      </c>
      <c r="Z109" s="165">
        <f ca="1">Z$19</f>
        <v>4</v>
      </c>
      <c r="AA109" s="165">
        <f ca="1">AA$19</f>
        <v>5</v>
      </c>
    </row>
    <row r="110" spans="2:27" ht="14.5" outlineLevel="1" x14ac:dyDescent="0.35">
      <c r="B110" s="164" t="s">
        <v>115</v>
      </c>
      <c r="C110" s="163">
        <f>E59</f>
        <v>0</v>
      </c>
      <c r="D110" s="160"/>
      <c r="E110" s="160"/>
      <c r="F110" s="162"/>
      <c r="G110" s="161"/>
      <c r="H110" s="161"/>
      <c r="I110" s="161"/>
      <c r="J110" s="161"/>
      <c r="K110" s="161"/>
      <c r="L110" s="161"/>
      <c r="M110" s="161"/>
      <c r="N110" s="161"/>
      <c r="O110" s="161"/>
      <c r="P110" s="161"/>
      <c r="R110" s="164" t="s">
        <v>115</v>
      </c>
      <c r="S110" s="163">
        <f>U59</f>
        <v>0</v>
      </c>
      <c r="T110" s="160"/>
      <c r="U110" s="160"/>
      <c r="V110" s="162"/>
      <c r="W110" s="161"/>
      <c r="X110" s="161"/>
      <c r="Y110" s="161"/>
      <c r="Z110" s="161"/>
      <c r="AA110" s="161"/>
    </row>
    <row r="111" spans="2:27" ht="14.5" outlineLevel="1" x14ac:dyDescent="0.35">
      <c r="B111" s="160" t="s">
        <v>114</v>
      </c>
      <c r="C111" s="160"/>
      <c r="D111" s="160"/>
      <c r="E111" s="160"/>
      <c r="F111" s="159">
        <f t="shared" ref="F111:P111" si="78">IF(F79="","",E116)</f>
        <v>0</v>
      </c>
      <c r="G111" s="159">
        <f t="shared" ca="1" si="78"/>
        <v>3739084.6100575007</v>
      </c>
      <c r="H111" s="159">
        <f t="shared" ca="1" si="78"/>
        <v>3406723.8810550468</v>
      </c>
      <c r="I111" s="159">
        <f t="shared" ca="1" si="78"/>
        <v>3061896.6161072087</v>
      </c>
      <c r="J111" s="159">
        <f t="shared" ca="1" si="78"/>
        <v>2704353.4844950782</v>
      </c>
      <c r="K111" s="159">
        <f t="shared" ca="1" si="78"/>
        <v>2333840.1688853693</v>
      </c>
      <c r="L111" s="159">
        <f t="shared" ca="1" si="78"/>
        <v>1950097.2655981309</v>
      </c>
      <c r="M111" s="159">
        <f t="shared" ca="1" si="78"/>
        <v>1552860.1828798121</v>
      </c>
      <c r="N111" s="159">
        <f t="shared" ca="1" si="78"/>
        <v>1141859.0371417913</v>
      </c>
      <c r="O111" s="159">
        <f t="shared" ca="1" si="78"/>
        <v>716818.54712367477</v>
      </c>
      <c r="P111" s="159">
        <f t="shared" ca="1" si="78"/>
        <v>277457.92593986029</v>
      </c>
      <c r="R111" s="160" t="s">
        <v>114</v>
      </c>
      <c r="S111" s="160"/>
      <c r="T111" s="160"/>
      <c r="U111" s="160"/>
      <c r="V111" s="159">
        <f t="shared" ref="V111:AA111" si="79">IF(V79="","",U116)</f>
        <v>0</v>
      </c>
      <c r="W111" s="159">
        <f t="shared" ca="1" si="79"/>
        <v>3739084.6100575007</v>
      </c>
      <c r="X111" s="159">
        <f t="shared" ca="1" si="79"/>
        <v>3406723.8810550468</v>
      </c>
      <c r="Y111" s="159">
        <f t="shared" ca="1" si="79"/>
        <v>3061896.6161072087</v>
      </c>
      <c r="Z111" s="159">
        <f t="shared" ca="1" si="79"/>
        <v>2704353.4844950782</v>
      </c>
      <c r="AA111" s="159">
        <f t="shared" ca="1" si="79"/>
        <v>2333840.1688853693</v>
      </c>
    </row>
    <row r="112" spans="2:27" ht="14.5" outlineLevel="1" x14ac:dyDescent="0.35">
      <c r="B112" s="160" t="s">
        <v>117</v>
      </c>
      <c r="C112" s="160"/>
      <c r="D112" s="160"/>
      <c r="E112" s="160"/>
      <c r="F112" s="159">
        <f t="shared" ref="F112:P112" si="80">IF(F111="","",IF($D$55="Equity Multiple",E113*$C110-E113,F111*$C110))</f>
        <v>0</v>
      </c>
      <c r="G112" s="159">
        <f t="shared" ca="1" si="80"/>
        <v>0</v>
      </c>
      <c r="H112" s="159">
        <f t="shared" ca="1" si="80"/>
        <v>0</v>
      </c>
      <c r="I112" s="159">
        <f t="shared" ca="1" si="80"/>
        <v>0</v>
      </c>
      <c r="J112" s="159">
        <f t="shared" ca="1" si="80"/>
        <v>0</v>
      </c>
      <c r="K112" s="159">
        <f t="shared" ca="1" si="80"/>
        <v>0</v>
      </c>
      <c r="L112" s="159">
        <f t="shared" ca="1" si="80"/>
        <v>0</v>
      </c>
      <c r="M112" s="159">
        <f t="shared" ca="1" si="80"/>
        <v>0</v>
      </c>
      <c r="N112" s="159">
        <f t="shared" ca="1" si="80"/>
        <v>0</v>
      </c>
      <c r="O112" s="159">
        <f t="shared" ca="1" si="80"/>
        <v>0</v>
      </c>
      <c r="P112" s="159">
        <f t="shared" ca="1" si="80"/>
        <v>0</v>
      </c>
      <c r="R112" s="160" t="s">
        <v>117</v>
      </c>
      <c r="S112" s="160"/>
      <c r="T112" s="160"/>
      <c r="U112" s="160"/>
      <c r="V112" s="159">
        <f t="shared" ref="V112:AA112" si="81">IF(V111="","",IF($T$55="Equity Multiple",U113*$S110-U113,V111*$S110))</f>
        <v>0</v>
      </c>
      <c r="W112" s="159">
        <f t="shared" ca="1" si="81"/>
        <v>0</v>
      </c>
      <c r="X112" s="159">
        <f t="shared" ca="1" si="81"/>
        <v>0</v>
      </c>
      <c r="Y112" s="159">
        <f t="shared" ca="1" si="81"/>
        <v>0</v>
      </c>
      <c r="Z112" s="159">
        <f t="shared" ca="1" si="81"/>
        <v>0</v>
      </c>
      <c r="AA112" s="159">
        <f t="shared" ca="1" si="81"/>
        <v>0</v>
      </c>
    </row>
    <row r="113" spans="2:27" ht="14.5" outlineLevel="1" x14ac:dyDescent="0.35">
      <c r="B113" s="160" t="s">
        <v>112</v>
      </c>
      <c r="C113" s="160"/>
      <c r="D113" s="160"/>
      <c r="E113" s="160"/>
      <c r="F113" s="159">
        <f t="shared" ref="F113:P113" ca="1" si="82">IF(F111="","",-MIN(0,F$49*Equity_Share_LP))</f>
        <v>3739084.6100575007</v>
      </c>
      <c r="G113" s="159">
        <f t="shared" ca="1" si="82"/>
        <v>0</v>
      </c>
      <c r="H113" s="159">
        <f t="shared" ca="1" si="82"/>
        <v>0</v>
      </c>
      <c r="I113" s="159">
        <f t="shared" ca="1" si="82"/>
        <v>0</v>
      </c>
      <c r="J113" s="159">
        <f t="shared" ca="1" si="82"/>
        <v>0</v>
      </c>
      <c r="K113" s="159">
        <f t="shared" ca="1" si="82"/>
        <v>0</v>
      </c>
      <c r="L113" s="159">
        <f t="shared" ca="1" si="82"/>
        <v>0</v>
      </c>
      <c r="M113" s="159">
        <f t="shared" ca="1" si="82"/>
        <v>0</v>
      </c>
      <c r="N113" s="159">
        <f t="shared" ca="1" si="82"/>
        <v>0</v>
      </c>
      <c r="O113" s="159">
        <f t="shared" ca="1" si="82"/>
        <v>0</v>
      </c>
      <c r="P113" s="159">
        <f t="shared" ca="1" si="82"/>
        <v>0</v>
      </c>
      <c r="R113" s="160" t="s">
        <v>112</v>
      </c>
      <c r="S113" s="160"/>
      <c r="T113" s="160"/>
      <c r="U113" s="160"/>
      <c r="V113" s="159">
        <f t="shared" ref="V113:AA113" ca="1" si="83">IF(V111="","",-MIN(0,V$49*Equity_Share_LP))</f>
        <v>3739084.6100575007</v>
      </c>
      <c r="W113" s="159">
        <f t="shared" ca="1" si="83"/>
        <v>0</v>
      </c>
      <c r="X113" s="159">
        <f t="shared" ca="1" si="83"/>
        <v>0</v>
      </c>
      <c r="Y113" s="159">
        <f t="shared" ca="1" si="83"/>
        <v>0</v>
      </c>
      <c r="Z113" s="159">
        <f t="shared" ca="1" si="83"/>
        <v>0</v>
      </c>
      <c r="AA113" s="159">
        <f t="shared" ca="1" si="83"/>
        <v>0</v>
      </c>
    </row>
    <row r="114" spans="2:27" ht="14.5" outlineLevel="1" x14ac:dyDescent="0.35">
      <c r="B114" s="160" t="s">
        <v>111</v>
      </c>
      <c r="C114" s="160"/>
      <c r="D114" s="160"/>
      <c r="E114" s="160"/>
      <c r="F114" s="159">
        <f t="shared" ref="F114:P114" ca="1" si="84">F97</f>
        <v>0</v>
      </c>
      <c r="G114" s="159">
        <f t="shared" ca="1" si="84"/>
        <v>332360.72900245379</v>
      </c>
      <c r="H114" s="159">
        <f t="shared" ca="1" si="84"/>
        <v>344827.26494783838</v>
      </c>
      <c r="I114" s="159">
        <f t="shared" ca="1" si="84"/>
        <v>357543.13161213067</v>
      </c>
      <c r="J114" s="159">
        <f t="shared" ca="1" si="84"/>
        <v>370513.31560970878</v>
      </c>
      <c r="K114" s="159">
        <f t="shared" ca="1" si="84"/>
        <v>383742.9032872385</v>
      </c>
      <c r="L114" s="159">
        <f t="shared" ca="1" si="84"/>
        <v>397237.08271831885</v>
      </c>
      <c r="M114" s="159">
        <f t="shared" ca="1" si="84"/>
        <v>411001.14573802071</v>
      </c>
      <c r="N114" s="159">
        <f t="shared" ca="1" si="84"/>
        <v>425040.4900181166</v>
      </c>
      <c r="O114" s="159">
        <f t="shared" ca="1" si="84"/>
        <v>439360.62118381448</v>
      </c>
      <c r="P114" s="159">
        <f t="shared" ca="1" si="84"/>
        <v>277457.92593986029</v>
      </c>
      <c r="R114" s="160" t="s">
        <v>111</v>
      </c>
      <c r="S114" s="160"/>
      <c r="T114" s="160"/>
      <c r="U114" s="160"/>
      <c r="V114" s="159">
        <f t="shared" ref="V114:AA114" ca="1" si="85">V97</f>
        <v>0</v>
      </c>
      <c r="W114" s="159">
        <f t="shared" ca="1" si="85"/>
        <v>332360.72900245379</v>
      </c>
      <c r="X114" s="159">
        <f t="shared" ca="1" si="85"/>
        <v>344827.26494783838</v>
      </c>
      <c r="Y114" s="159">
        <f t="shared" ca="1" si="85"/>
        <v>357543.13161213067</v>
      </c>
      <c r="Z114" s="159">
        <f t="shared" ca="1" si="85"/>
        <v>370513.31560970878</v>
      </c>
      <c r="AA114" s="159">
        <f t="shared" ca="1" si="85"/>
        <v>2333840.1688853693</v>
      </c>
    </row>
    <row r="115" spans="2:27" ht="14.5" outlineLevel="1" x14ac:dyDescent="0.35">
      <c r="B115" s="160" t="str">
        <f>"Distributions to LP "&amp;B109</f>
        <v>Distributions to LP Tier 2</v>
      </c>
      <c r="C115" s="160"/>
      <c r="D115" s="160"/>
      <c r="E115" s="160"/>
      <c r="F115" s="159">
        <f t="shared" ref="F115:P115" ca="1" si="86">IF(F111="","",MIN(F111+F112-F114,F107*$I$15))</f>
        <v>0</v>
      </c>
      <c r="G115" s="159">
        <f t="shared" ca="1" si="86"/>
        <v>0</v>
      </c>
      <c r="H115" s="159">
        <f t="shared" ca="1" si="86"/>
        <v>0</v>
      </c>
      <c r="I115" s="159">
        <f t="shared" ca="1" si="86"/>
        <v>0</v>
      </c>
      <c r="J115" s="159">
        <f t="shared" ca="1" si="86"/>
        <v>0</v>
      </c>
      <c r="K115" s="159">
        <f t="shared" ca="1" si="86"/>
        <v>0</v>
      </c>
      <c r="L115" s="159">
        <f t="shared" ca="1" si="86"/>
        <v>0</v>
      </c>
      <c r="M115" s="159">
        <f t="shared" ca="1" si="86"/>
        <v>0</v>
      </c>
      <c r="N115" s="159">
        <f t="shared" ca="1" si="86"/>
        <v>0</v>
      </c>
      <c r="O115" s="159">
        <f t="shared" ca="1" si="86"/>
        <v>0</v>
      </c>
      <c r="P115" s="159">
        <f t="shared" ca="1" si="86"/>
        <v>0</v>
      </c>
      <c r="R115" s="160" t="str">
        <f>"Distributions to LP "&amp;R109</f>
        <v>Distributions to LP Tier 2</v>
      </c>
      <c r="S115" s="160"/>
      <c r="T115" s="160"/>
      <c r="U115" s="160"/>
      <c r="V115" s="159">
        <f t="shared" ref="V115:AA115" ca="1" si="87">IF(V111="","",MIN(V111+V112-V114,V107*$Y$15))</f>
        <v>0</v>
      </c>
      <c r="W115" s="159">
        <f t="shared" ca="1" si="87"/>
        <v>0</v>
      </c>
      <c r="X115" s="159">
        <f t="shared" ca="1" si="87"/>
        <v>0</v>
      </c>
      <c r="Y115" s="159">
        <f t="shared" ca="1" si="87"/>
        <v>0</v>
      </c>
      <c r="Z115" s="159">
        <f t="shared" ca="1" si="87"/>
        <v>0</v>
      </c>
      <c r="AA115" s="159">
        <f t="shared" ca="1" si="87"/>
        <v>0</v>
      </c>
    </row>
    <row r="116" spans="2:27" ht="14.5" outlineLevel="1" x14ac:dyDescent="0.35">
      <c r="B116" s="160" t="s">
        <v>110</v>
      </c>
      <c r="C116" s="160"/>
      <c r="D116" s="160"/>
      <c r="E116" s="160"/>
      <c r="F116" s="159">
        <f ca="1">F111+F113-F115</f>
        <v>3739084.6100575007</v>
      </c>
      <c r="G116" s="159">
        <f t="shared" ref="G116:P116" ca="1" si="88">IF(G111="","",G111+G112+G113-G114-G115)</f>
        <v>3406723.8810550468</v>
      </c>
      <c r="H116" s="159">
        <f t="shared" ca="1" si="88"/>
        <v>3061896.6161072087</v>
      </c>
      <c r="I116" s="159">
        <f t="shared" ca="1" si="88"/>
        <v>2704353.4844950782</v>
      </c>
      <c r="J116" s="159">
        <f t="shared" ca="1" si="88"/>
        <v>2333840.1688853693</v>
      </c>
      <c r="K116" s="159">
        <f t="shared" ca="1" si="88"/>
        <v>1950097.2655981309</v>
      </c>
      <c r="L116" s="159">
        <f t="shared" ca="1" si="88"/>
        <v>1552860.1828798121</v>
      </c>
      <c r="M116" s="159">
        <f t="shared" ca="1" si="88"/>
        <v>1141859.0371417913</v>
      </c>
      <c r="N116" s="159">
        <f t="shared" ca="1" si="88"/>
        <v>716818.54712367477</v>
      </c>
      <c r="O116" s="159">
        <f t="shared" ca="1" si="88"/>
        <v>277457.92593986029</v>
      </c>
      <c r="P116" s="159">
        <f t="shared" ca="1" si="88"/>
        <v>0</v>
      </c>
      <c r="R116" s="160" t="s">
        <v>110</v>
      </c>
      <c r="S116" s="160"/>
      <c r="T116" s="160"/>
      <c r="U116" s="160"/>
      <c r="V116" s="159">
        <f ca="1">V111+V113-V115</f>
        <v>3739084.6100575007</v>
      </c>
      <c r="W116" s="159">
        <f ca="1">IF(W111="","",W111+W112+W113-W114-W115)</f>
        <v>3406723.8810550468</v>
      </c>
      <c r="X116" s="159">
        <f ca="1">IF(X111="","",X111+X112+X113-X114-X115)</f>
        <v>3061896.6161072087</v>
      </c>
      <c r="Y116" s="159">
        <f ca="1">IF(Y111="","",Y111+Y112+Y113-Y114-Y115)</f>
        <v>2704353.4844950782</v>
      </c>
      <c r="Z116" s="159">
        <f ca="1">IF(Z111="","",Z111+Z112+Z113-Z114-Z115)</f>
        <v>2333840.1688853693</v>
      </c>
      <c r="AA116" s="159">
        <f ca="1">IF(AA111="","",AA111+AA112+AA113-AA114-AA115)</f>
        <v>0</v>
      </c>
    </row>
    <row r="117" spans="2:27" ht="14.5" outlineLevel="1" x14ac:dyDescent="0.35">
      <c r="B117" s="172">
        <f>C110</f>
        <v>0</v>
      </c>
      <c r="C117" s="160"/>
      <c r="D117" s="160"/>
      <c r="E117" s="171">
        <f ca="1">IF($D$55="IRR",IRR(F117:Q117),SUMIF(F117:Q117,"&gt;0")/-SUMIF(F117:Q117,"&lt;0"))</f>
        <v>0</v>
      </c>
      <c r="F117" s="159">
        <f ca="1">IF(F111="","",-F113+F115)</f>
        <v>-3739084.6100575007</v>
      </c>
      <c r="G117" s="159">
        <f t="shared" ref="G117:P117" ca="1" si="89">IF(G111="","",-G113+G114+G115)</f>
        <v>332360.72900245379</v>
      </c>
      <c r="H117" s="159">
        <f t="shared" ca="1" si="89"/>
        <v>344827.26494783838</v>
      </c>
      <c r="I117" s="159">
        <f t="shared" ca="1" si="89"/>
        <v>357543.13161213067</v>
      </c>
      <c r="J117" s="159">
        <f t="shared" ca="1" si="89"/>
        <v>370513.31560970878</v>
      </c>
      <c r="K117" s="159">
        <f t="shared" ca="1" si="89"/>
        <v>383742.9032872385</v>
      </c>
      <c r="L117" s="159">
        <f t="shared" ca="1" si="89"/>
        <v>397237.08271831885</v>
      </c>
      <c r="M117" s="159">
        <f t="shared" ca="1" si="89"/>
        <v>411001.14573802071</v>
      </c>
      <c r="N117" s="159">
        <f t="shared" ca="1" si="89"/>
        <v>425040.4900181166</v>
      </c>
      <c r="O117" s="159">
        <f t="shared" ca="1" si="89"/>
        <v>439360.62118381448</v>
      </c>
      <c r="P117" s="159">
        <f t="shared" ca="1" si="89"/>
        <v>277457.92593986029</v>
      </c>
      <c r="R117" s="172">
        <f>S110</f>
        <v>0</v>
      </c>
      <c r="S117" s="160"/>
      <c r="T117" s="160"/>
      <c r="U117" s="171">
        <f ca="1">IF($T$55="IRR",IRR(V117:AA117),SUMIF(V117:AA117,"&gt;0")/-SUMIF(V117:AA117,"&lt;0"))</f>
        <v>0</v>
      </c>
      <c r="V117" s="159">
        <f ca="1">IF(V111="","",-V113+V115)</f>
        <v>-3739084.6100575007</v>
      </c>
      <c r="W117" s="159">
        <f ca="1">IF(W111="","",-W113+W114+W115)</f>
        <v>332360.72900245379</v>
      </c>
      <c r="X117" s="159">
        <f ca="1">IF(X111="","",-X113+X114+X115)</f>
        <v>344827.26494783838</v>
      </c>
      <c r="Y117" s="159">
        <f ca="1">IF(Y111="","",-Y113+Y114+Y115)</f>
        <v>357543.13161213067</v>
      </c>
      <c r="Z117" s="159">
        <f ca="1">IF(Z111="","",-Z113+Z114+Z115)</f>
        <v>370513.31560970878</v>
      </c>
      <c r="AA117" s="159">
        <f ca="1">IF(AA111="","",-AA113+AA114+AA115)</f>
        <v>2333840.1688853693</v>
      </c>
    </row>
    <row r="118" spans="2:27" ht="14.5" outlineLevel="1" x14ac:dyDescent="0.35">
      <c r="B118" s="170" t="s">
        <v>109</v>
      </c>
      <c r="C118" s="170" t="s">
        <v>109</v>
      </c>
      <c r="D118" s="170" t="s">
        <v>109</v>
      </c>
      <c r="E118" s="170" t="s">
        <v>109</v>
      </c>
      <c r="F118" s="169" t="str">
        <f t="shared" ref="F118:P118" si="90">IF(F111="","",".")</f>
        <v>.</v>
      </c>
      <c r="G118" s="169" t="str">
        <f t="shared" ca="1" si="90"/>
        <v>.</v>
      </c>
      <c r="H118" s="169" t="str">
        <f t="shared" ca="1" si="90"/>
        <v>.</v>
      </c>
      <c r="I118" s="169" t="str">
        <f t="shared" ca="1" si="90"/>
        <v>.</v>
      </c>
      <c r="J118" s="169" t="str">
        <f t="shared" ca="1" si="90"/>
        <v>.</v>
      </c>
      <c r="K118" s="169" t="str">
        <f t="shared" ca="1" si="90"/>
        <v>.</v>
      </c>
      <c r="L118" s="169" t="str">
        <f t="shared" ca="1" si="90"/>
        <v>.</v>
      </c>
      <c r="M118" s="169" t="str">
        <f t="shared" ca="1" si="90"/>
        <v>.</v>
      </c>
      <c r="N118" s="169" t="str">
        <f t="shared" ca="1" si="90"/>
        <v>.</v>
      </c>
      <c r="O118" s="169" t="str">
        <f t="shared" ca="1" si="90"/>
        <v>.</v>
      </c>
      <c r="P118" s="169" t="str">
        <f t="shared" ca="1" si="90"/>
        <v>.</v>
      </c>
      <c r="R118" s="170" t="s">
        <v>109</v>
      </c>
      <c r="S118" s="170" t="s">
        <v>109</v>
      </c>
      <c r="T118" s="170" t="s">
        <v>109</v>
      </c>
      <c r="U118" s="170" t="s">
        <v>109</v>
      </c>
      <c r="V118" s="169" t="str">
        <f t="shared" ref="V118:AA118" si="91">IF(V111="","",".")</f>
        <v>.</v>
      </c>
      <c r="W118" s="169" t="str">
        <f t="shared" ca="1" si="91"/>
        <v>.</v>
      </c>
      <c r="X118" s="169" t="str">
        <f t="shared" ca="1" si="91"/>
        <v>.</v>
      </c>
      <c r="Y118" s="169" t="str">
        <f t="shared" ca="1" si="91"/>
        <v>.</v>
      </c>
      <c r="Z118" s="169" t="str">
        <f t="shared" ca="1" si="91"/>
        <v>.</v>
      </c>
      <c r="AA118" s="169" t="str">
        <f t="shared" ca="1" si="91"/>
        <v>.</v>
      </c>
    </row>
    <row r="119" spans="2:27" ht="14.5" outlineLevel="1" x14ac:dyDescent="0.35">
      <c r="B119" s="160" t="s">
        <v>106</v>
      </c>
      <c r="C119" s="160"/>
      <c r="D119" s="160"/>
      <c r="E119" s="160"/>
      <c r="F119" s="159">
        <f t="shared" ref="F119:P119" ca="1" si="92">IF(F111="","",F115)</f>
        <v>0</v>
      </c>
      <c r="G119" s="159">
        <f t="shared" ca="1" si="92"/>
        <v>0</v>
      </c>
      <c r="H119" s="159">
        <f t="shared" ca="1" si="92"/>
        <v>0</v>
      </c>
      <c r="I119" s="159">
        <f t="shared" ca="1" si="92"/>
        <v>0</v>
      </c>
      <c r="J119" s="159">
        <f t="shared" ca="1" si="92"/>
        <v>0</v>
      </c>
      <c r="K119" s="159">
        <f t="shared" ca="1" si="92"/>
        <v>0</v>
      </c>
      <c r="L119" s="159">
        <f t="shared" ca="1" si="92"/>
        <v>0</v>
      </c>
      <c r="M119" s="159">
        <f t="shared" ca="1" si="92"/>
        <v>0</v>
      </c>
      <c r="N119" s="159">
        <f t="shared" ca="1" si="92"/>
        <v>0</v>
      </c>
      <c r="O119" s="159">
        <f t="shared" ca="1" si="92"/>
        <v>0</v>
      </c>
      <c r="P119" s="159">
        <f t="shared" ca="1" si="92"/>
        <v>0</v>
      </c>
      <c r="R119" s="160" t="s">
        <v>106</v>
      </c>
      <c r="S119" s="160"/>
      <c r="T119" s="160"/>
      <c r="U119" s="160"/>
      <c r="V119" s="159">
        <f t="shared" ref="V119:AA119" ca="1" si="93">IF(V111="","",V115)</f>
        <v>0</v>
      </c>
      <c r="W119" s="159">
        <f t="shared" ca="1" si="93"/>
        <v>0</v>
      </c>
      <c r="X119" s="159">
        <f t="shared" ca="1" si="93"/>
        <v>0</v>
      </c>
      <c r="Y119" s="159">
        <f t="shared" ca="1" si="93"/>
        <v>0</v>
      </c>
      <c r="Z119" s="159">
        <f t="shared" ca="1" si="93"/>
        <v>0</v>
      </c>
      <c r="AA119" s="159">
        <f t="shared" ca="1" si="93"/>
        <v>0</v>
      </c>
    </row>
    <row r="120" spans="2:27" ht="14.5" outlineLevel="1" x14ac:dyDescent="0.35">
      <c r="B120" s="160" t="s">
        <v>105</v>
      </c>
      <c r="C120" s="160"/>
      <c r="D120" s="160"/>
      <c r="E120" s="160"/>
      <c r="F120" s="159">
        <f t="shared" ref="F120:P120" ca="1" si="94">IF(F111="","",F119/$I$15*$H$15)</f>
        <v>0</v>
      </c>
      <c r="G120" s="159">
        <f t="shared" ca="1" si="94"/>
        <v>0</v>
      </c>
      <c r="H120" s="159">
        <f t="shared" ca="1" si="94"/>
        <v>0</v>
      </c>
      <c r="I120" s="159">
        <f t="shared" ca="1" si="94"/>
        <v>0</v>
      </c>
      <c r="J120" s="159">
        <f t="shared" ca="1" si="94"/>
        <v>0</v>
      </c>
      <c r="K120" s="159">
        <f t="shared" ca="1" si="94"/>
        <v>0</v>
      </c>
      <c r="L120" s="159">
        <f t="shared" ca="1" si="94"/>
        <v>0</v>
      </c>
      <c r="M120" s="159">
        <f t="shared" ca="1" si="94"/>
        <v>0</v>
      </c>
      <c r="N120" s="159">
        <f t="shared" ca="1" si="94"/>
        <v>0</v>
      </c>
      <c r="O120" s="159">
        <f t="shared" ca="1" si="94"/>
        <v>0</v>
      </c>
      <c r="P120" s="159">
        <f t="shared" ca="1" si="94"/>
        <v>0</v>
      </c>
      <c r="R120" s="160" t="s">
        <v>105</v>
      </c>
      <c r="S120" s="160"/>
      <c r="T120" s="160"/>
      <c r="U120" s="160"/>
      <c r="V120" s="159">
        <f t="shared" ref="V120:AA120" ca="1" si="95">IF(V111="","",V119/$Y$15*$X$15)</f>
        <v>0</v>
      </c>
      <c r="W120" s="159">
        <f t="shared" ca="1" si="95"/>
        <v>0</v>
      </c>
      <c r="X120" s="159">
        <f t="shared" ca="1" si="95"/>
        <v>0</v>
      </c>
      <c r="Y120" s="159">
        <f t="shared" ca="1" si="95"/>
        <v>0</v>
      </c>
      <c r="Z120" s="159">
        <f t="shared" ca="1" si="95"/>
        <v>0</v>
      </c>
      <c r="AA120" s="159">
        <f t="shared" ca="1" si="95"/>
        <v>0</v>
      </c>
    </row>
    <row r="121" spans="2:27" ht="14.5" outlineLevel="1" x14ac:dyDescent="0.35">
      <c r="B121" s="160" t="str">
        <f>"Total Distributions ("&amp;B109&amp;")"</f>
        <v>Total Distributions (Tier 2)</v>
      </c>
      <c r="C121" s="160"/>
      <c r="D121" s="160"/>
      <c r="E121" s="160"/>
      <c r="F121" s="159">
        <f t="shared" ref="F121:P121" ca="1" si="96">IF(F111="","",F119+F120)</f>
        <v>0</v>
      </c>
      <c r="G121" s="159">
        <f t="shared" ca="1" si="96"/>
        <v>0</v>
      </c>
      <c r="H121" s="159">
        <f t="shared" ca="1" si="96"/>
        <v>0</v>
      </c>
      <c r="I121" s="159">
        <f t="shared" ca="1" si="96"/>
        <v>0</v>
      </c>
      <c r="J121" s="159">
        <f t="shared" ca="1" si="96"/>
        <v>0</v>
      </c>
      <c r="K121" s="159">
        <f t="shared" ca="1" si="96"/>
        <v>0</v>
      </c>
      <c r="L121" s="159">
        <f t="shared" ca="1" si="96"/>
        <v>0</v>
      </c>
      <c r="M121" s="159">
        <f t="shared" ca="1" si="96"/>
        <v>0</v>
      </c>
      <c r="N121" s="159">
        <f t="shared" ca="1" si="96"/>
        <v>0</v>
      </c>
      <c r="O121" s="159">
        <f t="shared" ca="1" si="96"/>
        <v>0</v>
      </c>
      <c r="P121" s="159">
        <f t="shared" ca="1" si="96"/>
        <v>0</v>
      </c>
      <c r="R121" s="160" t="str">
        <f>"Total Distributions ("&amp;R109&amp;")"</f>
        <v>Total Distributions (Tier 2)</v>
      </c>
      <c r="S121" s="160"/>
      <c r="T121" s="160"/>
      <c r="U121" s="160"/>
      <c r="V121" s="159">
        <f t="shared" ref="V121:AA121" ca="1" si="97">IF(V111="","",V119+V120)</f>
        <v>0</v>
      </c>
      <c r="W121" s="159">
        <f t="shared" ca="1" si="97"/>
        <v>0</v>
      </c>
      <c r="X121" s="159">
        <f t="shared" ca="1" si="97"/>
        <v>0</v>
      </c>
      <c r="Y121" s="159">
        <f t="shared" ca="1" si="97"/>
        <v>0</v>
      </c>
      <c r="Z121" s="159">
        <f t="shared" ca="1" si="97"/>
        <v>0</v>
      </c>
      <c r="AA121" s="159">
        <f t="shared" ca="1" si="97"/>
        <v>0</v>
      </c>
    </row>
    <row r="122" spans="2:27" ht="14.5" outlineLevel="1" x14ac:dyDescent="0.35">
      <c r="B122" s="160" t="s">
        <v>104</v>
      </c>
      <c r="C122" s="160"/>
      <c r="D122" s="160"/>
      <c r="E122" s="160"/>
      <c r="F122" s="159">
        <f t="shared" ref="F122:P122" ca="1" si="98">IF(F111="","",MAX(F$49-F106-F121,0))</f>
        <v>0</v>
      </c>
      <c r="G122" s="159">
        <f t="shared" ca="1" si="98"/>
        <v>0</v>
      </c>
      <c r="H122" s="159">
        <f t="shared" ca="1" si="98"/>
        <v>0</v>
      </c>
      <c r="I122" s="159">
        <f t="shared" ca="1" si="98"/>
        <v>0</v>
      </c>
      <c r="J122" s="159">
        <f t="shared" ca="1" si="98"/>
        <v>0</v>
      </c>
      <c r="K122" s="159">
        <f t="shared" ca="1" si="98"/>
        <v>0</v>
      </c>
      <c r="L122" s="159">
        <f t="shared" ca="1" si="98"/>
        <v>0</v>
      </c>
      <c r="M122" s="159">
        <f t="shared" ca="1" si="98"/>
        <v>0</v>
      </c>
      <c r="N122" s="159">
        <f t="shared" ca="1" si="98"/>
        <v>0</v>
      </c>
      <c r="O122" s="159">
        <f t="shared" ca="1" si="98"/>
        <v>0</v>
      </c>
      <c r="P122" s="159">
        <f t="shared" ca="1" si="98"/>
        <v>5359617.6742445659</v>
      </c>
      <c r="R122" s="160" t="s">
        <v>104</v>
      </c>
      <c r="S122" s="160"/>
      <c r="T122" s="160"/>
      <c r="U122" s="160"/>
      <c r="V122" s="159">
        <f t="shared" ref="V122:AA122" ca="1" si="99">IF(V111="","",MAX(V$49-V106-V121,0))</f>
        <v>0</v>
      </c>
      <c r="W122" s="159">
        <f t="shared" ca="1" si="99"/>
        <v>0</v>
      </c>
      <c r="X122" s="159">
        <f t="shared" ca="1" si="99"/>
        <v>0</v>
      </c>
      <c r="Y122" s="159">
        <f t="shared" ca="1" si="99"/>
        <v>0</v>
      </c>
      <c r="Z122" s="159">
        <f t="shared" ca="1" si="99"/>
        <v>0</v>
      </c>
      <c r="AA122" s="159">
        <f t="shared" ca="1" si="99"/>
        <v>2268662.6361319828</v>
      </c>
    </row>
    <row r="123" spans="2:27" ht="14.5" outlineLevel="1" x14ac:dyDescent="0.35">
      <c r="B123" s="160"/>
      <c r="C123" s="160"/>
      <c r="D123" s="160"/>
      <c r="E123" s="160"/>
      <c r="F123" s="162"/>
      <c r="G123" s="162"/>
      <c r="H123" s="162"/>
      <c r="I123" s="162"/>
      <c r="J123" s="162"/>
      <c r="K123" s="162"/>
      <c r="L123" s="162"/>
      <c r="M123" s="162"/>
      <c r="N123" s="162"/>
      <c r="O123" s="162"/>
      <c r="P123" s="162"/>
      <c r="R123" s="160"/>
      <c r="S123" s="160"/>
      <c r="T123" s="160"/>
      <c r="U123" s="160"/>
      <c r="V123" s="162"/>
      <c r="W123" s="162"/>
      <c r="X123" s="162"/>
      <c r="Y123" s="162"/>
      <c r="Z123" s="162"/>
      <c r="AA123" s="162"/>
    </row>
    <row r="124" spans="2:27" ht="15.5" outlineLevel="1" x14ac:dyDescent="0.35">
      <c r="B124" s="168" t="s">
        <v>116</v>
      </c>
      <c r="C124" s="167"/>
      <c r="D124" s="167"/>
      <c r="E124" s="167"/>
      <c r="F124" s="166" t="s">
        <v>30</v>
      </c>
      <c r="G124" s="165">
        <f t="shared" ref="G124:P124" ca="1" si="100">G$19</f>
        <v>1</v>
      </c>
      <c r="H124" s="165">
        <f t="shared" ca="1" si="100"/>
        <v>2</v>
      </c>
      <c r="I124" s="165">
        <f t="shared" ca="1" si="100"/>
        <v>3</v>
      </c>
      <c r="J124" s="165">
        <f t="shared" ca="1" si="100"/>
        <v>4</v>
      </c>
      <c r="K124" s="165">
        <f t="shared" ca="1" si="100"/>
        <v>5</v>
      </c>
      <c r="L124" s="165">
        <f t="shared" ca="1" si="100"/>
        <v>6</v>
      </c>
      <c r="M124" s="165">
        <f t="shared" ca="1" si="100"/>
        <v>7</v>
      </c>
      <c r="N124" s="165">
        <f t="shared" ca="1" si="100"/>
        <v>8</v>
      </c>
      <c r="O124" s="165">
        <f t="shared" ca="1" si="100"/>
        <v>9</v>
      </c>
      <c r="P124" s="165">
        <f t="shared" ca="1" si="100"/>
        <v>10</v>
      </c>
      <c r="R124" s="168" t="s">
        <v>116</v>
      </c>
      <c r="S124" s="167"/>
      <c r="T124" s="167"/>
      <c r="U124" s="167"/>
      <c r="V124" s="166" t="s">
        <v>30</v>
      </c>
      <c r="W124" s="165">
        <f ca="1">W$19</f>
        <v>1</v>
      </c>
      <c r="X124" s="165">
        <f ca="1">X$19</f>
        <v>2</v>
      </c>
      <c r="Y124" s="165">
        <f ca="1">Y$19</f>
        <v>3</v>
      </c>
      <c r="Z124" s="165">
        <f ca="1">Z$19</f>
        <v>4</v>
      </c>
      <c r="AA124" s="165">
        <f ca="1">AA$19</f>
        <v>5</v>
      </c>
    </row>
    <row r="125" spans="2:27" ht="14.5" outlineLevel="1" x14ac:dyDescent="0.35">
      <c r="B125" s="164" t="s">
        <v>115</v>
      </c>
      <c r="C125" s="163">
        <f>E60</f>
        <v>0</v>
      </c>
      <c r="D125" s="160"/>
      <c r="E125" s="160"/>
      <c r="F125" s="162"/>
      <c r="G125" s="161"/>
      <c r="H125" s="161"/>
      <c r="I125" s="161"/>
      <c r="J125" s="161"/>
      <c r="K125" s="161"/>
      <c r="L125" s="161"/>
      <c r="M125" s="161"/>
      <c r="N125" s="161"/>
      <c r="O125" s="161"/>
      <c r="P125" s="161"/>
      <c r="R125" s="164" t="s">
        <v>115</v>
      </c>
      <c r="S125" s="163">
        <f>U60</f>
        <v>0</v>
      </c>
      <c r="T125" s="160"/>
      <c r="U125" s="160"/>
      <c r="V125" s="162"/>
      <c r="W125" s="161"/>
      <c r="X125" s="161"/>
      <c r="Y125" s="161"/>
      <c r="Z125" s="161"/>
      <c r="AA125" s="161"/>
    </row>
    <row r="126" spans="2:27" ht="14.5" outlineLevel="1" x14ac:dyDescent="0.35">
      <c r="B126" s="160" t="s">
        <v>114</v>
      </c>
      <c r="C126" s="160"/>
      <c r="D126" s="160"/>
      <c r="E126" s="160"/>
      <c r="F126" s="159">
        <f t="shared" ref="F126:P126" ca="1" si="101">IF(F102="","",E131)</f>
        <v>0</v>
      </c>
      <c r="G126" s="159">
        <f t="shared" ca="1" si="101"/>
        <v>3739084.6100575007</v>
      </c>
      <c r="H126" s="159">
        <f t="shared" ca="1" si="101"/>
        <v>3406723.8810550468</v>
      </c>
      <c r="I126" s="159">
        <f t="shared" ca="1" si="101"/>
        <v>3061896.6161072087</v>
      </c>
      <c r="J126" s="159">
        <f t="shared" ca="1" si="101"/>
        <v>2704353.4844950782</v>
      </c>
      <c r="K126" s="159">
        <f t="shared" ca="1" si="101"/>
        <v>2333840.1688853693</v>
      </c>
      <c r="L126" s="159">
        <f t="shared" ca="1" si="101"/>
        <v>1950097.2655981309</v>
      </c>
      <c r="M126" s="159">
        <f t="shared" ca="1" si="101"/>
        <v>1552860.1828798121</v>
      </c>
      <c r="N126" s="159">
        <f t="shared" ca="1" si="101"/>
        <v>1141859.0371417913</v>
      </c>
      <c r="O126" s="159">
        <f t="shared" ca="1" si="101"/>
        <v>716818.54712367477</v>
      </c>
      <c r="P126" s="159">
        <f t="shared" ca="1" si="101"/>
        <v>277457.92593986029</v>
      </c>
      <c r="R126" s="160" t="s">
        <v>114</v>
      </c>
      <c r="S126" s="160"/>
      <c r="T126" s="160"/>
      <c r="U126" s="160"/>
      <c r="V126" s="159">
        <f t="shared" ref="V126:AA126" ca="1" si="102">IF(V102="","",U131)</f>
        <v>0</v>
      </c>
      <c r="W126" s="159">
        <f t="shared" ca="1" si="102"/>
        <v>3739084.6100575007</v>
      </c>
      <c r="X126" s="159">
        <f t="shared" ca="1" si="102"/>
        <v>3406723.8810550468</v>
      </c>
      <c r="Y126" s="159">
        <f t="shared" ca="1" si="102"/>
        <v>3061896.6161072087</v>
      </c>
      <c r="Z126" s="159">
        <f t="shared" ca="1" si="102"/>
        <v>2704353.4844950782</v>
      </c>
      <c r="AA126" s="159">
        <f t="shared" ca="1" si="102"/>
        <v>2333840.1688853693</v>
      </c>
    </row>
    <row r="127" spans="2:27" ht="14.5" outlineLevel="1" x14ac:dyDescent="0.35">
      <c r="B127" s="160" t="s">
        <v>113</v>
      </c>
      <c r="C127" s="160"/>
      <c r="D127" s="160"/>
      <c r="E127" s="160"/>
      <c r="F127" s="159">
        <f t="shared" ref="F127:P127" ca="1" si="103">IF(F126="","",IF($D$55="Equity Multiple",E128*$C125-E128,F126*$C125))</f>
        <v>0</v>
      </c>
      <c r="G127" s="159">
        <f t="shared" ca="1" si="103"/>
        <v>0</v>
      </c>
      <c r="H127" s="159">
        <f t="shared" ca="1" si="103"/>
        <v>0</v>
      </c>
      <c r="I127" s="159">
        <f t="shared" ca="1" si="103"/>
        <v>0</v>
      </c>
      <c r="J127" s="159">
        <f t="shared" ca="1" si="103"/>
        <v>0</v>
      </c>
      <c r="K127" s="159">
        <f t="shared" ca="1" si="103"/>
        <v>0</v>
      </c>
      <c r="L127" s="159">
        <f t="shared" ca="1" si="103"/>
        <v>0</v>
      </c>
      <c r="M127" s="159">
        <f t="shared" ca="1" si="103"/>
        <v>0</v>
      </c>
      <c r="N127" s="159">
        <f t="shared" ca="1" si="103"/>
        <v>0</v>
      </c>
      <c r="O127" s="159">
        <f t="shared" ca="1" si="103"/>
        <v>0</v>
      </c>
      <c r="P127" s="159">
        <f t="shared" ca="1" si="103"/>
        <v>0</v>
      </c>
      <c r="R127" s="160" t="s">
        <v>113</v>
      </c>
      <c r="S127" s="160"/>
      <c r="T127" s="160"/>
      <c r="U127" s="160"/>
      <c r="V127" s="159">
        <f t="shared" ref="V127:AA127" ca="1" si="104">IF(V126="","",IF($T$55="Equity Multiple",U128*$S125-U128,V126*$S125))</f>
        <v>0</v>
      </c>
      <c r="W127" s="159">
        <f t="shared" ca="1" si="104"/>
        <v>0</v>
      </c>
      <c r="X127" s="159">
        <f t="shared" ca="1" si="104"/>
        <v>0</v>
      </c>
      <c r="Y127" s="159">
        <f t="shared" ca="1" si="104"/>
        <v>0</v>
      </c>
      <c r="Z127" s="159">
        <f t="shared" ca="1" si="104"/>
        <v>0</v>
      </c>
      <c r="AA127" s="159">
        <f t="shared" ca="1" si="104"/>
        <v>0</v>
      </c>
    </row>
    <row r="128" spans="2:27" ht="14.5" outlineLevel="1" x14ac:dyDescent="0.35">
      <c r="B128" s="160" t="s">
        <v>112</v>
      </c>
      <c r="C128" s="160"/>
      <c r="D128" s="160"/>
      <c r="E128" s="160"/>
      <c r="F128" s="159">
        <f t="shared" ref="F128:P128" ca="1" si="105">IF(F126="","",-MIN(0,F$49*Equity_Share_LP))</f>
        <v>3739084.6100575007</v>
      </c>
      <c r="G128" s="159">
        <f t="shared" ca="1" si="105"/>
        <v>0</v>
      </c>
      <c r="H128" s="159">
        <f t="shared" ca="1" si="105"/>
        <v>0</v>
      </c>
      <c r="I128" s="159">
        <f t="shared" ca="1" si="105"/>
        <v>0</v>
      </c>
      <c r="J128" s="159">
        <f t="shared" ca="1" si="105"/>
        <v>0</v>
      </c>
      <c r="K128" s="159">
        <f t="shared" ca="1" si="105"/>
        <v>0</v>
      </c>
      <c r="L128" s="159">
        <f t="shared" ca="1" si="105"/>
        <v>0</v>
      </c>
      <c r="M128" s="159">
        <f t="shared" ca="1" si="105"/>
        <v>0</v>
      </c>
      <c r="N128" s="159">
        <f t="shared" ca="1" si="105"/>
        <v>0</v>
      </c>
      <c r="O128" s="159">
        <f t="shared" ca="1" si="105"/>
        <v>0</v>
      </c>
      <c r="P128" s="159">
        <f t="shared" ca="1" si="105"/>
        <v>0</v>
      </c>
      <c r="R128" s="160" t="s">
        <v>112</v>
      </c>
      <c r="S128" s="160"/>
      <c r="T128" s="160"/>
      <c r="U128" s="160"/>
      <c r="V128" s="159">
        <f t="shared" ref="V128:AA128" ca="1" si="106">IF(V126="","",-MIN(0,V$49*Equity_Share_LP))</f>
        <v>3739084.6100575007</v>
      </c>
      <c r="W128" s="159">
        <f t="shared" ca="1" si="106"/>
        <v>0</v>
      </c>
      <c r="X128" s="159">
        <f t="shared" ca="1" si="106"/>
        <v>0</v>
      </c>
      <c r="Y128" s="159">
        <f t="shared" ca="1" si="106"/>
        <v>0</v>
      </c>
      <c r="Z128" s="159">
        <f t="shared" ca="1" si="106"/>
        <v>0</v>
      </c>
      <c r="AA128" s="159">
        <f t="shared" ca="1" si="106"/>
        <v>0</v>
      </c>
    </row>
    <row r="129" spans="2:27" ht="14.5" outlineLevel="1" x14ac:dyDescent="0.35">
      <c r="B129" s="160" t="s">
        <v>111</v>
      </c>
      <c r="C129" s="160"/>
      <c r="D129" s="160"/>
      <c r="E129" s="160"/>
      <c r="F129" s="159">
        <f t="shared" ref="F129:P129" ca="1" si="107">IF(F126="","",F119+F97)</f>
        <v>0</v>
      </c>
      <c r="G129" s="159">
        <f t="shared" ca="1" si="107"/>
        <v>332360.72900245379</v>
      </c>
      <c r="H129" s="159">
        <f t="shared" ca="1" si="107"/>
        <v>344827.26494783838</v>
      </c>
      <c r="I129" s="159">
        <f t="shared" ca="1" si="107"/>
        <v>357543.13161213067</v>
      </c>
      <c r="J129" s="159">
        <f t="shared" ca="1" si="107"/>
        <v>370513.31560970878</v>
      </c>
      <c r="K129" s="159">
        <f t="shared" ca="1" si="107"/>
        <v>383742.9032872385</v>
      </c>
      <c r="L129" s="159">
        <f t="shared" ca="1" si="107"/>
        <v>397237.08271831885</v>
      </c>
      <c r="M129" s="159">
        <f t="shared" ca="1" si="107"/>
        <v>411001.14573802071</v>
      </c>
      <c r="N129" s="159">
        <f t="shared" ca="1" si="107"/>
        <v>425040.4900181166</v>
      </c>
      <c r="O129" s="159">
        <f t="shared" ca="1" si="107"/>
        <v>439360.62118381448</v>
      </c>
      <c r="P129" s="159">
        <f t="shared" ca="1" si="107"/>
        <v>277457.92593986029</v>
      </c>
      <c r="R129" s="160" t="s">
        <v>111</v>
      </c>
      <c r="S129" s="160"/>
      <c r="T129" s="160"/>
      <c r="U129" s="160"/>
      <c r="V129" s="159">
        <f t="shared" ref="V129:AA129" ca="1" si="108">IF(V126="","",V119+V97)</f>
        <v>0</v>
      </c>
      <c r="W129" s="159">
        <f t="shared" ca="1" si="108"/>
        <v>332360.72900245379</v>
      </c>
      <c r="X129" s="159">
        <f t="shared" ca="1" si="108"/>
        <v>344827.26494783838</v>
      </c>
      <c r="Y129" s="159">
        <f t="shared" ca="1" si="108"/>
        <v>357543.13161213067</v>
      </c>
      <c r="Z129" s="159">
        <f t="shared" ca="1" si="108"/>
        <v>370513.31560970878</v>
      </c>
      <c r="AA129" s="159">
        <f t="shared" ca="1" si="108"/>
        <v>2333840.1688853693</v>
      </c>
    </row>
    <row r="130" spans="2:27" ht="14.5" outlineLevel="1" x14ac:dyDescent="0.35">
      <c r="B130" s="160" t="str">
        <f>"Distributions to LP "&amp;B124</f>
        <v>Distributions to LP Tier 3</v>
      </c>
      <c r="C130" s="160"/>
      <c r="D130" s="160"/>
      <c r="E130" s="160"/>
      <c r="F130" s="159">
        <f t="shared" ref="F130:P130" ca="1" si="109">IF(F126="","",MIN(F126+F127-F129,F122*$I$16))</f>
        <v>0</v>
      </c>
      <c r="G130" s="159">
        <f t="shared" ca="1" si="109"/>
        <v>0</v>
      </c>
      <c r="H130" s="159">
        <f t="shared" ca="1" si="109"/>
        <v>0</v>
      </c>
      <c r="I130" s="159">
        <f t="shared" ca="1" si="109"/>
        <v>0</v>
      </c>
      <c r="J130" s="159">
        <f t="shared" ca="1" si="109"/>
        <v>0</v>
      </c>
      <c r="K130" s="159">
        <f t="shared" ca="1" si="109"/>
        <v>0</v>
      </c>
      <c r="L130" s="159">
        <f t="shared" ca="1" si="109"/>
        <v>0</v>
      </c>
      <c r="M130" s="159">
        <f t="shared" ca="1" si="109"/>
        <v>0</v>
      </c>
      <c r="N130" s="159">
        <f t="shared" ca="1" si="109"/>
        <v>0</v>
      </c>
      <c r="O130" s="159">
        <f t="shared" ca="1" si="109"/>
        <v>0</v>
      </c>
      <c r="P130" s="159">
        <f t="shared" ca="1" si="109"/>
        <v>0</v>
      </c>
      <c r="R130" s="160" t="str">
        <f>"Distributions to LP "&amp;R124</f>
        <v>Distributions to LP Tier 3</v>
      </c>
      <c r="S130" s="160"/>
      <c r="T130" s="160"/>
      <c r="U130" s="160"/>
      <c r="V130" s="159">
        <f t="shared" ref="V130:AA130" ca="1" si="110">IF(V126="","",MIN(V126+V127-V129,V122*$Y$16))</f>
        <v>0</v>
      </c>
      <c r="W130" s="159">
        <f t="shared" ca="1" si="110"/>
        <v>0</v>
      </c>
      <c r="X130" s="159">
        <f t="shared" ca="1" si="110"/>
        <v>0</v>
      </c>
      <c r="Y130" s="159">
        <f t="shared" ca="1" si="110"/>
        <v>0</v>
      </c>
      <c r="Z130" s="159">
        <f t="shared" ca="1" si="110"/>
        <v>0</v>
      </c>
      <c r="AA130" s="159">
        <f t="shared" ca="1" si="110"/>
        <v>0</v>
      </c>
    </row>
    <row r="131" spans="2:27" ht="14.5" outlineLevel="1" x14ac:dyDescent="0.35">
      <c r="B131" s="160" t="s">
        <v>110</v>
      </c>
      <c r="C131" s="160"/>
      <c r="D131" s="160"/>
      <c r="E131" s="160"/>
      <c r="F131" s="159">
        <f ca="1">F126+F128-F130</f>
        <v>3739084.6100575007</v>
      </c>
      <c r="G131" s="159">
        <f t="shared" ref="G131:P131" ca="1" si="111">IF(G126="","",G126+G127+G128-G129-G130)</f>
        <v>3406723.8810550468</v>
      </c>
      <c r="H131" s="159">
        <f t="shared" ca="1" si="111"/>
        <v>3061896.6161072087</v>
      </c>
      <c r="I131" s="159">
        <f t="shared" ca="1" si="111"/>
        <v>2704353.4844950782</v>
      </c>
      <c r="J131" s="159">
        <f t="shared" ca="1" si="111"/>
        <v>2333840.1688853693</v>
      </c>
      <c r="K131" s="159">
        <f t="shared" ca="1" si="111"/>
        <v>1950097.2655981309</v>
      </c>
      <c r="L131" s="159">
        <f t="shared" ca="1" si="111"/>
        <v>1552860.1828798121</v>
      </c>
      <c r="M131" s="159">
        <f t="shared" ca="1" si="111"/>
        <v>1141859.0371417913</v>
      </c>
      <c r="N131" s="159">
        <f t="shared" ca="1" si="111"/>
        <v>716818.54712367477</v>
      </c>
      <c r="O131" s="159">
        <f t="shared" ca="1" si="111"/>
        <v>277457.92593986029</v>
      </c>
      <c r="P131" s="159">
        <f t="shared" ca="1" si="111"/>
        <v>0</v>
      </c>
      <c r="R131" s="160" t="s">
        <v>110</v>
      </c>
      <c r="S131" s="160"/>
      <c r="T131" s="160"/>
      <c r="U131" s="160"/>
      <c r="V131" s="159">
        <f ca="1">V126+V128-V130</f>
        <v>3739084.6100575007</v>
      </c>
      <c r="W131" s="159">
        <f ca="1">IF(W126="","",W126+W127+W128-W129-W130)</f>
        <v>3406723.8810550468</v>
      </c>
      <c r="X131" s="159">
        <f ca="1">IF(X126="","",X126+X127+X128-X129-X130)</f>
        <v>3061896.6161072087</v>
      </c>
      <c r="Y131" s="159">
        <f ca="1">IF(Y126="","",Y126+Y127+Y128-Y129-Y130)</f>
        <v>2704353.4844950782</v>
      </c>
      <c r="Z131" s="159">
        <f ca="1">IF(Z126="","",Z126+Z127+Z128-Z129-Z130)</f>
        <v>2333840.1688853693</v>
      </c>
      <c r="AA131" s="159">
        <f ca="1">IF(AA126="","",AA126+AA127+AA128-AA129-AA130)</f>
        <v>0</v>
      </c>
    </row>
    <row r="132" spans="2:27" ht="14.5" outlineLevel="1" x14ac:dyDescent="0.35">
      <c r="B132" s="172">
        <f>C125</f>
        <v>0</v>
      </c>
      <c r="C132" s="160"/>
      <c r="D132" s="160"/>
      <c r="E132" s="171">
        <f ca="1">IF($D$55="IRR",IRR(F132:Q132),SUMIF(F132:Q132,"&gt;0")/-SUMIF(F132:Q132,"&lt;0"))</f>
        <v>0</v>
      </c>
      <c r="F132" s="159">
        <f ca="1">IF(F126="","",-F128+F130)</f>
        <v>-3739084.6100575007</v>
      </c>
      <c r="G132" s="159">
        <f t="shared" ref="G132:P132" ca="1" si="112">IF(G126="","",-G128+G129+G130)</f>
        <v>332360.72900245379</v>
      </c>
      <c r="H132" s="159">
        <f t="shared" ca="1" si="112"/>
        <v>344827.26494783838</v>
      </c>
      <c r="I132" s="159">
        <f t="shared" ca="1" si="112"/>
        <v>357543.13161213067</v>
      </c>
      <c r="J132" s="159">
        <f t="shared" ca="1" si="112"/>
        <v>370513.31560970878</v>
      </c>
      <c r="K132" s="159">
        <f t="shared" ca="1" si="112"/>
        <v>383742.9032872385</v>
      </c>
      <c r="L132" s="159">
        <f t="shared" ca="1" si="112"/>
        <v>397237.08271831885</v>
      </c>
      <c r="M132" s="159">
        <f t="shared" ca="1" si="112"/>
        <v>411001.14573802071</v>
      </c>
      <c r="N132" s="159">
        <f t="shared" ca="1" si="112"/>
        <v>425040.4900181166</v>
      </c>
      <c r="O132" s="159">
        <f t="shared" ca="1" si="112"/>
        <v>439360.62118381448</v>
      </c>
      <c r="P132" s="159">
        <f t="shared" ca="1" si="112"/>
        <v>277457.92593986029</v>
      </c>
      <c r="R132" s="172">
        <f>S125</f>
        <v>0</v>
      </c>
      <c r="S132" s="160"/>
      <c r="T132" s="160"/>
      <c r="U132" s="171">
        <f ca="1">IF($T$55="IRR",IRR(V132:AA132),SUMIF(V132:AA132,"&gt;0")/-SUMIF(V132:AA132,"&lt;0"))</f>
        <v>0</v>
      </c>
      <c r="V132" s="159">
        <f ca="1">IF(V126="","",-V128+V130)</f>
        <v>-3739084.6100575007</v>
      </c>
      <c r="W132" s="159">
        <f ca="1">IF(W126="","",-W128+W129+W130)</f>
        <v>332360.72900245379</v>
      </c>
      <c r="X132" s="159">
        <f ca="1">IF(X126="","",-X128+X129+X130)</f>
        <v>344827.26494783838</v>
      </c>
      <c r="Y132" s="159">
        <f ca="1">IF(Y126="","",-Y128+Y129+Y130)</f>
        <v>357543.13161213067</v>
      </c>
      <c r="Z132" s="159">
        <f ca="1">IF(Z126="","",-Z128+Z129+Z130)</f>
        <v>370513.31560970878</v>
      </c>
      <c r="AA132" s="159">
        <f ca="1">IF(AA126="","",-AA128+AA129+AA130)</f>
        <v>2333840.1688853693</v>
      </c>
    </row>
    <row r="133" spans="2:27" ht="14.5" outlineLevel="1" x14ac:dyDescent="0.35">
      <c r="B133" s="170" t="s">
        <v>109</v>
      </c>
      <c r="C133" s="170" t="s">
        <v>109</v>
      </c>
      <c r="D133" s="170" t="s">
        <v>109</v>
      </c>
      <c r="E133" s="170" t="s">
        <v>109</v>
      </c>
      <c r="F133" s="169" t="str">
        <f t="shared" ref="F133:P133" ca="1" si="113">IF(F126="","",".")</f>
        <v>.</v>
      </c>
      <c r="G133" s="169" t="str">
        <f t="shared" ca="1" si="113"/>
        <v>.</v>
      </c>
      <c r="H133" s="169" t="str">
        <f t="shared" ca="1" si="113"/>
        <v>.</v>
      </c>
      <c r="I133" s="169" t="str">
        <f t="shared" ca="1" si="113"/>
        <v>.</v>
      </c>
      <c r="J133" s="169" t="str">
        <f t="shared" ca="1" si="113"/>
        <v>.</v>
      </c>
      <c r="K133" s="169" t="str">
        <f t="shared" ca="1" si="113"/>
        <v>.</v>
      </c>
      <c r="L133" s="169" t="str">
        <f t="shared" ca="1" si="113"/>
        <v>.</v>
      </c>
      <c r="M133" s="169" t="str">
        <f t="shared" ca="1" si="113"/>
        <v>.</v>
      </c>
      <c r="N133" s="169" t="str">
        <f t="shared" ca="1" si="113"/>
        <v>.</v>
      </c>
      <c r="O133" s="169" t="str">
        <f t="shared" ca="1" si="113"/>
        <v>.</v>
      </c>
      <c r="P133" s="169" t="str">
        <f t="shared" ca="1" si="113"/>
        <v>.</v>
      </c>
      <c r="R133" s="170" t="s">
        <v>109</v>
      </c>
      <c r="S133" s="170" t="s">
        <v>109</v>
      </c>
      <c r="T133" s="170" t="s">
        <v>109</v>
      </c>
      <c r="U133" s="170" t="s">
        <v>109</v>
      </c>
      <c r="V133" s="169" t="str">
        <f t="shared" ref="V133:AA133" ca="1" si="114">IF(V126="","",".")</f>
        <v>.</v>
      </c>
      <c r="W133" s="169" t="str">
        <f t="shared" ca="1" si="114"/>
        <v>.</v>
      </c>
      <c r="X133" s="169" t="str">
        <f t="shared" ca="1" si="114"/>
        <v>.</v>
      </c>
      <c r="Y133" s="169" t="str">
        <f t="shared" ca="1" si="114"/>
        <v>.</v>
      </c>
      <c r="Z133" s="169" t="str">
        <f t="shared" ca="1" si="114"/>
        <v>.</v>
      </c>
      <c r="AA133" s="169" t="str">
        <f t="shared" ca="1" si="114"/>
        <v>.</v>
      </c>
    </row>
    <row r="134" spans="2:27" ht="14.5" outlineLevel="1" x14ac:dyDescent="0.35">
      <c r="B134" s="160" t="s">
        <v>106</v>
      </c>
      <c r="C134" s="160"/>
      <c r="D134" s="160"/>
      <c r="E134" s="160"/>
      <c r="F134" s="159">
        <f t="shared" ref="F134:P134" ca="1" si="115">IF(F126="","",F130)</f>
        <v>0</v>
      </c>
      <c r="G134" s="159">
        <f t="shared" ca="1" si="115"/>
        <v>0</v>
      </c>
      <c r="H134" s="159">
        <f t="shared" ca="1" si="115"/>
        <v>0</v>
      </c>
      <c r="I134" s="159">
        <f t="shared" ca="1" si="115"/>
        <v>0</v>
      </c>
      <c r="J134" s="159">
        <f t="shared" ca="1" si="115"/>
        <v>0</v>
      </c>
      <c r="K134" s="159">
        <f t="shared" ca="1" si="115"/>
        <v>0</v>
      </c>
      <c r="L134" s="159">
        <f t="shared" ca="1" si="115"/>
        <v>0</v>
      </c>
      <c r="M134" s="159">
        <f t="shared" ca="1" si="115"/>
        <v>0</v>
      </c>
      <c r="N134" s="159">
        <f t="shared" ca="1" si="115"/>
        <v>0</v>
      </c>
      <c r="O134" s="159">
        <f t="shared" ca="1" si="115"/>
        <v>0</v>
      </c>
      <c r="P134" s="159">
        <f t="shared" ca="1" si="115"/>
        <v>0</v>
      </c>
      <c r="R134" s="160" t="s">
        <v>106</v>
      </c>
      <c r="S134" s="160"/>
      <c r="T134" s="160"/>
      <c r="U134" s="160"/>
      <c r="V134" s="159">
        <f t="shared" ref="V134:AA134" ca="1" si="116">IF(V126="","",V130)</f>
        <v>0</v>
      </c>
      <c r="W134" s="159">
        <f t="shared" ca="1" si="116"/>
        <v>0</v>
      </c>
      <c r="X134" s="159">
        <f t="shared" ca="1" si="116"/>
        <v>0</v>
      </c>
      <c r="Y134" s="159">
        <f t="shared" ca="1" si="116"/>
        <v>0</v>
      </c>
      <c r="Z134" s="159">
        <f t="shared" ca="1" si="116"/>
        <v>0</v>
      </c>
      <c r="AA134" s="159">
        <f t="shared" ca="1" si="116"/>
        <v>0</v>
      </c>
    </row>
    <row r="135" spans="2:27" ht="14.5" outlineLevel="1" x14ac:dyDescent="0.35">
      <c r="B135" s="160" t="s">
        <v>105</v>
      </c>
      <c r="C135" s="160"/>
      <c r="D135" s="160"/>
      <c r="E135" s="160"/>
      <c r="F135" s="159">
        <f t="shared" ref="F135:P135" ca="1" si="117">IF(F126="","",F134/$I$16*$H$16)</f>
        <v>0</v>
      </c>
      <c r="G135" s="159">
        <f t="shared" ca="1" si="117"/>
        <v>0</v>
      </c>
      <c r="H135" s="159">
        <f t="shared" ca="1" si="117"/>
        <v>0</v>
      </c>
      <c r="I135" s="159">
        <f t="shared" ca="1" si="117"/>
        <v>0</v>
      </c>
      <c r="J135" s="159">
        <f t="shared" ca="1" si="117"/>
        <v>0</v>
      </c>
      <c r="K135" s="159">
        <f t="shared" ca="1" si="117"/>
        <v>0</v>
      </c>
      <c r="L135" s="159">
        <f t="shared" ca="1" si="117"/>
        <v>0</v>
      </c>
      <c r="M135" s="159">
        <f t="shared" ca="1" si="117"/>
        <v>0</v>
      </c>
      <c r="N135" s="159">
        <f t="shared" ca="1" si="117"/>
        <v>0</v>
      </c>
      <c r="O135" s="159">
        <f t="shared" ca="1" si="117"/>
        <v>0</v>
      </c>
      <c r="P135" s="159">
        <f t="shared" ca="1" si="117"/>
        <v>0</v>
      </c>
      <c r="R135" s="160" t="s">
        <v>105</v>
      </c>
      <c r="S135" s="160"/>
      <c r="T135" s="160"/>
      <c r="U135" s="160"/>
      <c r="V135" s="159">
        <f t="shared" ref="V135:AA135" ca="1" si="118">IF(V126="","",V134/$Y$16*$X$16)</f>
        <v>0</v>
      </c>
      <c r="W135" s="159">
        <f t="shared" ca="1" si="118"/>
        <v>0</v>
      </c>
      <c r="X135" s="159">
        <f t="shared" ca="1" si="118"/>
        <v>0</v>
      </c>
      <c r="Y135" s="159">
        <f t="shared" ca="1" si="118"/>
        <v>0</v>
      </c>
      <c r="Z135" s="159">
        <f t="shared" ca="1" si="118"/>
        <v>0</v>
      </c>
      <c r="AA135" s="159">
        <f t="shared" ca="1" si="118"/>
        <v>0</v>
      </c>
    </row>
    <row r="136" spans="2:27" ht="14.5" outlineLevel="1" x14ac:dyDescent="0.35">
      <c r="B136" s="160" t="str">
        <f>"Total Distributions ("&amp;B124&amp;")"</f>
        <v>Total Distributions (Tier 3)</v>
      </c>
      <c r="C136" s="160"/>
      <c r="D136" s="160"/>
      <c r="E136" s="160"/>
      <c r="F136" s="159">
        <f t="shared" ref="F136:P136" ca="1" si="119">IF(F126="","",F134+F135)</f>
        <v>0</v>
      </c>
      <c r="G136" s="159">
        <f t="shared" ca="1" si="119"/>
        <v>0</v>
      </c>
      <c r="H136" s="159">
        <f t="shared" ca="1" si="119"/>
        <v>0</v>
      </c>
      <c r="I136" s="159">
        <f t="shared" ca="1" si="119"/>
        <v>0</v>
      </c>
      <c r="J136" s="159">
        <f t="shared" ca="1" si="119"/>
        <v>0</v>
      </c>
      <c r="K136" s="159">
        <f t="shared" ca="1" si="119"/>
        <v>0</v>
      </c>
      <c r="L136" s="159">
        <f t="shared" ca="1" si="119"/>
        <v>0</v>
      </c>
      <c r="M136" s="159">
        <f t="shared" ca="1" si="119"/>
        <v>0</v>
      </c>
      <c r="N136" s="159">
        <f t="shared" ca="1" si="119"/>
        <v>0</v>
      </c>
      <c r="O136" s="159">
        <f t="shared" ca="1" si="119"/>
        <v>0</v>
      </c>
      <c r="P136" s="159">
        <f t="shared" ca="1" si="119"/>
        <v>0</v>
      </c>
      <c r="R136" s="160" t="str">
        <f>"Total Distributions ("&amp;R124&amp;")"</f>
        <v>Total Distributions (Tier 3)</v>
      </c>
      <c r="S136" s="160"/>
      <c r="T136" s="160"/>
      <c r="U136" s="160"/>
      <c r="V136" s="159">
        <f t="shared" ref="V136:AA136" ca="1" si="120">IF(V126="","",V134+V135)</f>
        <v>0</v>
      </c>
      <c r="W136" s="159">
        <f t="shared" ca="1" si="120"/>
        <v>0</v>
      </c>
      <c r="X136" s="159">
        <f t="shared" ca="1" si="120"/>
        <v>0</v>
      </c>
      <c r="Y136" s="159">
        <f t="shared" ca="1" si="120"/>
        <v>0</v>
      </c>
      <c r="Z136" s="159">
        <f t="shared" ca="1" si="120"/>
        <v>0</v>
      </c>
      <c r="AA136" s="159">
        <f t="shared" ca="1" si="120"/>
        <v>0</v>
      </c>
    </row>
    <row r="137" spans="2:27" ht="14.5" outlineLevel="1" x14ac:dyDescent="0.35">
      <c r="B137" s="160" t="s">
        <v>104</v>
      </c>
      <c r="C137" s="160"/>
      <c r="D137" s="160"/>
      <c r="E137" s="160"/>
      <c r="F137" s="159">
        <f t="shared" ref="F137:P137" ca="1" si="121">IF(F126="","",MAX(F$49-F106-F121-F136,0))</f>
        <v>0</v>
      </c>
      <c r="G137" s="159">
        <f t="shared" ca="1" si="121"/>
        <v>0</v>
      </c>
      <c r="H137" s="159">
        <f t="shared" ca="1" si="121"/>
        <v>0</v>
      </c>
      <c r="I137" s="159">
        <f t="shared" ca="1" si="121"/>
        <v>0</v>
      </c>
      <c r="J137" s="159">
        <f t="shared" ca="1" si="121"/>
        <v>0</v>
      </c>
      <c r="K137" s="159">
        <f t="shared" ca="1" si="121"/>
        <v>0</v>
      </c>
      <c r="L137" s="159">
        <f t="shared" ca="1" si="121"/>
        <v>0</v>
      </c>
      <c r="M137" s="159">
        <f t="shared" ca="1" si="121"/>
        <v>0</v>
      </c>
      <c r="N137" s="159">
        <f t="shared" ca="1" si="121"/>
        <v>0</v>
      </c>
      <c r="O137" s="159">
        <f t="shared" ca="1" si="121"/>
        <v>0</v>
      </c>
      <c r="P137" s="159">
        <f t="shared" ca="1" si="121"/>
        <v>5359617.6742445659</v>
      </c>
      <c r="R137" s="160" t="s">
        <v>104</v>
      </c>
      <c r="S137" s="160"/>
      <c r="T137" s="160"/>
      <c r="U137" s="160"/>
      <c r="V137" s="159">
        <f t="shared" ref="V137:AA137" ca="1" si="122">IF(V126="","",MAX(V$49-V106-V121-V136,0))</f>
        <v>0</v>
      </c>
      <c r="W137" s="159">
        <f t="shared" ca="1" si="122"/>
        <v>0</v>
      </c>
      <c r="X137" s="159">
        <f t="shared" ca="1" si="122"/>
        <v>0</v>
      </c>
      <c r="Y137" s="159">
        <f t="shared" ca="1" si="122"/>
        <v>0</v>
      </c>
      <c r="Z137" s="159">
        <f t="shared" ca="1" si="122"/>
        <v>0</v>
      </c>
      <c r="AA137" s="159">
        <f t="shared" ca="1" si="122"/>
        <v>2268662.6361319828</v>
      </c>
    </row>
    <row r="138" spans="2:27" ht="14.5" outlineLevel="1" x14ac:dyDescent="0.35">
      <c r="B138" s="160"/>
      <c r="C138" s="160"/>
      <c r="D138" s="160"/>
      <c r="E138" s="160"/>
      <c r="F138" s="162"/>
      <c r="G138" s="162"/>
      <c r="H138" s="162"/>
      <c r="I138" s="162"/>
      <c r="J138" s="162"/>
      <c r="K138" s="162"/>
      <c r="L138" s="162"/>
      <c r="M138" s="162"/>
      <c r="N138" s="162"/>
      <c r="O138" s="162"/>
      <c r="P138" s="162"/>
      <c r="R138" s="160"/>
      <c r="S138" s="160"/>
      <c r="T138" s="160"/>
      <c r="U138" s="160"/>
      <c r="V138" s="162"/>
      <c r="W138" s="162"/>
      <c r="X138" s="162"/>
      <c r="Y138" s="162"/>
      <c r="Z138" s="162"/>
      <c r="AA138" s="162"/>
    </row>
    <row r="139" spans="2:27" ht="15.5" outlineLevel="1" x14ac:dyDescent="0.35">
      <c r="B139" s="168" t="s">
        <v>108</v>
      </c>
      <c r="C139" s="167"/>
      <c r="D139" s="167"/>
      <c r="E139" s="167"/>
      <c r="F139" s="166" t="s">
        <v>30</v>
      </c>
      <c r="G139" s="165">
        <f t="shared" ref="G139:P139" ca="1" si="123">G$19</f>
        <v>1</v>
      </c>
      <c r="H139" s="165">
        <f t="shared" ca="1" si="123"/>
        <v>2</v>
      </c>
      <c r="I139" s="165">
        <f t="shared" ca="1" si="123"/>
        <v>3</v>
      </c>
      <c r="J139" s="165">
        <f t="shared" ca="1" si="123"/>
        <v>4</v>
      </c>
      <c r="K139" s="165">
        <f t="shared" ca="1" si="123"/>
        <v>5</v>
      </c>
      <c r="L139" s="165">
        <f t="shared" ca="1" si="123"/>
        <v>6</v>
      </c>
      <c r="M139" s="165">
        <f t="shared" ca="1" si="123"/>
        <v>7</v>
      </c>
      <c r="N139" s="165">
        <f t="shared" ca="1" si="123"/>
        <v>8</v>
      </c>
      <c r="O139" s="165">
        <f t="shared" ca="1" si="123"/>
        <v>9</v>
      </c>
      <c r="P139" s="165">
        <f t="shared" ca="1" si="123"/>
        <v>10</v>
      </c>
      <c r="R139" s="168" t="s">
        <v>108</v>
      </c>
      <c r="S139" s="167"/>
      <c r="T139" s="167"/>
      <c r="U139" s="167"/>
      <c r="V139" s="166" t="s">
        <v>30</v>
      </c>
      <c r="W139" s="165">
        <f ca="1">W$19</f>
        <v>1</v>
      </c>
      <c r="X139" s="165">
        <f ca="1">X$19</f>
        <v>2</v>
      </c>
      <c r="Y139" s="165">
        <f ca="1">Y$19</f>
        <v>3</v>
      </c>
      <c r="Z139" s="165">
        <f ca="1">Z$19</f>
        <v>4</v>
      </c>
      <c r="AA139" s="165">
        <f ca="1">AA$19</f>
        <v>5</v>
      </c>
    </row>
    <row r="140" spans="2:27" ht="14.5" outlineLevel="1" x14ac:dyDescent="0.35">
      <c r="B140" s="164" t="s">
        <v>107</v>
      </c>
      <c r="C140" s="163">
        <f>C125</f>
        <v>0</v>
      </c>
      <c r="D140" s="160"/>
      <c r="E140" s="160"/>
      <c r="F140" s="162"/>
      <c r="G140" s="161"/>
      <c r="H140" s="161"/>
      <c r="I140" s="161"/>
      <c r="J140" s="161"/>
      <c r="K140" s="161"/>
      <c r="L140" s="161"/>
      <c r="M140" s="161"/>
      <c r="N140" s="161"/>
      <c r="O140" s="161"/>
      <c r="P140" s="161"/>
      <c r="R140" s="164" t="s">
        <v>107</v>
      </c>
      <c r="S140" s="163">
        <f>S125</f>
        <v>0</v>
      </c>
      <c r="T140" s="160"/>
      <c r="U140" s="160"/>
      <c r="V140" s="162"/>
      <c r="W140" s="161"/>
      <c r="X140" s="161"/>
      <c r="Y140" s="161"/>
      <c r="Z140" s="161"/>
      <c r="AA140" s="161"/>
    </row>
    <row r="141" spans="2:27" ht="14.5" outlineLevel="1" x14ac:dyDescent="0.35">
      <c r="B141" s="160" t="s">
        <v>106</v>
      </c>
      <c r="C141" s="160"/>
      <c r="D141" s="160"/>
      <c r="E141" s="160"/>
      <c r="F141" s="159">
        <f t="shared" ref="F141:P141" ca="1" si="124">IF(F126="","",F137*$I$17)</f>
        <v>0</v>
      </c>
      <c r="G141" s="159">
        <f t="shared" ca="1" si="124"/>
        <v>0</v>
      </c>
      <c r="H141" s="159">
        <f t="shared" ca="1" si="124"/>
        <v>0</v>
      </c>
      <c r="I141" s="159">
        <f t="shared" ca="1" si="124"/>
        <v>0</v>
      </c>
      <c r="J141" s="159">
        <f t="shared" ca="1" si="124"/>
        <v>0</v>
      </c>
      <c r="K141" s="159">
        <f t="shared" ca="1" si="124"/>
        <v>0</v>
      </c>
      <c r="L141" s="159">
        <f t="shared" ca="1" si="124"/>
        <v>0</v>
      </c>
      <c r="M141" s="159">
        <f t="shared" ca="1" si="124"/>
        <v>0</v>
      </c>
      <c r="N141" s="159">
        <f t="shared" ca="1" si="124"/>
        <v>0</v>
      </c>
      <c r="O141" s="159">
        <f t="shared" ca="1" si="124"/>
        <v>0</v>
      </c>
      <c r="P141" s="159">
        <f t="shared" ca="1" si="124"/>
        <v>4823655.9068201091</v>
      </c>
      <c r="R141" s="160" t="s">
        <v>106</v>
      </c>
      <c r="S141" s="160"/>
      <c r="T141" s="160"/>
      <c r="U141" s="160"/>
      <c r="V141" s="159">
        <f t="shared" ref="V141:AA141" ca="1" si="125">IF(V126="","",V137*$Y$17)</f>
        <v>0</v>
      </c>
      <c r="W141" s="159">
        <f t="shared" ca="1" si="125"/>
        <v>0</v>
      </c>
      <c r="X141" s="159">
        <f t="shared" ca="1" si="125"/>
        <v>0</v>
      </c>
      <c r="Y141" s="159">
        <f t="shared" ca="1" si="125"/>
        <v>0</v>
      </c>
      <c r="Z141" s="159">
        <f t="shared" ca="1" si="125"/>
        <v>0</v>
      </c>
      <c r="AA141" s="159">
        <f t="shared" ca="1" si="125"/>
        <v>2041796.3725187846</v>
      </c>
    </row>
    <row r="142" spans="2:27" ht="14.5" outlineLevel="1" x14ac:dyDescent="0.35">
      <c r="B142" s="160" t="s">
        <v>105</v>
      </c>
      <c r="C142" s="160"/>
      <c r="D142" s="160"/>
      <c r="E142" s="160"/>
      <c r="F142" s="159">
        <f t="shared" ref="F142:P142" ca="1" si="126">IF(F141="","",F137-F141)</f>
        <v>0</v>
      </c>
      <c r="G142" s="159">
        <f t="shared" ca="1" si="126"/>
        <v>0</v>
      </c>
      <c r="H142" s="159">
        <f t="shared" ca="1" si="126"/>
        <v>0</v>
      </c>
      <c r="I142" s="159">
        <f t="shared" ca="1" si="126"/>
        <v>0</v>
      </c>
      <c r="J142" s="159">
        <f t="shared" ca="1" si="126"/>
        <v>0</v>
      </c>
      <c r="K142" s="159">
        <f t="shared" ca="1" si="126"/>
        <v>0</v>
      </c>
      <c r="L142" s="159">
        <f t="shared" ca="1" si="126"/>
        <v>0</v>
      </c>
      <c r="M142" s="159">
        <f t="shared" ca="1" si="126"/>
        <v>0</v>
      </c>
      <c r="N142" s="159">
        <f t="shared" ca="1" si="126"/>
        <v>0</v>
      </c>
      <c r="O142" s="159">
        <f t="shared" ca="1" si="126"/>
        <v>0</v>
      </c>
      <c r="P142" s="159">
        <f t="shared" ca="1" si="126"/>
        <v>535961.76742445678</v>
      </c>
      <c r="R142" s="160" t="s">
        <v>105</v>
      </c>
      <c r="S142" s="160"/>
      <c r="T142" s="160"/>
      <c r="U142" s="160"/>
      <c r="V142" s="159">
        <f t="shared" ref="V142:AA142" ca="1" si="127">IF(V141="","",V137-V141)</f>
        <v>0</v>
      </c>
      <c r="W142" s="159">
        <f t="shared" ca="1" si="127"/>
        <v>0</v>
      </c>
      <c r="X142" s="159">
        <f t="shared" ca="1" si="127"/>
        <v>0</v>
      </c>
      <c r="Y142" s="159">
        <f t="shared" ca="1" si="127"/>
        <v>0</v>
      </c>
      <c r="Z142" s="159">
        <f t="shared" ca="1" si="127"/>
        <v>0</v>
      </c>
      <c r="AA142" s="159">
        <f t="shared" ca="1" si="127"/>
        <v>226866.26361319819</v>
      </c>
    </row>
    <row r="143" spans="2:27" ht="14.5" outlineLevel="1" x14ac:dyDescent="0.35">
      <c r="B143" s="160" t="str">
        <f>"Total Distributions ("&amp;B139&amp;")"</f>
        <v>Total Distributions (Tier 4)</v>
      </c>
      <c r="C143" s="160"/>
      <c r="D143" s="160"/>
      <c r="E143" s="160"/>
      <c r="F143" s="159">
        <f t="shared" ref="F143:P143" ca="1" si="128">IF(F141="","",F141+F142)</f>
        <v>0</v>
      </c>
      <c r="G143" s="159">
        <f t="shared" ca="1" si="128"/>
        <v>0</v>
      </c>
      <c r="H143" s="159">
        <f t="shared" ca="1" si="128"/>
        <v>0</v>
      </c>
      <c r="I143" s="159">
        <f t="shared" ca="1" si="128"/>
        <v>0</v>
      </c>
      <c r="J143" s="159">
        <f t="shared" ca="1" si="128"/>
        <v>0</v>
      </c>
      <c r="K143" s="159">
        <f t="shared" ca="1" si="128"/>
        <v>0</v>
      </c>
      <c r="L143" s="159">
        <f t="shared" ca="1" si="128"/>
        <v>0</v>
      </c>
      <c r="M143" s="159">
        <f t="shared" ca="1" si="128"/>
        <v>0</v>
      </c>
      <c r="N143" s="159">
        <f t="shared" ca="1" si="128"/>
        <v>0</v>
      </c>
      <c r="O143" s="159">
        <f t="shared" ca="1" si="128"/>
        <v>0</v>
      </c>
      <c r="P143" s="159">
        <f t="shared" ca="1" si="128"/>
        <v>5359617.6742445659</v>
      </c>
      <c r="R143" s="160" t="str">
        <f>"Total Distributions ("&amp;R139&amp;")"</f>
        <v>Total Distributions (Tier 4)</v>
      </c>
      <c r="S143" s="160"/>
      <c r="T143" s="160"/>
      <c r="U143" s="160"/>
      <c r="V143" s="159">
        <f t="shared" ref="V143:AA143" ca="1" si="129">IF(V141="","",V141+V142)</f>
        <v>0</v>
      </c>
      <c r="W143" s="159">
        <f t="shared" ca="1" si="129"/>
        <v>0</v>
      </c>
      <c r="X143" s="159">
        <f t="shared" ca="1" si="129"/>
        <v>0</v>
      </c>
      <c r="Y143" s="159">
        <f t="shared" ca="1" si="129"/>
        <v>0</v>
      </c>
      <c r="Z143" s="159">
        <f t="shared" ca="1" si="129"/>
        <v>0</v>
      </c>
      <c r="AA143" s="159">
        <f t="shared" ca="1" si="129"/>
        <v>2268662.6361319828</v>
      </c>
    </row>
    <row r="144" spans="2:27" ht="14.5" outlineLevel="1" x14ac:dyDescent="0.35">
      <c r="B144" s="160" t="s">
        <v>104</v>
      </c>
      <c r="C144" s="160"/>
      <c r="D144" s="160"/>
      <c r="E144" s="160"/>
      <c r="F144" s="159">
        <f t="shared" ref="F144:P144" ca="1" si="130">IF(F141="","",F137-F143)</f>
        <v>0</v>
      </c>
      <c r="G144" s="159">
        <f t="shared" ca="1" si="130"/>
        <v>0</v>
      </c>
      <c r="H144" s="159">
        <f t="shared" ca="1" si="130"/>
        <v>0</v>
      </c>
      <c r="I144" s="159">
        <f t="shared" ca="1" si="130"/>
        <v>0</v>
      </c>
      <c r="J144" s="159">
        <f t="shared" ca="1" si="130"/>
        <v>0</v>
      </c>
      <c r="K144" s="159">
        <f t="shared" ca="1" si="130"/>
        <v>0</v>
      </c>
      <c r="L144" s="159">
        <f t="shared" ca="1" si="130"/>
        <v>0</v>
      </c>
      <c r="M144" s="159">
        <f t="shared" ca="1" si="130"/>
        <v>0</v>
      </c>
      <c r="N144" s="159">
        <f t="shared" ca="1" si="130"/>
        <v>0</v>
      </c>
      <c r="O144" s="159">
        <f t="shared" ca="1" si="130"/>
        <v>0</v>
      </c>
      <c r="P144" s="159">
        <f t="shared" ca="1" si="130"/>
        <v>0</v>
      </c>
      <c r="R144" s="160" t="s">
        <v>104</v>
      </c>
      <c r="S144" s="160"/>
      <c r="T144" s="160"/>
      <c r="U144" s="160"/>
      <c r="V144" s="159">
        <f t="shared" ref="V144:AA144" ca="1" si="131">IF(V141="","",V137-V143)</f>
        <v>0</v>
      </c>
      <c r="W144" s="159">
        <f t="shared" ca="1" si="131"/>
        <v>0</v>
      </c>
      <c r="X144" s="159">
        <f t="shared" ca="1" si="131"/>
        <v>0</v>
      </c>
      <c r="Y144" s="159">
        <f t="shared" ca="1" si="131"/>
        <v>0</v>
      </c>
      <c r="Z144" s="159">
        <f t="shared" ca="1" si="131"/>
        <v>0</v>
      </c>
      <c r="AA144" s="159">
        <f t="shared" ca="1" si="131"/>
        <v>0</v>
      </c>
    </row>
    <row r="145" spans="2:27" ht="0" hidden="1" customHeight="1" x14ac:dyDescent="0.35">
      <c r="B145" s="158"/>
      <c r="C145" s="158"/>
      <c r="D145" s="158"/>
      <c r="E145" s="158"/>
      <c r="F145" s="157"/>
      <c r="G145" s="157"/>
      <c r="H145" s="157"/>
      <c r="I145" s="157"/>
      <c r="J145" s="157"/>
      <c r="K145" s="157"/>
      <c r="L145" s="157"/>
      <c r="M145" s="157"/>
      <c r="N145" s="157"/>
      <c r="O145" s="157"/>
      <c r="P145" s="157"/>
      <c r="R145" s="158"/>
      <c r="S145" s="158"/>
      <c r="T145" s="158"/>
      <c r="U145" s="158"/>
      <c r="V145" s="157"/>
      <c r="W145" s="157"/>
      <c r="X145" s="157"/>
      <c r="Y145" s="157"/>
      <c r="Z145" s="157"/>
      <c r="AA145" s="157"/>
    </row>
  </sheetData>
  <sheetProtection formatCells="0" formatColumns="0" formatRows="0" insertColumns="0" insertRows="0" insertHyperlinks="0" deleteColumns="0" deleteRows="0" selectLockedCells="1" sort="0" autoFilter="0" pivotTables="0"/>
  <mergeCells count="24">
    <mergeCell ref="Z14:AA14"/>
    <mergeCell ref="F12:G13"/>
    <mergeCell ref="H12:I12"/>
    <mergeCell ref="V12:W13"/>
    <mergeCell ref="X12:Y12"/>
    <mergeCell ref="J14:N14"/>
    <mergeCell ref="J15:N15"/>
    <mergeCell ref="Z15:AA15"/>
    <mergeCell ref="J16:N16"/>
    <mergeCell ref="Z16:AA16"/>
    <mergeCell ref="J17:N17"/>
    <mergeCell ref="Z17:AA17"/>
    <mergeCell ref="F56:G57"/>
    <mergeCell ref="H56:I56"/>
    <mergeCell ref="V56:W57"/>
    <mergeCell ref="X56:Y56"/>
    <mergeCell ref="J58:N58"/>
    <mergeCell ref="J61:N61"/>
    <mergeCell ref="Z61:AA61"/>
    <mergeCell ref="Z58:AA58"/>
    <mergeCell ref="J59:N59"/>
    <mergeCell ref="Z59:AA59"/>
    <mergeCell ref="J60:N60"/>
    <mergeCell ref="Z60:AA60"/>
  </mergeCells>
  <conditionalFormatting sqref="C14:C17">
    <cfRule type="expression" dxfId="12" priority="8">
      <formula>$D$4="IRR"</formula>
    </cfRule>
  </conditionalFormatting>
  <conditionalFormatting sqref="D14:D17">
    <cfRule type="expression" dxfId="11" priority="10">
      <formula>$D$4="Equity Multiple"</formula>
    </cfRule>
  </conditionalFormatting>
  <conditionalFormatting sqref="E5">
    <cfRule type="expression" dxfId="10" priority="6">
      <formula>$H$14&gt;=$C$8</formula>
    </cfRule>
  </conditionalFormatting>
  <conditionalFormatting sqref="E14:E17 J14:N17">
    <cfRule type="expression" dxfId="9" priority="7">
      <formula>$D$4="IRR + Emx"</formula>
    </cfRule>
  </conditionalFormatting>
  <conditionalFormatting sqref="L8">
    <cfRule type="expression" dxfId="8" priority="11">
      <formula>$L$8="OK"</formula>
    </cfRule>
  </conditionalFormatting>
  <conditionalFormatting sqref="S14:S17">
    <cfRule type="expression" dxfId="7" priority="3">
      <formula>$D$4="IRR"</formula>
    </cfRule>
  </conditionalFormatting>
  <conditionalFormatting sqref="T14:T17">
    <cfRule type="expression" dxfId="6" priority="5">
      <formula>$D$4="Equity Multiple"</formula>
    </cfRule>
  </conditionalFormatting>
  <conditionalFormatting sqref="U5">
    <cfRule type="expression" dxfId="5" priority="1">
      <formula>$H$14&gt;=$C$8</formula>
    </cfRule>
  </conditionalFormatting>
  <conditionalFormatting sqref="U14:U17 Z14:AA17">
    <cfRule type="expression" dxfId="4" priority="2">
      <formula>$D$4="IRR + Emx"</formula>
    </cfRule>
  </conditionalFormatting>
  <dataValidations disablePrompts="1" count="2">
    <dataValidation type="list" allowBlank="1" showInputMessage="1" showErrorMessage="1" sqref="E5 U5" xr:uid="{16188256-927F-4221-9871-F444203ECFB3}">
      <formula1>"Yes, No"</formula1>
    </dataValidation>
    <dataValidation type="list" allowBlank="1" showInputMessage="1" showErrorMessage="1" sqref="D55 T55" xr:uid="{0D2C9B50-7141-4FFA-8497-228FD7BF600E}">
      <formula1>"IRR"</formula1>
    </dataValidation>
  </dataValidations>
  <pageMargins left="0.7" right="0.7" top="0.75" bottom="0.75" header="0.3" footer="0.3"/>
  <pageSetup scale="25" orientation="landscape" horizontalDpi="4294967294" verticalDpi="1200" r:id="rId1"/>
  <headerFooter>
    <oddFooter>&amp;LCONFIDENTIAL&amp;RNEWMARK</oddFooter>
  </headerFooter>
  <ignoredErrors>
    <ignoredError sqref="C8:C9 F46:P49 S8:S9 V80:W86 F80:G84 T59:T61 X81:AA84 V45:AA54 F45:P45 H81:P84 F44 V44" unlockedFormula="1"/>
    <ignoredError sqref="D59:E61" formula="1" unlockedFormula="1"/>
    <ignoredError sqref="D62:E73 U59:U60"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41BDC-794A-484F-9235-3D21FCA6FE0C}">
  <sheetPr codeName="Sheet7">
    <tabColor theme="0" tint="-0.499984740745262"/>
    <pageSetUpPr fitToPage="1"/>
  </sheetPr>
  <dimension ref="B1:FS364"/>
  <sheetViews>
    <sheetView zoomScale="56" zoomScaleNormal="60" workbookViewId="0">
      <selection activeCell="O24" sqref="O24"/>
    </sheetView>
  </sheetViews>
  <sheetFormatPr defaultColWidth="8.7265625" defaultRowHeight="14.5" x14ac:dyDescent="0.35"/>
  <cols>
    <col min="1" max="1" width="3" style="1" customWidth="1"/>
    <col min="2" max="2" width="22.1796875" style="1" customWidth="1"/>
    <col min="3" max="3" width="15.7265625" style="1" bestFit="1" customWidth="1"/>
    <col min="4" max="4" width="4.54296875" style="1" customWidth="1"/>
    <col min="5" max="6" width="14.54296875" style="1" customWidth="1"/>
    <col min="7" max="7" width="16.453125" style="1" bestFit="1" customWidth="1"/>
    <col min="8" max="10" width="14.54296875" style="1" customWidth="1"/>
    <col min="11" max="11" width="18.54296875" style="1" bestFit="1" customWidth="1"/>
    <col min="12" max="12" width="18.26953125" style="1" bestFit="1" customWidth="1"/>
    <col min="13" max="13" width="14.54296875" style="1" customWidth="1"/>
    <col min="14" max="14" width="4.54296875" style="1" customWidth="1"/>
    <col min="15" max="15" width="10.54296875" style="1" bestFit="1" customWidth="1"/>
    <col min="16" max="16" width="14.453125" style="1" bestFit="1" customWidth="1"/>
    <col min="17" max="17" width="11.54296875" style="1" bestFit="1" customWidth="1"/>
    <col min="18" max="18" width="4.54296875" style="1" customWidth="1"/>
    <col min="19" max="19" width="37.81640625" style="1" customWidth="1"/>
    <col min="20" max="20" width="23.453125" style="1" bestFit="1" customWidth="1"/>
    <col min="21" max="21" width="9.81640625" style="1" bestFit="1" customWidth="1"/>
    <col min="22" max="22" width="4.54296875" style="1" customWidth="1"/>
    <col min="23" max="23" width="44.453125" style="1" bestFit="1" customWidth="1"/>
    <col min="24" max="175" width="11.54296875" style="1" customWidth="1"/>
    <col min="176" max="16384" width="8.7265625" style="1"/>
  </cols>
  <sheetData>
    <row r="1" spans="2:175" ht="15" thickBot="1" x14ac:dyDescent="0.4"/>
    <row r="2" spans="2:175" ht="15" thickBot="1" x14ac:dyDescent="0.4">
      <c r="B2" s="1284" t="s">
        <v>266</v>
      </c>
      <c r="C2" s="1286"/>
      <c r="D2" s="606"/>
      <c r="E2" s="1284" t="s">
        <v>308</v>
      </c>
      <c r="F2" s="1285"/>
      <c r="G2" s="1285"/>
      <c r="H2" s="1285"/>
      <c r="I2" s="1285"/>
      <c r="J2" s="1285"/>
      <c r="K2" s="1285"/>
      <c r="L2" s="1285"/>
      <c r="M2" s="1286"/>
      <c r="O2" s="1312" t="s">
        <v>309</v>
      </c>
      <c r="P2" s="1313"/>
      <c r="Q2" s="1314"/>
      <c r="S2" s="607" t="s">
        <v>310</v>
      </c>
      <c r="T2" s="608"/>
      <c r="W2" s="1281" t="s">
        <v>311</v>
      </c>
      <c r="X2" s="1282"/>
      <c r="Y2" s="1282"/>
      <c r="Z2" s="1282"/>
      <c r="AA2" s="1282"/>
      <c r="AB2" s="1282"/>
      <c r="AC2" s="1282"/>
      <c r="AD2" s="1282"/>
      <c r="AE2" s="1282"/>
      <c r="AF2" s="1282"/>
      <c r="AG2" s="1282"/>
      <c r="AH2" s="1282"/>
      <c r="AI2" s="1282"/>
      <c r="AJ2" s="1282"/>
      <c r="AK2" s="1282"/>
      <c r="AL2" s="1282"/>
      <c r="AM2" s="1282"/>
      <c r="AN2" s="1282"/>
      <c r="AO2" s="1282"/>
      <c r="AP2" s="1282"/>
      <c r="AQ2" s="1282"/>
      <c r="AR2" s="1282"/>
      <c r="AS2" s="1282"/>
      <c r="AT2" s="1282"/>
      <c r="AU2" s="1282"/>
      <c r="AV2" s="1282"/>
      <c r="AW2" s="1282"/>
      <c r="AX2" s="1282"/>
      <c r="AY2" s="1282"/>
      <c r="AZ2" s="1282"/>
      <c r="BA2" s="1282"/>
      <c r="BB2" s="1282"/>
      <c r="BC2" s="1282"/>
      <c r="BD2" s="1282"/>
      <c r="BE2" s="1282"/>
      <c r="BF2" s="1282"/>
      <c r="BG2" s="1282"/>
      <c r="BH2" s="1282"/>
      <c r="BI2" s="1282"/>
      <c r="BJ2" s="1282"/>
      <c r="BK2" s="1282"/>
      <c r="BL2" s="1282"/>
      <c r="BM2" s="1282"/>
      <c r="BN2" s="1282"/>
      <c r="BO2" s="1282"/>
      <c r="BP2" s="1282"/>
      <c r="BQ2" s="1282"/>
      <c r="BR2" s="1282"/>
      <c r="BS2" s="1282"/>
      <c r="BT2" s="1282"/>
      <c r="BU2" s="1282"/>
      <c r="BV2" s="1282"/>
      <c r="BW2" s="1282"/>
      <c r="BX2" s="1282"/>
      <c r="BY2" s="1282"/>
      <c r="BZ2" s="1282"/>
      <c r="CA2" s="1282"/>
      <c r="CB2" s="1282"/>
      <c r="CC2" s="1282"/>
      <c r="CD2" s="1282"/>
      <c r="CE2" s="1282"/>
      <c r="CF2" s="1282"/>
      <c r="CG2" s="1282"/>
      <c r="CH2" s="1282"/>
      <c r="CI2" s="1282"/>
      <c r="CJ2" s="1282"/>
      <c r="CK2" s="1282"/>
      <c r="CL2" s="1282"/>
      <c r="CM2" s="1282"/>
      <c r="CN2" s="1282"/>
      <c r="CO2" s="1282"/>
      <c r="CP2" s="1282"/>
      <c r="CQ2" s="1282"/>
      <c r="CR2" s="1282"/>
      <c r="CS2" s="1282"/>
      <c r="CT2" s="1282"/>
      <c r="CU2" s="1282"/>
      <c r="CV2" s="1282"/>
      <c r="CW2" s="1282"/>
      <c r="CX2" s="1282"/>
      <c r="CY2" s="1282"/>
      <c r="CZ2" s="1282"/>
      <c r="DA2" s="1282"/>
      <c r="DB2" s="1282"/>
      <c r="DC2" s="1282"/>
      <c r="DD2" s="1282"/>
      <c r="DE2" s="1282"/>
      <c r="DF2" s="1282"/>
      <c r="DG2" s="1282"/>
      <c r="DH2" s="1282"/>
      <c r="DI2" s="1282"/>
      <c r="DJ2" s="1282"/>
      <c r="DK2" s="1282"/>
      <c r="DL2" s="1282"/>
      <c r="DM2" s="1282"/>
      <c r="DN2" s="1282"/>
      <c r="DO2" s="1282"/>
      <c r="DP2" s="1282"/>
      <c r="DQ2" s="1282"/>
      <c r="DR2" s="1282"/>
      <c r="DS2" s="1282"/>
      <c r="DT2" s="1282"/>
      <c r="DU2" s="1282"/>
      <c r="DV2" s="1282"/>
      <c r="DW2" s="1282"/>
      <c r="DX2" s="1282"/>
      <c r="DY2" s="1282"/>
      <c r="DZ2" s="1282"/>
      <c r="EA2" s="1282"/>
      <c r="EB2" s="1282"/>
      <c r="EC2" s="1282"/>
      <c r="ED2" s="1282"/>
      <c r="EE2" s="1282"/>
      <c r="EF2" s="1282"/>
      <c r="EG2" s="1282"/>
      <c r="EH2" s="1282"/>
      <c r="EI2" s="1282"/>
      <c r="EJ2" s="1282"/>
      <c r="EK2" s="1282"/>
      <c r="EL2" s="1282"/>
      <c r="EM2" s="1282"/>
      <c r="EN2" s="1282"/>
      <c r="EO2" s="1282"/>
      <c r="EP2" s="1282"/>
      <c r="EQ2" s="1282"/>
      <c r="ER2" s="1282"/>
      <c r="ES2" s="1282"/>
      <c r="ET2" s="1282"/>
      <c r="EU2" s="1282"/>
      <c r="EV2" s="1282"/>
      <c r="EW2" s="1282"/>
      <c r="EX2" s="1282"/>
      <c r="EY2" s="1282"/>
      <c r="EZ2" s="1282"/>
      <c r="FA2" s="1282"/>
      <c r="FB2" s="1282"/>
      <c r="FC2" s="1282"/>
      <c r="FD2" s="1282"/>
      <c r="FE2" s="1282"/>
      <c r="FF2" s="1282"/>
      <c r="FG2" s="1282"/>
      <c r="FH2" s="1282"/>
      <c r="FI2" s="1282"/>
      <c r="FJ2" s="1282"/>
      <c r="FK2" s="1282"/>
      <c r="FL2" s="1282"/>
      <c r="FM2" s="1282"/>
      <c r="FN2" s="1282"/>
      <c r="FO2" s="1282"/>
      <c r="FP2" s="1282"/>
      <c r="FQ2" s="1282"/>
      <c r="FR2" s="1282"/>
      <c r="FS2" s="1283"/>
    </row>
    <row r="3" spans="2:175" ht="15" thickBot="1" x14ac:dyDescent="0.4">
      <c r="B3" s="1315" t="s">
        <v>312</v>
      </c>
      <c r="C3" s="1316"/>
      <c r="E3" s="1315" t="s">
        <v>12</v>
      </c>
      <c r="F3" s="1317"/>
      <c r="G3" s="1317"/>
      <c r="H3" s="1317"/>
      <c r="I3" s="1317"/>
      <c r="J3" s="1317"/>
      <c r="K3" s="1317"/>
      <c r="L3" s="1317"/>
      <c r="M3" s="1316"/>
      <c r="O3" s="95" t="s">
        <v>80</v>
      </c>
      <c r="P3" s="107" t="s">
        <v>313</v>
      </c>
      <c r="Q3" s="106" t="s">
        <v>314</v>
      </c>
      <c r="S3" s="112" t="s">
        <v>174</v>
      </c>
      <c r="T3" s="111"/>
      <c r="V3" s="128"/>
      <c r="W3" s="1308" t="s">
        <v>315</v>
      </c>
      <c r="X3" s="1318"/>
      <c r="Y3" s="1318"/>
      <c r="Z3" s="1318"/>
      <c r="AA3" s="1318"/>
      <c r="AB3" s="1318"/>
      <c r="AC3" s="1318"/>
      <c r="AD3" s="1318"/>
      <c r="AE3" s="1318"/>
      <c r="AF3" s="1318"/>
      <c r="AG3" s="1318"/>
      <c r="AH3" s="1318"/>
      <c r="AI3" s="1318"/>
      <c r="AJ3" s="1318"/>
      <c r="AK3" s="1318"/>
      <c r="AL3" s="1318"/>
      <c r="AM3" s="1318"/>
      <c r="AN3" s="1318"/>
      <c r="AO3" s="1318"/>
      <c r="AP3" s="1318"/>
      <c r="AQ3" s="1318"/>
      <c r="AR3" s="1318"/>
      <c r="AS3" s="1318"/>
      <c r="AT3" s="1318"/>
      <c r="AU3" s="1318"/>
      <c r="AV3" s="1318"/>
      <c r="AW3" s="1318"/>
      <c r="AX3" s="1318"/>
      <c r="AY3" s="1318"/>
      <c r="AZ3" s="1318"/>
      <c r="BA3" s="1318"/>
      <c r="BB3" s="1318"/>
      <c r="BC3" s="1318"/>
      <c r="BD3" s="1318"/>
      <c r="BE3" s="1318"/>
      <c r="BF3" s="1318"/>
      <c r="BG3" s="1318"/>
      <c r="BH3" s="1318"/>
      <c r="BI3" s="1318"/>
      <c r="BJ3" s="1318"/>
      <c r="BK3" s="1318"/>
      <c r="BL3" s="1318"/>
      <c r="BM3" s="1318"/>
      <c r="BN3" s="1318"/>
      <c r="BO3" s="1318"/>
      <c r="BP3" s="1318"/>
      <c r="BQ3" s="1318"/>
      <c r="BR3" s="1318"/>
      <c r="BS3" s="1318"/>
      <c r="BT3" s="1318"/>
      <c r="BU3" s="1318"/>
      <c r="BV3" s="1318"/>
      <c r="BW3" s="1318"/>
      <c r="BX3" s="1318"/>
      <c r="BY3" s="1318"/>
      <c r="BZ3" s="1318"/>
      <c r="CA3" s="1318"/>
      <c r="CB3" s="1318"/>
      <c r="CC3" s="1318"/>
      <c r="CD3" s="1318"/>
      <c r="CE3" s="1318"/>
      <c r="CF3" s="1318"/>
      <c r="CG3" s="1318"/>
      <c r="CH3" s="1318"/>
      <c r="CI3" s="1318"/>
      <c r="CJ3" s="1318"/>
      <c r="CK3" s="1318"/>
      <c r="CL3" s="1318"/>
      <c r="CM3" s="1318"/>
      <c r="CN3" s="1318"/>
      <c r="CO3" s="1318"/>
      <c r="CP3" s="1318"/>
      <c r="CQ3" s="1318"/>
      <c r="CR3" s="1318"/>
      <c r="CS3" s="1318"/>
      <c r="CT3" s="1318"/>
      <c r="CU3" s="1318"/>
      <c r="CV3" s="1318"/>
      <c r="CW3" s="1318"/>
      <c r="CX3" s="1318"/>
      <c r="CY3" s="1318"/>
      <c r="CZ3" s="1318"/>
      <c r="DA3" s="1318"/>
      <c r="DB3" s="1318"/>
      <c r="DC3" s="1318"/>
      <c r="DD3" s="1318"/>
      <c r="DE3" s="1318"/>
      <c r="DF3" s="1318"/>
      <c r="DG3" s="1318"/>
      <c r="DH3" s="1318"/>
      <c r="DI3" s="1318"/>
      <c r="DJ3" s="1318"/>
      <c r="DK3" s="1318"/>
      <c r="DL3" s="1318"/>
      <c r="DM3" s="1318"/>
      <c r="DN3" s="1318"/>
      <c r="DO3" s="1318"/>
      <c r="DP3" s="1318"/>
      <c r="DQ3" s="1318"/>
      <c r="DR3" s="1318"/>
      <c r="DS3" s="1318"/>
      <c r="DT3" s="1318"/>
      <c r="DU3" s="1318"/>
      <c r="DV3" s="1318"/>
      <c r="DW3" s="1318"/>
      <c r="DX3" s="1318"/>
      <c r="DY3" s="1318"/>
      <c r="DZ3" s="1318"/>
      <c r="EA3" s="1318"/>
      <c r="EB3" s="1318"/>
      <c r="EC3" s="1318"/>
      <c r="ED3" s="1318"/>
      <c r="EE3" s="1318"/>
      <c r="EF3" s="1318"/>
      <c r="EG3" s="1318"/>
      <c r="EH3" s="1318"/>
      <c r="EI3" s="1318"/>
      <c r="EJ3" s="1318"/>
      <c r="EK3" s="1318"/>
      <c r="EL3" s="1318"/>
      <c r="EM3" s="1318"/>
      <c r="EN3" s="1318"/>
      <c r="EO3" s="1318"/>
      <c r="EP3" s="1318"/>
      <c r="EQ3" s="1318"/>
      <c r="ER3" s="1318"/>
      <c r="ES3" s="1318"/>
      <c r="ET3" s="1318"/>
      <c r="EU3" s="1318"/>
      <c r="EV3" s="1318"/>
      <c r="EW3" s="1318"/>
      <c r="EX3" s="1318"/>
      <c r="EY3" s="1318"/>
      <c r="EZ3" s="1318"/>
      <c r="FA3" s="1318"/>
      <c r="FB3" s="1318"/>
      <c r="FC3" s="1318"/>
      <c r="FD3" s="1318"/>
      <c r="FE3" s="1318"/>
      <c r="FF3" s="1318"/>
      <c r="FG3" s="1318"/>
      <c r="FH3" s="1318"/>
      <c r="FI3" s="1318"/>
      <c r="FJ3" s="1318"/>
      <c r="FK3" s="1318"/>
      <c r="FL3" s="1318"/>
      <c r="FM3" s="1318"/>
      <c r="FN3" s="1318"/>
      <c r="FO3" s="1318"/>
      <c r="FP3" s="1318"/>
      <c r="FQ3" s="1318"/>
      <c r="FR3" s="1318"/>
      <c r="FS3" s="1309"/>
    </row>
    <row r="4" spans="2:175" x14ac:dyDescent="0.35">
      <c r="B4" s="103" t="s">
        <v>316</v>
      </c>
      <c r="C4" s="609">
        <v>360</v>
      </c>
      <c r="E4" s="561" t="s">
        <v>317</v>
      </c>
      <c r="F4" s="562" t="s">
        <v>318</v>
      </c>
      <c r="G4" s="562" t="s">
        <v>319</v>
      </c>
      <c r="H4" s="562" t="s">
        <v>320</v>
      </c>
      <c r="I4" s="562" t="s">
        <v>321</v>
      </c>
      <c r="J4" s="562" t="s">
        <v>314</v>
      </c>
      <c r="K4" s="562" t="s">
        <v>322</v>
      </c>
      <c r="L4" s="562" t="s">
        <v>323</v>
      </c>
      <c r="M4" s="563" t="s">
        <v>1</v>
      </c>
      <c r="O4" s="103" t="s">
        <v>221</v>
      </c>
      <c r="P4" s="140">
        <f>SUM(I5:I16)</f>
        <v>113826.35303223414</v>
      </c>
      <c r="Q4" s="37">
        <f>SUM(J5:J16)</f>
        <v>381098.16696776589</v>
      </c>
      <c r="S4" s="551"/>
      <c r="T4" s="610"/>
      <c r="V4" s="128"/>
      <c r="W4" s="611" t="s">
        <v>5</v>
      </c>
      <c r="X4" s="612">
        <f>F5</f>
        <v>46053</v>
      </c>
      <c r="Y4" s="612">
        <f>EOMONTH(X4,1)</f>
        <v>46081</v>
      </c>
      <c r="Z4" s="612">
        <f t="shared" ref="Z4:CK4" si="0">EOMONTH(Y4,1)</f>
        <v>46112</v>
      </c>
      <c r="AA4" s="612">
        <f t="shared" si="0"/>
        <v>46142</v>
      </c>
      <c r="AB4" s="612">
        <f t="shared" si="0"/>
        <v>46173</v>
      </c>
      <c r="AC4" s="612">
        <f t="shared" si="0"/>
        <v>46203</v>
      </c>
      <c r="AD4" s="612">
        <f t="shared" si="0"/>
        <v>46234</v>
      </c>
      <c r="AE4" s="612">
        <f t="shared" si="0"/>
        <v>46265</v>
      </c>
      <c r="AF4" s="612">
        <f t="shared" si="0"/>
        <v>46295</v>
      </c>
      <c r="AG4" s="612">
        <f t="shared" si="0"/>
        <v>46326</v>
      </c>
      <c r="AH4" s="612">
        <f t="shared" si="0"/>
        <v>46356</v>
      </c>
      <c r="AI4" s="612">
        <f t="shared" si="0"/>
        <v>46387</v>
      </c>
      <c r="AJ4" s="612">
        <f t="shared" si="0"/>
        <v>46418</v>
      </c>
      <c r="AK4" s="612">
        <f t="shared" si="0"/>
        <v>46446</v>
      </c>
      <c r="AL4" s="612">
        <f t="shared" si="0"/>
        <v>46477</v>
      </c>
      <c r="AM4" s="612">
        <f t="shared" si="0"/>
        <v>46507</v>
      </c>
      <c r="AN4" s="612">
        <f t="shared" si="0"/>
        <v>46538</v>
      </c>
      <c r="AO4" s="612">
        <f t="shared" si="0"/>
        <v>46568</v>
      </c>
      <c r="AP4" s="612">
        <f t="shared" si="0"/>
        <v>46599</v>
      </c>
      <c r="AQ4" s="612">
        <f t="shared" si="0"/>
        <v>46630</v>
      </c>
      <c r="AR4" s="612">
        <f t="shared" si="0"/>
        <v>46660</v>
      </c>
      <c r="AS4" s="612">
        <f t="shared" si="0"/>
        <v>46691</v>
      </c>
      <c r="AT4" s="612">
        <f t="shared" si="0"/>
        <v>46721</v>
      </c>
      <c r="AU4" s="612">
        <f t="shared" si="0"/>
        <v>46752</v>
      </c>
      <c r="AV4" s="612">
        <f t="shared" si="0"/>
        <v>46783</v>
      </c>
      <c r="AW4" s="612">
        <f t="shared" si="0"/>
        <v>46812</v>
      </c>
      <c r="AX4" s="612">
        <f t="shared" si="0"/>
        <v>46843</v>
      </c>
      <c r="AY4" s="612">
        <f t="shared" si="0"/>
        <v>46873</v>
      </c>
      <c r="AZ4" s="612">
        <f t="shared" si="0"/>
        <v>46904</v>
      </c>
      <c r="BA4" s="612">
        <f t="shared" si="0"/>
        <v>46934</v>
      </c>
      <c r="BB4" s="612">
        <f t="shared" si="0"/>
        <v>46965</v>
      </c>
      <c r="BC4" s="612">
        <f t="shared" si="0"/>
        <v>46996</v>
      </c>
      <c r="BD4" s="612">
        <f t="shared" si="0"/>
        <v>47026</v>
      </c>
      <c r="BE4" s="612">
        <f t="shared" si="0"/>
        <v>47057</v>
      </c>
      <c r="BF4" s="612">
        <f t="shared" si="0"/>
        <v>47087</v>
      </c>
      <c r="BG4" s="612">
        <f t="shared" si="0"/>
        <v>47118</v>
      </c>
      <c r="BH4" s="612">
        <f t="shared" si="0"/>
        <v>47149</v>
      </c>
      <c r="BI4" s="612">
        <f t="shared" si="0"/>
        <v>47177</v>
      </c>
      <c r="BJ4" s="612">
        <f t="shared" si="0"/>
        <v>47208</v>
      </c>
      <c r="BK4" s="612">
        <f t="shared" si="0"/>
        <v>47238</v>
      </c>
      <c r="BL4" s="612">
        <f t="shared" si="0"/>
        <v>47269</v>
      </c>
      <c r="BM4" s="612">
        <f t="shared" si="0"/>
        <v>47299</v>
      </c>
      <c r="BN4" s="612">
        <f t="shared" si="0"/>
        <v>47330</v>
      </c>
      <c r="BO4" s="612">
        <f t="shared" si="0"/>
        <v>47361</v>
      </c>
      <c r="BP4" s="612">
        <f t="shared" si="0"/>
        <v>47391</v>
      </c>
      <c r="BQ4" s="612">
        <f t="shared" si="0"/>
        <v>47422</v>
      </c>
      <c r="BR4" s="612">
        <f t="shared" si="0"/>
        <v>47452</v>
      </c>
      <c r="BS4" s="612">
        <f t="shared" si="0"/>
        <v>47483</v>
      </c>
      <c r="BT4" s="612">
        <f t="shared" si="0"/>
        <v>47514</v>
      </c>
      <c r="BU4" s="612">
        <f t="shared" si="0"/>
        <v>47542</v>
      </c>
      <c r="BV4" s="612">
        <f t="shared" si="0"/>
        <v>47573</v>
      </c>
      <c r="BW4" s="612">
        <f t="shared" si="0"/>
        <v>47603</v>
      </c>
      <c r="BX4" s="612">
        <f t="shared" si="0"/>
        <v>47634</v>
      </c>
      <c r="BY4" s="612">
        <f t="shared" si="0"/>
        <v>47664</v>
      </c>
      <c r="BZ4" s="612">
        <f t="shared" si="0"/>
        <v>47695</v>
      </c>
      <c r="CA4" s="612">
        <f t="shared" si="0"/>
        <v>47726</v>
      </c>
      <c r="CB4" s="612">
        <f t="shared" si="0"/>
        <v>47756</v>
      </c>
      <c r="CC4" s="612">
        <f t="shared" si="0"/>
        <v>47787</v>
      </c>
      <c r="CD4" s="612">
        <f t="shared" si="0"/>
        <v>47817</v>
      </c>
      <c r="CE4" s="612">
        <f t="shared" si="0"/>
        <v>47848</v>
      </c>
      <c r="CF4" s="612">
        <f t="shared" si="0"/>
        <v>47879</v>
      </c>
      <c r="CG4" s="612">
        <f t="shared" si="0"/>
        <v>47907</v>
      </c>
      <c r="CH4" s="612">
        <f t="shared" si="0"/>
        <v>47938</v>
      </c>
      <c r="CI4" s="612">
        <f t="shared" si="0"/>
        <v>47968</v>
      </c>
      <c r="CJ4" s="612">
        <f t="shared" si="0"/>
        <v>47999</v>
      </c>
      <c r="CK4" s="612">
        <f t="shared" si="0"/>
        <v>48029</v>
      </c>
      <c r="CL4" s="612">
        <f t="shared" ref="CL4:EW4" si="1">EOMONTH(CK4,1)</f>
        <v>48060</v>
      </c>
      <c r="CM4" s="612">
        <f t="shared" si="1"/>
        <v>48091</v>
      </c>
      <c r="CN4" s="612">
        <f t="shared" si="1"/>
        <v>48121</v>
      </c>
      <c r="CO4" s="612">
        <f t="shared" si="1"/>
        <v>48152</v>
      </c>
      <c r="CP4" s="612">
        <f t="shared" si="1"/>
        <v>48182</v>
      </c>
      <c r="CQ4" s="612">
        <f t="shared" si="1"/>
        <v>48213</v>
      </c>
      <c r="CR4" s="612">
        <f t="shared" si="1"/>
        <v>48244</v>
      </c>
      <c r="CS4" s="612">
        <f t="shared" si="1"/>
        <v>48273</v>
      </c>
      <c r="CT4" s="612">
        <f t="shared" si="1"/>
        <v>48304</v>
      </c>
      <c r="CU4" s="612">
        <f t="shared" si="1"/>
        <v>48334</v>
      </c>
      <c r="CV4" s="612">
        <f t="shared" si="1"/>
        <v>48365</v>
      </c>
      <c r="CW4" s="612">
        <f t="shared" si="1"/>
        <v>48395</v>
      </c>
      <c r="CX4" s="612">
        <f t="shared" si="1"/>
        <v>48426</v>
      </c>
      <c r="CY4" s="612">
        <f t="shared" si="1"/>
        <v>48457</v>
      </c>
      <c r="CZ4" s="612">
        <f t="shared" si="1"/>
        <v>48487</v>
      </c>
      <c r="DA4" s="612">
        <f t="shared" si="1"/>
        <v>48518</v>
      </c>
      <c r="DB4" s="612">
        <f t="shared" si="1"/>
        <v>48548</v>
      </c>
      <c r="DC4" s="612">
        <f t="shared" si="1"/>
        <v>48579</v>
      </c>
      <c r="DD4" s="612">
        <f t="shared" si="1"/>
        <v>48610</v>
      </c>
      <c r="DE4" s="612">
        <f t="shared" si="1"/>
        <v>48638</v>
      </c>
      <c r="DF4" s="612">
        <f t="shared" si="1"/>
        <v>48669</v>
      </c>
      <c r="DG4" s="612">
        <f t="shared" si="1"/>
        <v>48699</v>
      </c>
      <c r="DH4" s="612">
        <f t="shared" si="1"/>
        <v>48730</v>
      </c>
      <c r="DI4" s="612">
        <f t="shared" si="1"/>
        <v>48760</v>
      </c>
      <c r="DJ4" s="612">
        <f t="shared" si="1"/>
        <v>48791</v>
      </c>
      <c r="DK4" s="612">
        <f t="shared" si="1"/>
        <v>48822</v>
      </c>
      <c r="DL4" s="612">
        <f t="shared" si="1"/>
        <v>48852</v>
      </c>
      <c r="DM4" s="612">
        <f t="shared" si="1"/>
        <v>48883</v>
      </c>
      <c r="DN4" s="612">
        <f t="shared" si="1"/>
        <v>48913</v>
      </c>
      <c r="DO4" s="612">
        <f t="shared" si="1"/>
        <v>48944</v>
      </c>
      <c r="DP4" s="612">
        <f t="shared" si="1"/>
        <v>48975</v>
      </c>
      <c r="DQ4" s="612">
        <f t="shared" si="1"/>
        <v>49003</v>
      </c>
      <c r="DR4" s="612">
        <f t="shared" si="1"/>
        <v>49034</v>
      </c>
      <c r="DS4" s="612">
        <f t="shared" si="1"/>
        <v>49064</v>
      </c>
      <c r="DT4" s="612">
        <f t="shared" si="1"/>
        <v>49095</v>
      </c>
      <c r="DU4" s="612">
        <f t="shared" si="1"/>
        <v>49125</v>
      </c>
      <c r="DV4" s="612">
        <f t="shared" si="1"/>
        <v>49156</v>
      </c>
      <c r="DW4" s="612">
        <f t="shared" si="1"/>
        <v>49187</v>
      </c>
      <c r="DX4" s="612">
        <f t="shared" si="1"/>
        <v>49217</v>
      </c>
      <c r="DY4" s="612">
        <f t="shared" si="1"/>
        <v>49248</v>
      </c>
      <c r="DZ4" s="612">
        <f t="shared" si="1"/>
        <v>49278</v>
      </c>
      <c r="EA4" s="612">
        <f t="shared" si="1"/>
        <v>49309</v>
      </c>
      <c r="EB4" s="612">
        <f t="shared" si="1"/>
        <v>49340</v>
      </c>
      <c r="EC4" s="612">
        <f t="shared" si="1"/>
        <v>49368</v>
      </c>
      <c r="ED4" s="612">
        <f t="shared" si="1"/>
        <v>49399</v>
      </c>
      <c r="EE4" s="612">
        <f t="shared" si="1"/>
        <v>49429</v>
      </c>
      <c r="EF4" s="612">
        <f t="shared" si="1"/>
        <v>49460</v>
      </c>
      <c r="EG4" s="612">
        <f t="shared" si="1"/>
        <v>49490</v>
      </c>
      <c r="EH4" s="612">
        <f t="shared" si="1"/>
        <v>49521</v>
      </c>
      <c r="EI4" s="612">
        <f t="shared" si="1"/>
        <v>49552</v>
      </c>
      <c r="EJ4" s="612">
        <f t="shared" si="1"/>
        <v>49582</v>
      </c>
      <c r="EK4" s="612">
        <f t="shared" si="1"/>
        <v>49613</v>
      </c>
      <c r="EL4" s="612">
        <f t="shared" si="1"/>
        <v>49643</v>
      </c>
      <c r="EM4" s="612">
        <f t="shared" si="1"/>
        <v>49674</v>
      </c>
      <c r="EN4" s="612">
        <f t="shared" si="1"/>
        <v>49705</v>
      </c>
      <c r="EO4" s="612">
        <f t="shared" si="1"/>
        <v>49734</v>
      </c>
      <c r="EP4" s="612">
        <f t="shared" si="1"/>
        <v>49765</v>
      </c>
      <c r="EQ4" s="612">
        <f t="shared" si="1"/>
        <v>49795</v>
      </c>
      <c r="ER4" s="612">
        <f t="shared" si="1"/>
        <v>49826</v>
      </c>
      <c r="ES4" s="612">
        <f t="shared" si="1"/>
        <v>49856</v>
      </c>
      <c r="ET4" s="612">
        <f t="shared" si="1"/>
        <v>49887</v>
      </c>
      <c r="EU4" s="612">
        <f t="shared" si="1"/>
        <v>49918</v>
      </c>
      <c r="EV4" s="612">
        <f t="shared" si="1"/>
        <v>49948</v>
      </c>
      <c r="EW4" s="612">
        <f t="shared" si="1"/>
        <v>49979</v>
      </c>
      <c r="EX4" s="612">
        <f t="shared" ref="EX4:FS4" si="2">EOMONTH(EW4,1)</f>
        <v>50009</v>
      </c>
      <c r="EY4" s="612">
        <f t="shared" si="2"/>
        <v>50040</v>
      </c>
      <c r="EZ4" s="612">
        <f t="shared" si="2"/>
        <v>50071</v>
      </c>
      <c r="FA4" s="612">
        <f t="shared" si="2"/>
        <v>50099</v>
      </c>
      <c r="FB4" s="612">
        <f t="shared" si="2"/>
        <v>50130</v>
      </c>
      <c r="FC4" s="612">
        <f t="shared" si="2"/>
        <v>50160</v>
      </c>
      <c r="FD4" s="612">
        <f t="shared" si="2"/>
        <v>50191</v>
      </c>
      <c r="FE4" s="612">
        <f t="shared" si="2"/>
        <v>50221</v>
      </c>
      <c r="FF4" s="612">
        <f t="shared" si="2"/>
        <v>50252</v>
      </c>
      <c r="FG4" s="612">
        <f t="shared" si="2"/>
        <v>50283</v>
      </c>
      <c r="FH4" s="612">
        <f t="shared" si="2"/>
        <v>50313</v>
      </c>
      <c r="FI4" s="612">
        <f t="shared" si="2"/>
        <v>50344</v>
      </c>
      <c r="FJ4" s="612">
        <f t="shared" si="2"/>
        <v>50374</v>
      </c>
      <c r="FK4" s="612">
        <f t="shared" si="2"/>
        <v>50405</v>
      </c>
      <c r="FL4" s="612">
        <f t="shared" si="2"/>
        <v>50436</v>
      </c>
      <c r="FM4" s="612">
        <f t="shared" si="2"/>
        <v>50464</v>
      </c>
      <c r="FN4" s="612">
        <f t="shared" si="2"/>
        <v>50495</v>
      </c>
      <c r="FO4" s="612">
        <f t="shared" si="2"/>
        <v>50525</v>
      </c>
      <c r="FP4" s="612">
        <f t="shared" si="2"/>
        <v>50556</v>
      </c>
      <c r="FQ4" s="612">
        <f t="shared" si="2"/>
        <v>50586</v>
      </c>
      <c r="FR4" s="612">
        <f t="shared" si="2"/>
        <v>50617</v>
      </c>
      <c r="FS4" s="613">
        <f t="shared" si="2"/>
        <v>50648</v>
      </c>
    </row>
    <row r="5" spans="2:175" x14ac:dyDescent="0.35">
      <c r="B5" s="9" t="s">
        <v>324</v>
      </c>
      <c r="C5" s="614">
        <v>360</v>
      </c>
      <c r="E5" s="515">
        <f>1</f>
        <v>1</v>
      </c>
      <c r="F5" s="615">
        <v>46053</v>
      </c>
      <c r="G5" s="616">
        <f>C8</f>
        <v>7695392.5588793838</v>
      </c>
      <c r="H5" s="616">
        <f t="shared" ref="H5:H68" si="3">J5+I5</f>
        <v>41243.71</v>
      </c>
      <c r="I5" s="616">
        <f t="shared" ref="I5:I68" si="4">IF(E5&lt;=$C$6,0,$C$12-J5)</f>
        <v>9270.7177691055258</v>
      </c>
      <c r="J5" s="616">
        <f t="shared" ref="J5:J68" si="5">G5*($C$9/12)</f>
        <v>31972.992230894473</v>
      </c>
      <c r="K5" s="616">
        <f>I5</f>
        <v>9270.7177691055258</v>
      </c>
      <c r="L5" s="616">
        <f>J5</f>
        <v>31972.992230894473</v>
      </c>
      <c r="M5" s="617">
        <f t="shared" ref="M5:M68" si="6">G5-I5</f>
        <v>7686121.8411102779</v>
      </c>
      <c r="O5" s="9" t="s">
        <v>222</v>
      </c>
      <c r="P5" s="89">
        <f>SUM(I17:I28)</f>
        <v>119632.99148729599</v>
      </c>
      <c r="Q5" s="142">
        <f>SUM(J17:J28)</f>
        <v>375291.52851270401</v>
      </c>
      <c r="S5" s="618" t="s">
        <v>175</v>
      </c>
      <c r="T5" s="619">
        <f>MIN(T18,T23,T32)</f>
        <v>7695392.5588793838</v>
      </c>
      <c r="V5" s="128"/>
      <c r="W5" s="9"/>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30"/>
    </row>
    <row r="6" spans="2:175" x14ac:dyDescent="0.35">
      <c r="B6" s="9" t="s">
        <v>325</v>
      </c>
      <c r="C6" s="614">
        <v>0</v>
      </c>
      <c r="E6" s="515">
        <f t="shared" ref="E6:E69" si="7">1+E5</f>
        <v>2</v>
      </c>
      <c r="F6" s="331">
        <f t="shared" ref="F6:F69" si="8">EOMONTH(F5,1)</f>
        <v>46081</v>
      </c>
      <c r="G6" s="616">
        <f t="shared" ref="G6:G69" si="9">M5</f>
        <v>7686121.8411102779</v>
      </c>
      <c r="H6" s="616">
        <f t="shared" si="3"/>
        <v>41243.71</v>
      </c>
      <c r="I6" s="616">
        <f t="shared" si="4"/>
        <v>9309.2359583906764</v>
      </c>
      <c r="J6" s="616">
        <f t="shared" si="5"/>
        <v>31934.474041609323</v>
      </c>
      <c r="K6" s="616">
        <f t="shared" ref="K6:K69" si="10">I6+K5</f>
        <v>18579.953727496202</v>
      </c>
      <c r="L6" s="616">
        <f t="shared" ref="L6:L69" si="11">L5+J6</f>
        <v>63907.466272503792</v>
      </c>
      <c r="M6" s="617">
        <f t="shared" si="6"/>
        <v>7676812.6051518871</v>
      </c>
      <c r="O6" s="9" t="s">
        <v>288</v>
      </c>
      <c r="P6" s="89">
        <f>SUM(I29:I40)</f>
        <v>125735.84474015837</v>
      </c>
      <c r="Q6" s="142">
        <f>SUM(J29:J40)</f>
        <v>369188.67525984166</v>
      </c>
      <c r="S6" s="621"/>
      <c r="T6" s="622"/>
      <c r="V6" s="128"/>
      <c r="W6" s="9" t="s">
        <v>448</v>
      </c>
      <c r="X6" s="772">
        <f>'Property CF'!AW12/12</f>
        <v>57715.444191595372</v>
      </c>
      <c r="Y6" s="772">
        <f>X6</f>
        <v>57715.444191595372</v>
      </c>
      <c r="Z6" s="772">
        <f t="shared" ref="Z6" si="12">Y6</f>
        <v>57715.444191595372</v>
      </c>
      <c r="AA6" s="772">
        <f t="shared" ref="AA6" si="13">Z6</f>
        <v>57715.444191595372</v>
      </c>
      <c r="AB6" s="772">
        <f t="shared" ref="AB6" si="14">AA6</f>
        <v>57715.444191595372</v>
      </c>
      <c r="AC6" s="772">
        <f t="shared" ref="AC6" si="15">AB6</f>
        <v>57715.444191595372</v>
      </c>
      <c r="AD6" s="772">
        <f t="shared" ref="AD6" si="16">AC6</f>
        <v>57715.444191595372</v>
      </c>
      <c r="AE6" s="772">
        <f t="shared" ref="AE6" si="17">AD6</f>
        <v>57715.444191595372</v>
      </c>
      <c r="AF6" s="772">
        <f t="shared" ref="AF6" si="18">AE6</f>
        <v>57715.444191595372</v>
      </c>
      <c r="AG6" s="772">
        <f t="shared" ref="AG6" si="19">AF6</f>
        <v>57715.444191595372</v>
      </c>
      <c r="AH6" s="772">
        <f t="shared" ref="AH6" si="20">AG6</f>
        <v>57715.444191595372</v>
      </c>
      <c r="AI6" s="772">
        <f t="shared" ref="AI6" si="21">AH6</f>
        <v>57715.444191595372</v>
      </c>
      <c r="AJ6" s="772">
        <f>X6*(1+'Property CF'!$AS$13)</f>
        <v>58869.753075427281</v>
      </c>
      <c r="AK6" s="772">
        <f>Y6*(1+'Property CF'!$AS$13)</f>
        <v>58869.753075427281</v>
      </c>
      <c r="AL6" s="772">
        <f>Z6*(1+'Property CF'!$AS$13)</f>
        <v>58869.753075427281</v>
      </c>
      <c r="AM6" s="772">
        <f>AA6*(1+'Property CF'!$AS$13)</f>
        <v>58869.753075427281</v>
      </c>
      <c r="AN6" s="772">
        <f>AB6*(1+'Property CF'!$AS$13)</f>
        <v>58869.753075427281</v>
      </c>
      <c r="AO6" s="772">
        <f>AC6*(1+'Property CF'!$AS$13)</f>
        <v>58869.753075427281</v>
      </c>
      <c r="AP6" s="772">
        <f>AD6*(1+'Property CF'!$AS$13)</f>
        <v>58869.753075427281</v>
      </c>
      <c r="AQ6" s="772">
        <f>AE6*(1+'Property CF'!$AS$13)</f>
        <v>58869.753075427281</v>
      </c>
      <c r="AR6" s="772">
        <f>AF6*(1+'Property CF'!$AS$13)</f>
        <v>58869.753075427281</v>
      </c>
      <c r="AS6" s="772">
        <f>AG6*(1+'Property CF'!$AS$13)</f>
        <v>58869.753075427281</v>
      </c>
      <c r="AT6" s="772">
        <f>AH6*(1+'Property CF'!$AS$13)</f>
        <v>58869.753075427281</v>
      </c>
      <c r="AU6" s="772">
        <f>AI6*(1+'Property CF'!$AS$13)</f>
        <v>58869.753075427281</v>
      </c>
      <c r="AV6" s="772">
        <f>AJ6*(1+'Property CF'!$AS$13)</f>
        <v>60047.14813693583</v>
      </c>
      <c r="AW6" s="772">
        <f>AK6*(1+'Property CF'!$AS$13)</f>
        <v>60047.14813693583</v>
      </c>
      <c r="AX6" s="772">
        <f>AL6*(1+'Property CF'!$AS$13)</f>
        <v>60047.14813693583</v>
      </c>
      <c r="AY6" s="772">
        <f>AM6*(1+'Property CF'!$AS$13)</f>
        <v>60047.14813693583</v>
      </c>
      <c r="AZ6" s="772">
        <f>AN6*(1+'Property CF'!$AS$13)</f>
        <v>60047.14813693583</v>
      </c>
      <c r="BA6" s="772">
        <f>AO6*(1+'Property CF'!$AS$13)</f>
        <v>60047.14813693583</v>
      </c>
      <c r="BB6" s="772">
        <f>AP6*(1+'Property CF'!$AS$13)</f>
        <v>60047.14813693583</v>
      </c>
      <c r="BC6" s="772">
        <f>AQ6*(1+'Property CF'!$AS$13)</f>
        <v>60047.14813693583</v>
      </c>
      <c r="BD6" s="772">
        <f>AR6*(1+'Property CF'!$AS$13)</f>
        <v>60047.14813693583</v>
      </c>
      <c r="BE6" s="772">
        <f>AS6*(1+'Property CF'!$AS$13)</f>
        <v>60047.14813693583</v>
      </c>
      <c r="BF6" s="772">
        <f>AT6*(1+'Property CF'!$AS$13)</f>
        <v>60047.14813693583</v>
      </c>
      <c r="BG6" s="772">
        <f>AU6*(1+'Property CF'!$AS$13)</f>
        <v>60047.14813693583</v>
      </c>
      <c r="BH6" s="772">
        <f>AV6*(1+'Property CF'!$AS$13)</f>
        <v>61248.091099674544</v>
      </c>
      <c r="BI6" s="772">
        <f>AW6*(1+'Property CF'!$AS$13)</f>
        <v>61248.091099674544</v>
      </c>
      <c r="BJ6" s="772">
        <f>AX6*(1+'Property CF'!$AS$13)</f>
        <v>61248.091099674544</v>
      </c>
      <c r="BK6" s="772">
        <f>AY6*(1+'Property CF'!$AS$13)</f>
        <v>61248.091099674544</v>
      </c>
      <c r="BL6" s="772">
        <f>AZ6*(1+'Property CF'!$AS$13)</f>
        <v>61248.091099674544</v>
      </c>
      <c r="BM6" s="772">
        <f>BA6*(1+'Property CF'!$AS$13)</f>
        <v>61248.091099674544</v>
      </c>
      <c r="BN6" s="772">
        <f>BB6*(1+'Property CF'!$AS$13)</f>
        <v>61248.091099674544</v>
      </c>
      <c r="BO6" s="772">
        <f>BC6*(1+'Property CF'!$AS$13)</f>
        <v>61248.091099674544</v>
      </c>
      <c r="BP6" s="772">
        <f>BD6*(1+'Property CF'!$AS$13)</f>
        <v>61248.091099674544</v>
      </c>
      <c r="BQ6" s="772">
        <f>BE6*(1+'Property CF'!$AS$13)</f>
        <v>61248.091099674544</v>
      </c>
      <c r="BR6" s="772">
        <f>BF6*(1+'Property CF'!$AS$13)</f>
        <v>61248.091099674544</v>
      </c>
      <c r="BS6" s="772">
        <f>BG6*(1+'Property CF'!$AS$13)</f>
        <v>61248.091099674544</v>
      </c>
      <c r="BT6" s="772">
        <f>BH6*(1+'Property CF'!$AS$13)</f>
        <v>62473.052921668037</v>
      </c>
      <c r="BU6" s="772">
        <f>BI6*(1+'Property CF'!$AS$13)</f>
        <v>62473.052921668037</v>
      </c>
      <c r="BV6" s="772">
        <f>BJ6*(1+'Property CF'!$AS$13)</f>
        <v>62473.052921668037</v>
      </c>
      <c r="BW6" s="772">
        <f>BK6*(1+'Property CF'!$AS$13)</f>
        <v>62473.052921668037</v>
      </c>
      <c r="BX6" s="772">
        <f>BL6*(1+'Property CF'!$AS$13)</f>
        <v>62473.052921668037</v>
      </c>
      <c r="BY6" s="772">
        <f>BM6*(1+'Property CF'!$AS$13)</f>
        <v>62473.052921668037</v>
      </c>
      <c r="BZ6" s="772">
        <f>BN6*(1+'Property CF'!$AS$13)</f>
        <v>62473.052921668037</v>
      </c>
      <c r="CA6" s="772">
        <f>BO6*(1+'Property CF'!$AS$13)</f>
        <v>62473.052921668037</v>
      </c>
      <c r="CB6" s="772">
        <f>BP6*(1+'Property CF'!$AS$13)</f>
        <v>62473.052921668037</v>
      </c>
      <c r="CC6" s="772">
        <f>BQ6*(1+'Property CF'!$AS$13)</f>
        <v>62473.052921668037</v>
      </c>
      <c r="CD6" s="772">
        <f>BR6*(1+'Property CF'!$AS$13)</f>
        <v>62473.052921668037</v>
      </c>
      <c r="CE6" s="772">
        <f>BS6*(1+'Property CF'!$AS$13)</f>
        <v>62473.052921668037</v>
      </c>
      <c r="CF6" s="772">
        <f>BT6*(1+'Property CF'!$AS$13)</f>
        <v>63722.513980101401</v>
      </c>
      <c r="CG6" s="772">
        <f>BU6*(1+'Property CF'!$AS$13)</f>
        <v>63722.513980101401</v>
      </c>
      <c r="CH6" s="772">
        <f>BV6*(1+'Property CF'!$AS$13)</f>
        <v>63722.513980101401</v>
      </c>
      <c r="CI6" s="772">
        <f>BW6*(1+'Property CF'!$AS$13)</f>
        <v>63722.513980101401</v>
      </c>
      <c r="CJ6" s="772">
        <f>BX6*(1+'Property CF'!$AS$13)</f>
        <v>63722.513980101401</v>
      </c>
      <c r="CK6" s="772">
        <f>BY6*(1+'Property CF'!$AS$13)</f>
        <v>63722.513980101401</v>
      </c>
      <c r="CL6" s="772">
        <f>BZ6*(1+'Property CF'!$AS$13)</f>
        <v>63722.513980101401</v>
      </c>
      <c r="CM6" s="772">
        <f>CA6*(1+'Property CF'!$AS$13)</f>
        <v>63722.513980101401</v>
      </c>
      <c r="CN6" s="772">
        <f>CB6*(1+'Property CF'!$AS$13)</f>
        <v>63722.513980101401</v>
      </c>
      <c r="CO6" s="772">
        <f>CC6*(1+'Property CF'!$AS$13)</f>
        <v>63722.513980101401</v>
      </c>
      <c r="CP6" s="772">
        <f>CD6*(1+'Property CF'!$AS$13)</f>
        <v>63722.513980101401</v>
      </c>
      <c r="CQ6" s="772">
        <f>CE6*(1+'Property CF'!$AS$13)</f>
        <v>63722.513980101401</v>
      </c>
      <c r="CR6" s="772">
        <f>CF6*(1+'Property CF'!$AS$13)</f>
        <v>64996.964259703433</v>
      </c>
      <c r="CS6" s="772">
        <f>CG6*(1+'Property CF'!$AS$13)</f>
        <v>64996.964259703433</v>
      </c>
      <c r="CT6" s="772">
        <f>CH6*(1+'Property CF'!$AS$13)</f>
        <v>64996.964259703433</v>
      </c>
      <c r="CU6" s="772">
        <f>CI6*(1+'Property CF'!$AS$13)</f>
        <v>64996.964259703433</v>
      </c>
      <c r="CV6" s="772">
        <f>CJ6*(1+'Property CF'!$AS$13)</f>
        <v>64996.964259703433</v>
      </c>
      <c r="CW6" s="772">
        <f>CK6*(1+'Property CF'!$AS$13)</f>
        <v>64996.964259703433</v>
      </c>
      <c r="CX6" s="772">
        <f>CL6*(1+'Property CF'!$AS$13)</f>
        <v>64996.964259703433</v>
      </c>
      <c r="CY6" s="772">
        <f>CM6*(1+'Property CF'!$AS$13)</f>
        <v>64996.964259703433</v>
      </c>
      <c r="CZ6" s="772">
        <f>CN6*(1+'Property CF'!$AS$13)</f>
        <v>64996.964259703433</v>
      </c>
      <c r="DA6" s="772">
        <f>CO6*(1+'Property CF'!$AS$13)</f>
        <v>64996.964259703433</v>
      </c>
      <c r="DB6" s="772">
        <f>CP6*(1+'Property CF'!$AS$13)</f>
        <v>64996.964259703433</v>
      </c>
      <c r="DC6" s="772">
        <f>CQ6*(1+'Property CF'!$AS$13)</f>
        <v>64996.964259703433</v>
      </c>
      <c r="DD6" s="772">
        <f>CR6*(1+'Property CF'!$AS$13)</f>
        <v>66296.903544897505</v>
      </c>
      <c r="DE6" s="772">
        <f>CS6*(1+'Property CF'!$AS$13)</f>
        <v>66296.903544897505</v>
      </c>
      <c r="DF6" s="772">
        <f>CT6*(1+'Property CF'!$AS$13)</f>
        <v>66296.903544897505</v>
      </c>
      <c r="DG6" s="772">
        <f>CU6*(1+'Property CF'!$AS$13)</f>
        <v>66296.903544897505</v>
      </c>
      <c r="DH6" s="772">
        <f>CV6*(1+'Property CF'!$AS$13)</f>
        <v>66296.903544897505</v>
      </c>
      <c r="DI6" s="772">
        <f>CW6*(1+'Property CF'!$AS$13)</f>
        <v>66296.903544897505</v>
      </c>
      <c r="DJ6" s="772">
        <f>CX6*(1+'Property CF'!$AS$13)</f>
        <v>66296.903544897505</v>
      </c>
      <c r="DK6" s="772">
        <f>CY6*(1+'Property CF'!$AS$13)</f>
        <v>66296.903544897505</v>
      </c>
      <c r="DL6" s="772">
        <f>CZ6*(1+'Property CF'!$AS$13)</f>
        <v>66296.903544897505</v>
      </c>
      <c r="DM6" s="772">
        <f>DA6*(1+'Property CF'!$AS$13)</f>
        <v>66296.903544897505</v>
      </c>
      <c r="DN6" s="772">
        <f>DB6*(1+'Property CF'!$AS$13)</f>
        <v>66296.903544897505</v>
      </c>
      <c r="DO6" s="772">
        <f>DC6*(1+'Property CF'!$AS$13)</f>
        <v>66296.903544897505</v>
      </c>
      <c r="DP6" s="772">
        <f>DD6*(1+'Property CF'!$AS$13)</f>
        <v>67622.841615795449</v>
      </c>
      <c r="DQ6" s="772">
        <f>DE6*(1+'Property CF'!$AS$13)</f>
        <v>67622.841615795449</v>
      </c>
      <c r="DR6" s="772">
        <f>DF6*(1+'Property CF'!$AS$13)</f>
        <v>67622.841615795449</v>
      </c>
      <c r="DS6" s="772">
        <f>DG6*(1+'Property CF'!$AS$13)</f>
        <v>67622.841615795449</v>
      </c>
      <c r="DT6" s="772">
        <f>DH6*(1+'Property CF'!$AS$13)</f>
        <v>67622.841615795449</v>
      </c>
      <c r="DU6" s="772">
        <f>DI6*(1+'Property CF'!$AS$13)</f>
        <v>67622.841615795449</v>
      </c>
      <c r="DV6" s="772">
        <f>DJ6*(1+'Property CF'!$AS$13)</f>
        <v>67622.841615795449</v>
      </c>
      <c r="DW6" s="772">
        <f>DK6*(1+'Property CF'!$AS$13)</f>
        <v>67622.841615795449</v>
      </c>
      <c r="DX6" s="772">
        <f>DL6*(1+'Property CF'!$AS$13)</f>
        <v>67622.841615795449</v>
      </c>
      <c r="DY6" s="772">
        <f>DM6*(1+'Property CF'!$AS$13)</f>
        <v>67622.841615795449</v>
      </c>
      <c r="DZ6" s="772">
        <f>DN6*(1+'Property CF'!$AS$13)</f>
        <v>67622.841615795449</v>
      </c>
      <c r="EA6" s="772">
        <f>DO6*(1+'Property CF'!$AS$13)</f>
        <v>67622.841615795449</v>
      </c>
      <c r="EB6" s="772">
        <f>DP6*(1+'Property CF'!$AS$13)</f>
        <v>68975.298448111353</v>
      </c>
      <c r="EC6" s="772">
        <f>DQ6*(1+'Property CF'!$AS$13)</f>
        <v>68975.298448111353</v>
      </c>
      <c r="ED6" s="772">
        <f>DR6*(1+'Property CF'!$AS$13)</f>
        <v>68975.298448111353</v>
      </c>
      <c r="EE6" s="772">
        <f>DS6*(1+'Property CF'!$AS$13)</f>
        <v>68975.298448111353</v>
      </c>
      <c r="EF6" s="772">
        <f>DT6*(1+'Property CF'!$AS$13)</f>
        <v>68975.298448111353</v>
      </c>
      <c r="EG6" s="772">
        <f>DU6*(1+'Property CF'!$AS$13)</f>
        <v>68975.298448111353</v>
      </c>
      <c r="EH6" s="772">
        <f>DV6*(1+'Property CF'!$AS$13)</f>
        <v>68975.298448111353</v>
      </c>
      <c r="EI6" s="772">
        <f>DW6*(1+'Property CF'!$AS$13)</f>
        <v>68975.298448111353</v>
      </c>
      <c r="EJ6" s="772">
        <f>DX6*(1+'Property CF'!$AS$13)</f>
        <v>68975.298448111353</v>
      </c>
      <c r="EK6" s="772">
        <f>DY6*(1+'Property CF'!$AS$13)</f>
        <v>68975.298448111353</v>
      </c>
      <c r="EL6" s="772">
        <f>DZ6*(1+'Property CF'!$AS$13)</f>
        <v>68975.298448111353</v>
      </c>
      <c r="EM6" s="772">
        <f>EA6*(1+'Property CF'!$AS$13)</f>
        <v>68975.298448111353</v>
      </c>
      <c r="EN6" s="772">
        <f>EB6*(1+'Property CF'!$AS$13)</f>
        <v>70354.804417073581</v>
      </c>
      <c r="EO6" s="772">
        <f>EC6*(1+'Property CF'!$AS$13)</f>
        <v>70354.804417073581</v>
      </c>
      <c r="EP6" s="772">
        <f>ED6*(1+'Property CF'!$AS$13)</f>
        <v>70354.804417073581</v>
      </c>
      <c r="EQ6" s="772">
        <f>EE6*(1+'Property CF'!$AS$13)</f>
        <v>70354.804417073581</v>
      </c>
      <c r="ER6" s="772">
        <f>EF6*(1+'Property CF'!$AS$13)</f>
        <v>70354.804417073581</v>
      </c>
      <c r="ES6" s="772">
        <f>EG6*(1+'Property CF'!$AS$13)</f>
        <v>70354.804417073581</v>
      </c>
      <c r="ET6" s="772">
        <f>EH6*(1+'Property CF'!$AS$13)</f>
        <v>70354.804417073581</v>
      </c>
      <c r="EU6" s="772">
        <f>EI6*(1+'Property CF'!$AS$13)</f>
        <v>70354.804417073581</v>
      </c>
      <c r="EV6" s="772">
        <f>EJ6*(1+'Property CF'!$AS$13)</f>
        <v>70354.804417073581</v>
      </c>
      <c r="EW6" s="772">
        <f>EK6*(1+'Property CF'!$AS$13)</f>
        <v>70354.804417073581</v>
      </c>
      <c r="EX6" s="772">
        <f>EL6*(1+'Property CF'!$AS$13)</f>
        <v>70354.804417073581</v>
      </c>
      <c r="EY6" s="772">
        <f>EM6*(1+'Property CF'!$AS$13)</f>
        <v>70354.804417073581</v>
      </c>
      <c r="EZ6" s="772">
        <f>EN6*(1+'Property CF'!$AS$13)</f>
        <v>71761.900505415048</v>
      </c>
      <c r="FA6" s="772">
        <f>EO6*(1+'Property CF'!$AS$13)</f>
        <v>71761.900505415048</v>
      </c>
      <c r="FB6" s="772">
        <f>EP6*(1+'Property CF'!$AS$13)</f>
        <v>71761.900505415048</v>
      </c>
      <c r="FC6" s="772">
        <f>EQ6*(1+'Property CF'!$AS$13)</f>
        <v>71761.900505415048</v>
      </c>
      <c r="FD6" s="772">
        <f>ER6*(1+'Property CF'!$AS$13)</f>
        <v>71761.900505415048</v>
      </c>
      <c r="FE6" s="772">
        <f>ES6*(1+'Property CF'!$AS$13)</f>
        <v>71761.900505415048</v>
      </c>
      <c r="FF6" s="772">
        <f>ET6*(1+'Property CF'!$AS$13)</f>
        <v>71761.900505415048</v>
      </c>
      <c r="FG6" s="772">
        <f>EU6*(1+'Property CF'!$AS$13)</f>
        <v>71761.900505415048</v>
      </c>
      <c r="FH6" s="772">
        <f>EV6*(1+'Property CF'!$AS$13)</f>
        <v>71761.900505415048</v>
      </c>
      <c r="FI6" s="772">
        <f>EW6*(1+'Property CF'!$AS$13)</f>
        <v>71761.900505415048</v>
      </c>
      <c r="FJ6" s="772">
        <f>EX6*(1+'Property CF'!$AS$13)</f>
        <v>71761.900505415048</v>
      </c>
      <c r="FK6" s="772">
        <f>EY6*(1+'Property CF'!$AS$13)</f>
        <v>71761.900505415048</v>
      </c>
      <c r="FL6" s="772">
        <f>EZ6*(1+'Property CF'!$AS$13)</f>
        <v>73197.138515523344</v>
      </c>
      <c r="FM6" s="772">
        <f>FA6*(1+'Property CF'!$AS$13)</f>
        <v>73197.138515523344</v>
      </c>
      <c r="FN6" s="772">
        <f>FB6*(1+'Property CF'!$AS$13)</f>
        <v>73197.138515523344</v>
      </c>
      <c r="FO6" s="772">
        <f>FC6*(1+'Property CF'!$AS$13)</f>
        <v>73197.138515523344</v>
      </c>
      <c r="FP6" s="772">
        <f>FD6*(1+'Property CF'!$AS$13)</f>
        <v>73197.138515523344</v>
      </c>
      <c r="FQ6" s="772">
        <f>FE6*(1+'Property CF'!$AS$13)</f>
        <v>73197.138515523344</v>
      </c>
      <c r="FR6" s="772">
        <f>FF6*(1+'Property CF'!$AS$13)</f>
        <v>73197.138515523344</v>
      </c>
      <c r="FS6" s="104">
        <f>FR6</f>
        <v>73197.138515523344</v>
      </c>
    </row>
    <row r="7" spans="2:175" x14ac:dyDescent="0.35">
      <c r="B7" s="9"/>
      <c r="C7" s="30"/>
      <c r="E7" s="515">
        <f t="shared" si="7"/>
        <v>3</v>
      </c>
      <c r="F7" s="331">
        <f t="shared" si="8"/>
        <v>46112</v>
      </c>
      <c r="G7" s="616">
        <f t="shared" si="9"/>
        <v>7676812.6051518871</v>
      </c>
      <c r="H7" s="616">
        <f t="shared" si="3"/>
        <v>41243.71</v>
      </c>
      <c r="I7" s="616">
        <f t="shared" si="4"/>
        <v>9347.9141839257391</v>
      </c>
      <c r="J7" s="616">
        <f t="shared" si="5"/>
        <v>31895.79581607426</v>
      </c>
      <c r="K7" s="616">
        <f t="shared" si="10"/>
        <v>27927.867911421941</v>
      </c>
      <c r="L7" s="616">
        <f t="shared" si="11"/>
        <v>95803.262088578049</v>
      </c>
      <c r="M7" s="617">
        <f t="shared" si="6"/>
        <v>7667464.6909679612</v>
      </c>
      <c r="O7" s="9" t="s">
        <v>289</v>
      </c>
      <c r="P7" s="89">
        <f>SUM(I41:I52)</f>
        <v>132150.02363457609</v>
      </c>
      <c r="Q7" s="142">
        <f>SUM(J41:J52)</f>
        <v>362774.49636542384</v>
      </c>
      <c r="S7" s="623" t="str">
        <f>+"Total Loan Amount @ "&amp;(TEXT(U7,"0.00% LTC"))</f>
        <v>Total Loan Amount @ 100.00% LTC</v>
      </c>
      <c r="T7" s="622">
        <f>T5*U7</f>
        <v>7695392.5588793838</v>
      </c>
      <c r="U7" s="624">
        <v>1</v>
      </c>
      <c r="V7" s="128"/>
      <c r="W7" s="9" t="s">
        <v>262</v>
      </c>
      <c r="X7" s="772">
        <f>X6</f>
        <v>57715.444191595372</v>
      </c>
      <c r="Y7" s="772">
        <f t="shared" ref="Y7:CJ7" si="22">Y6</f>
        <v>57715.444191595372</v>
      </c>
      <c r="Z7" s="772">
        <f t="shared" si="22"/>
        <v>57715.444191595372</v>
      </c>
      <c r="AA7" s="772">
        <f t="shared" si="22"/>
        <v>57715.444191595372</v>
      </c>
      <c r="AB7" s="772">
        <f t="shared" si="22"/>
        <v>57715.444191595372</v>
      </c>
      <c r="AC7" s="772">
        <f t="shared" si="22"/>
        <v>57715.444191595372</v>
      </c>
      <c r="AD7" s="772">
        <f t="shared" si="22"/>
        <v>57715.444191595372</v>
      </c>
      <c r="AE7" s="772">
        <f t="shared" si="22"/>
        <v>57715.444191595372</v>
      </c>
      <c r="AF7" s="772">
        <f t="shared" si="22"/>
        <v>57715.444191595372</v>
      </c>
      <c r="AG7" s="772">
        <f t="shared" si="22"/>
        <v>57715.444191595372</v>
      </c>
      <c r="AH7" s="772">
        <f t="shared" si="22"/>
        <v>57715.444191595372</v>
      </c>
      <c r="AI7" s="772">
        <f t="shared" si="22"/>
        <v>57715.444191595372</v>
      </c>
      <c r="AJ7" s="772">
        <f t="shared" si="22"/>
        <v>58869.753075427281</v>
      </c>
      <c r="AK7" s="772">
        <f t="shared" si="22"/>
        <v>58869.753075427281</v>
      </c>
      <c r="AL7" s="772">
        <f t="shared" si="22"/>
        <v>58869.753075427281</v>
      </c>
      <c r="AM7" s="772">
        <f t="shared" si="22"/>
        <v>58869.753075427281</v>
      </c>
      <c r="AN7" s="772">
        <f t="shared" si="22"/>
        <v>58869.753075427281</v>
      </c>
      <c r="AO7" s="772">
        <f t="shared" si="22"/>
        <v>58869.753075427281</v>
      </c>
      <c r="AP7" s="772">
        <f t="shared" si="22"/>
        <v>58869.753075427281</v>
      </c>
      <c r="AQ7" s="772">
        <f t="shared" si="22"/>
        <v>58869.753075427281</v>
      </c>
      <c r="AR7" s="772">
        <f t="shared" si="22"/>
        <v>58869.753075427281</v>
      </c>
      <c r="AS7" s="772">
        <f t="shared" si="22"/>
        <v>58869.753075427281</v>
      </c>
      <c r="AT7" s="772">
        <f t="shared" si="22"/>
        <v>58869.753075427281</v>
      </c>
      <c r="AU7" s="772">
        <f t="shared" si="22"/>
        <v>58869.753075427281</v>
      </c>
      <c r="AV7" s="772">
        <f t="shared" si="22"/>
        <v>60047.14813693583</v>
      </c>
      <c r="AW7" s="772">
        <f t="shared" si="22"/>
        <v>60047.14813693583</v>
      </c>
      <c r="AX7" s="772">
        <f t="shared" si="22"/>
        <v>60047.14813693583</v>
      </c>
      <c r="AY7" s="772">
        <f t="shared" si="22"/>
        <v>60047.14813693583</v>
      </c>
      <c r="AZ7" s="772">
        <f t="shared" si="22"/>
        <v>60047.14813693583</v>
      </c>
      <c r="BA7" s="772">
        <f t="shared" si="22"/>
        <v>60047.14813693583</v>
      </c>
      <c r="BB7" s="772">
        <f t="shared" si="22"/>
        <v>60047.14813693583</v>
      </c>
      <c r="BC7" s="772">
        <f t="shared" si="22"/>
        <v>60047.14813693583</v>
      </c>
      <c r="BD7" s="772">
        <f t="shared" si="22"/>
        <v>60047.14813693583</v>
      </c>
      <c r="BE7" s="772">
        <f t="shared" si="22"/>
        <v>60047.14813693583</v>
      </c>
      <c r="BF7" s="772">
        <f t="shared" si="22"/>
        <v>60047.14813693583</v>
      </c>
      <c r="BG7" s="772">
        <f t="shared" si="22"/>
        <v>60047.14813693583</v>
      </c>
      <c r="BH7" s="772">
        <f t="shared" si="22"/>
        <v>61248.091099674544</v>
      </c>
      <c r="BI7" s="772">
        <f t="shared" si="22"/>
        <v>61248.091099674544</v>
      </c>
      <c r="BJ7" s="772">
        <f t="shared" si="22"/>
        <v>61248.091099674544</v>
      </c>
      <c r="BK7" s="772">
        <f t="shared" si="22"/>
        <v>61248.091099674544</v>
      </c>
      <c r="BL7" s="772">
        <f t="shared" si="22"/>
        <v>61248.091099674544</v>
      </c>
      <c r="BM7" s="772">
        <f t="shared" si="22"/>
        <v>61248.091099674544</v>
      </c>
      <c r="BN7" s="772">
        <f t="shared" si="22"/>
        <v>61248.091099674544</v>
      </c>
      <c r="BO7" s="772">
        <f t="shared" si="22"/>
        <v>61248.091099674544</v>
      </c>
      <c r="BP7" s="772">
        <f t="shared" si="22"/>
        <v>61248.091099674544</v>
      </c>
      <c r="BQ7" s="772">
        <f t="shared" si="22"/>
        <v>61248.091099674544</v>
      </c>
      <c r="BR7" s="772">
        <f t="shared" si="22"/>
        <v>61248.091099674544</v>
      </c>
      <c r="BS7" s="772">
        <f t="shared" si="22"/>
        <v>61248.091099674544</v>
      </c>
      <c r="BT7" s="772">
        <f t="shared" si="22"/>
        <v>62473.052921668037</v>
      </c>
      <c r="BU7" s="772">
        <f t="shared" si="22"/>
        <v>62473.052921668037</v>
      </c>
      <c r="BV7" s="772">
        <f t="shared" si="22"/>
        <v>62473.052921668037</v>
      </c>
      <c r="BW7" s="772">
        <f t="shared" si="22"/>
        <v>62473.052921668037</v>
      </c>
      <c r="BX7" s="772">
        <f t="shared" si="22"/>
        <v>62473.052921668037</v>
      </c>
      <c r="BY7" s="772">
        <f t="shared" si="22"/>
        <v>62473.052921668037</v>
      </c>
      <c r="BZ7" s="772">
        <f t="shared" si="22"/>
        <v>62473.052921668037</v>
      </c>
      <c r="CA7" s="772">
        <f t="shared" si="22"/>
        <v>62473.052921668037</v>
      </c>
      <c r="CB7" s="772">
        <f t="shared" si="22"/>
        <v>62473.052921668037</v>
      </c>
      <c r="CC7" s="772">
        <f t="shared" si="22"/>
        <v>62473.052921668037</v>
      </c>
      <c r="CD7" s="772">
        <f t="shared" si="22"/>
        <v>62473.052921668037</v>
      </c>
      <c r="CE7" s="772">
        <f t="shared" si="22"/>
        <v>62473.052921668037</v>
      </c>
      <c r="CF7" s="772">
        <f t="shared" si="22"/>
        <v>63722.513980101401</v>
      </c>
      <c r="CG7" s="772">
        <f t="shared" si="22"/>
        <v>63722.513980101401</v>
      </c>
      <c r="CH7" s="772">
        <f t="shared" si="22"/>
        <v>63722.513980101401</v>
      </c>
      <c r="CI7" s="772">
        <f t="shared" si="22"/>
        <v>63722.513980101401</v>
      </c>
      <c r="CJ7" s="772">
        <f t="shared" si="22"/>
        <v>63722.513980101401</v>
      </c>
      <c r="CK7" s="772">
        <f t="shared" ref="CK7:EV7" si="23">CK6</f>
        <v>63722.513980101401</v>
      </c>
      <c r="CL7" s="772">
        <f t="shared" si="23"/>
        <v>63722.513980101401</v>
      </c>
      <c r="CM7" s="772">
        <f t="shared" si="23"/>
        <v>63722.513980101401</v>
      </c>
      <c r="CN7" s="772">
        <f t="shared" si="23"/>
        <v>63722.513980101401</v>
      </c>
      <c r="CO7" s="772">
        <f t="shared" si="23"/>
        <v>63722.513980101401</v>
      </c>
      <c r="CP7" s="772">
        <f t="shared" si="23"/>
        <v>63722.513980101401</v>
      </c>
      <c r="CQ7" s="772">
        <f t="shared" si="23"/>
        <v>63722.513980101401</v>
      </c>
      <c r="CR7" s="772">
        <f t="shared" si="23"/>
        <v>64996.964259703433</v>
      </c>
      <c r="CS7" s="772">
        <f t="shared" si="23"/>
        <v>64996.964259703433</v>
      </c>
      <c r="CT7" s="772">
        <f t="shared" si="23"/>
        <v>64996.964259703433</v>
      </c>
      <c r="CU7" s="772">
        <f t="shared" si="23"/>
        <v>64996.964259703433</v>
      </c>
      <c r="CV7" s="772">
        <f t="shared" si="23"/>
        <v>64996.964259703433</v>
      </c>
      <c r="CW7" s="772">
        <f t="shared" si="23"/>
        <v>64996.964259703433</v>
      </c>
      <c r="CX7" s="772">
        <f t="shared" si="23"/>
        <v>64996.964259703433</v>
      </c>
      <c r="CY7" s="772">
        <f t="shared" si="23"/>
        <v>64996.964259703433</v>
      </c>
      <c r="CZ7" s="772">
        <f t="shared" si="23"/>
        <v>64996.964259703433</v>
      </c>
      <c r="DA7" s="772">
        <f t="shared" si="23"/>
        <v>64996.964259703433</v>
      </c>
      <c r="DB7" s="772">
        <f t="shared" si="23"/>
        <v>64996.964259703433</v>
      </c>
      <c r="DC7" s="772">
        <f t="shared" si="23"/>
        <v>64996.964259703433</v>
      </c>
      <c r="DD7" s="772">
        <f t="shared" si="23"/>
        <v>66296.903544897505</v>
      </c>
      <c r="DE7" s="772">
        <f t="shared" si="23"/>
        <v>66296.903544897505</v>
      </c>
      <c r="DF7" s="772">
        <f t="shared" si="23"/>
        <v>66296.903544897505</v>
      </c>
      <c r="DG7" s="772">
        <f t="shared" si="23"/>
        <v>66296.903544897505</v>
      </c>
      <c r="DH7" s="772">
        <f t="shared" si="23"/>
        <v>66296.903544897505</v>
      </c>
      <c r="DI7" s="772">
        <f t="shared" si="23"/>
        <v>66296.903544897505</v>
      </c>
      <c r="DJ7" s="772">
        <f t="shared" si="23"/>
        <v>66296.903544897505</v>
      </c>
      <c r="DK7" s="772">
        <f t="shared" si="23"/>
        <v>66296.903544897505</v>
      </c>
      <c r="DL7" s="772">
        <f t="shared" si="23"/>
        <v>66296.903544897505</v>
      </c>
      <c r="DM7" s="772">
        <f t="shared" si="23"/>
        <v>66296.903544897505</v>
      </c>
      <c r="DN7" s="772">
        <f t="shared" si="23"/>
        <v>66296.903544897505</v>
      </c>
      <c r="DO7" s="772">
        <f t="shared" si="23"/>
        <v>66296.903544897505</v>
      </c>
      <c r="DP7" s="772">
        <f t="shared" si="23"/>
        <v>67622.841615795449</v>
      </c>
      <c r="DQ7" s="772">
        <f t="shared" si="23"/>
        <v>67622.841615795449</v>
      </c>
      <c r="DR7" s="772">
        <f t="shared" si="23"/>
        <v>67622.841615795449</v>
      </c>
      <c r="DS7" s="772">
        <f t="shared" si="23"/>
        <v>67622.841615795449</v>
      </c>
      <c r="DT7" s="772">
        <f t="shared" si="23"/>
        <v>67622.841615795449</v>
      </c>
      <c r="DU7" s="772">
        <f t="shared" si="23"/>
        <v>67622.841615795449</v>
      </c>
      <c r="DV7" s="772">
        <f t="shared" si="23"/>
        <v>67622.841615795449</v>
      </c>
      <c r="DW7" s="772">
        <f t="shared" si="23"/>
        <v>67622.841615795449</v>
      </c>
      <c r="DX7" s="772">
        <f t="shared" si="23"/>
        <v>67622.841615795449</v>
      </c>
      <c r="DY7" s="772">
        <f t="shared" si="23"/>
        <v>67622.841615795449</v>
      </c>
      <c r="DZ7" s="772">
        <f t="shared" si="23"/>
        <v>67622.841615795449</v>
      </c>
      <c r="EA7" s="772">
        <f t="shared" si="23"/>
        <v>67622.841615795449</v>
      </c>
      <c r="EB7" s="772">
        <f t="shared" si="23"/>
        <v>68975.298448111353</v>
      </c>
      <c r="EC7" s="772">
        <f t="shared" si="23"/>
        <v>68975.298448111353</v>
      </c>
      <c r="ED7" s="772">
        <f t="shared" si="23"/>
        <v>68975.298448111353</v>
      </c>
      <c r="EE7" s="772">
        <f t="shared" si="23"/>
        <v>68975.298448111353</v>
      </c>
      <c r="EF7" s="772">
        <f t="shared" si="23"/>
        <v>68975.298448111353</v>
      </c>
      <c r="EG7" s="772">
        <f t="shared" si="23"/>
        <v>68975.298448111353</v>
      </c>
      <c r="EH7" s="772">
        <f t="shared" si="23"/>
        <v>68975.298448111353</v>
      </c>
      <c r="EI7" s="772">
        <f t="shared" si="23"/>
        <v>68975.298448111353</v>
      </c>
      <c r="EJ7" s="772">
        <f t="shared" si="23"/>
        <v>68975.298448111353</v>
      </c>
      <c r="EK7" s="772">
        <f t="shared" si="23"/>
        <v>68975.298448111353</v>
      </c>
      <c r="EL7" s="772">
        <f t="shared" si="23"/>
        <v>68975.298448111353</v>
      </c>
      <c r="EM7" s="772">
        <f t="shared" si="23"/>
        <v>68975.298448111353</v>
      </c>
      <c r="EN7" s="772">
        <f t="shared" si="23"/>
        <v>70354.804417073581</v>
      </c>
      <c r="EO7" s="772">
        <f t="shared" si="23"/>
        <v>70354.804417073581</v>
      </c>
      <c r="EP7" s="772">
        <f t="shared" si="23"/>
        <v>70354.804417073581</v>
      </c>
      <c r="EQ7" s="772">
        <f t="shared" si="23"/>
        <v>70354.804417073581</v>
      </c>
      <c r="ER7" s="772">
        <f t="shared" si="23"/>
        <v>70354.804417073581</v>
      </c>
      <c r="ES7" s="772">
        <f t="shared" si="23"/>
        <v>70354.804417073581</v>
      </c>
      <c r="ET7" s="772">
        <f t="shared" si="23"/>
        <v>70354.804417073581</v>
      </c>
      <c r="EU7" s="772">
        <f t="shared" si="23"/>
        <v>70354.804417073581</v>
      </c>
      <c r="EV7" s="772">
        <f t="shared" si="23"/>
        <v>70354.804417073581</v>
      </c>
      <c r="EW7" s="772">
        <f t="shared" ref="EW7:FS7" si="24">EW6</f>
        <v>70354.804417073581</v>
      </c>
      <c r="EX7" s="772">
        <f t="shared" si="24"/>
        <v>70354.804417073581</v>
      </c>
      <c r="EY7" s="772">
        <f t="shared" si="24"/>
        <v>70354.804417073581</v>
      </c>
      <c r="EZ7" s="772">
        <f t="shared" si="24"/>
        <v>71761.900505415048</v>
      </c>
      <c r="FA7" s="772">
        <f t="shared" si="24"/>
        <v>71761.900505415048</v>
      </c>
      <c r="FB7" s="772">
        <f t="shared" si="24"/>
        <v>71761.900505415048</v>
      </c>
      <c r="FC7" s="772">
        <f t="shared" si="24"/>
        <v>71761.900505415048</v>
      </c>
      <c r="FD7" s="772">
        <f t="shared" si="24"/>
        <v>71761.900505415048</v>
      </c>
      <c r="FE7" s="772">
        <f t="shared" si="24"/>
        <v>71761.900505415048</v>
      </c>
      <c r="FF7" s="772">
        <f t="shared" si="24"/>
        <v>71761.900505415048</v>
      </c>
      <c r="FG7" s="772">
        <f t="shared" si="24"/>
        <v>71761.900505415048</v>
      </c>
      <c r="FH7" s="772">
        <f t="shared" si="24"/>
        <v>71761.900505415048</v>
      </c>
      <c r="FI7" s="772">
        <f t="shared" si="24"/>
        <v>71761.900505415048</v>
      </c>
      <c r="FJ7" s="772">
        <f t="shared" si="24"/>
        <v>71761.900505415048</v>
      </c>
      <c r="FK7" s="772">
        <f t="shared" si="24"/>
        <v>71761.900505415048</v>
      </c>
      <c r="FL7" s="772">
        <f t="shared" si="24"/>
        <v>73197.138515523344</v>
      </c>
      <c r="FM7" s="772">
        <f t="shared" si="24"/>
        <v>73197.138515523344</v>
      </c>
      <c r="FN7" s="772">
        <f t="shared" si="24"/>
        <v>73197.138515523344</v>
      </c>
      <c r="FO7" s="772">
        <f t="shared" si="24"/>
        <v>73197.138515523344</v>
      </c>
      <c r="FP7" s="772">
        <f t="shared" si="24"/>
        <v>73197.138515523344</v>
      </c>
      <c r="FQ7" s="772">
        <f t="shared" si="24"/>
        <v>73197.138515523344</v>
      </c>
      <c r="FR7" s="772">
        <f t="shared" si="24"/>
        <v>73197.138515523344</v>
      </c>
      <c r="FS7" s="598">
        <f t="shared" si="24"/>
        <v>73197.138515523344</v>
      </c>
    </row>
    <row r="8" spans="2:175" x14ac:dyDescent="0.35">
      <c r="B8" s="9" t="s">
        <v>74</v>
      </c>
      <c r="C8" s="625">
        <f>T7</f>
        <v>7695392.5588793838</v>
      </c>
      <c r="E8" s="515">
        <f t="shared" si="7"/>
        <v>4</v>
      </c>
      <c r="F8" s="331">
        <f t="shared" si="8"/>
        <v>46142</v>
      </c>
      <c r="G8" s="616">
        <f t="shared" si="9"/>
        <v>7667464.6909679612</v>
      </c>
      <c r="H8" s="616">
        <f t="shared" si="3"/>
        <v>41243.71</v>
      </c>
      <c r="I8" s="616">
        <f t="shared" si="4"/>
        <v>9386.753110632977</v>
      </c>
      <c r="J8" s="616">
        <f t="shared" si="5"/>
        <v>31856.956889367022</v>
      </c>
      <c r="K8" s="616">
        <f t="shared" si="10"/>
        <v>37314.621022054918</v>
      </c>
      <c r="L8" s="616">
        <f t="shared" si="11"/>
        <v>127660.21897794507</v>
      </c>
      <c r="M8" s="617">
        <f t="shared" si="6"/>
        <v>7658077.937857328</v>
      </c>
      <c r="O8" s="9" t="s">
        <v>326</v>
      </c>
      <c r="P8" s="89">
        <f>SUM(I53:I64)</f>
        <v>138891.40986572919</v>
      </c>
      <c r="Q8" s="142">
        <f>SUM(J53:J64)</f>
        <v>356033.11013427074</v>
      </c>
      <c r="S8" s="623" t="str">
        <f>+"Equity Contribution @ "&amp;(TEXT(U8,"0.00% LTC"))</f>
        <v>Equity Contribution @ 0.00% LTC</v>
      </c>
      <c r="T8" s="622">
        <f>T5*U8</f>
        <v>0</v>
      </c>
      <c r="U8" s="626">
        <f>1-U7</f>
        <v>0</v>
      </c>
      <c r="V8" s="128"/>
      <c r="W8" s="9"/>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30"/>
    </row>
    <row r="9" spans="2:175" x14ac:dyDescent="0.35">
      <c r="B9" s="9" t="s">
        <v>76</v>
      </c>
      <c r="C9" s="774">
        <f>T27</f>
        <v>4.9857873244949211E-2</v>
      </c>
      <c r="E9" s="515">
        <f t="shared" si="7"/>
        <v>5</v>
      </c>
      <c r="F9" s="331">
        <f t="shared" si="8"/>
        <v>46173</v>
      </c>
      <c r="G9" s="616">
        <f t="shared" si="9"/>
        <v>7658077.937857328</v>
      </c>
      <c r="H9" s="616">
        <f t="shared" si="3"/>
        <v>41243.71</v>
      </c>
      <c r="I9" s="616">
        <f t="shared" si="4"/>
        <v>9425.7534061972729</v>
      </c>
      <c r="J9" s="616">
        <f t="shared" si="5"/>
        <v>31817.956593802726</v>
      </c>
      <c r="K9" s="616">
        <f t="shared" si="10"/>
        <v>46740.374428252195</v>
      </c>
      <c r="L9" s="616">
        <f t="shared" si="11"/>
        <v>159478.17557174779</v>
      </c>
      <c r="M9" s="617">
        <f t="shared" si="6"/>
        <v>7648652.1844511312</v>
      </c>
      <c r="O9" s="9" t="s">
        <v>327</v>
      </c>
      <c r="P9" s="89">
        <f>SUM(I65:I76)</f>
        <v>145976.69530376585</v>
      </c>
      <c r="Q9" s="142">
        <f>SUM(J65:J76)</f>
        <v>348947.82469623419</v>
      </c>
      <c r="S9" s="9"/>
      <c r="T9" s="30"/>
      <c r="V9" s="128"/>
      <c r="W9" s="9" t="s">
        <v>330</v>
      </c>
      <c r="X9" s="370">
        <v>0.05</v>
      </c>
      <c r="Y9" s="370">
        <f>X9</f>
        <v>0.05</v>
      </c>
      <c r="Z9" s="370">
        <f t="shared" ref="Z9:CK9" si="25">Y9</f>
        <v>0.05</v>
      </c>
      <c r="AA9" s="370">
        <f t="shared" si="25"/>
        <v>0.05</v>
      </c>
      <c r="AB9" s="370">
        <f t="shared" si="25"/>
        <v>0.05</v>
      </c>
      <c r="AC9" s="370">
        <f t="shared" si="25"/>
        <v>0.05</v>
      </c>
      <c r="AD9" s="370">
        <f t="shared" si="25"/>
        <v>0.05</v>
      </c>
      <c r="AE9" s="370">
        <f t="shared" si="25"/>
        <v>0.05</v>
      </c>
      <c r="AF9" s="370">
        <f t="shared" si="25"/>
        <v>0.05</v>
      </c>
      <c r="AG9" s="370">
        <f t="shared" si="25"/>
        <v>0.05</v>
      </c>
      <c r="AH9" s="370">
        <f t="shared" si="25"/>
        <v>0.05</v>
      </c>
      <c r="AI9" s="370">
        <f t="shared" si="25"/>
        <v>0.05</v>
      </c>
      <c r="AJ9" s="370">
        <f t="shared" si="25"/>
        <v>0.05</v>
      </c>
      <c r="AK9" s="370">
        <f t="shared" si="25"/>
        <v>0.05</v>
      </c>
      <c r="AL9" s="370">
        <f t="shared" si="25"/>
        <v>0.05</v>
      </c>
      <c r="AM9" s="370">
        <f t="shared" si="25"/>
        <v>0.05</v>
      </c>
      <c r="AN9" s="370">
        <f t="shared" si="25"/>
        <v>0.05</v>
      </c>
      <c r="AO9" s="370">
        <f t="shared" si="25"/>
        <v>0.05</v>
      </c>
      <c r="AP9" s="370">
        <f t="shared" si="25"/>
        <v>0.05</v>
      </c>
      <c r="AQ9" s="370">
        <f t="shared" si="25"/>
        <v>0.05</v>
      </c>
      <c r="AR9" s="370">
        <f t="shared" si="25"/>
        <v>0.05</v>
      </c>
      <c r="AS9" s="370">
        <f t="shared" si="25"/>
        <v>0.05</v>
      </c>
      <c r="AT9" s="370">
        <f t="shared" si="25"/>
        <v>0.05</v>
      </c>
      <c r="AU9" s="370">
        <f t="shared" si="25"/>
        <v>0.05</v>
      </c>
      <c r="AV9" s="370">
        <f t="shared" si="25"/>
        <v>0.05</v>
      </c>
      <c r="AW9" s="370">
        <f t="shared" si="25"/>
        <v>0.05</v>
      </c>
      <c r="AX9" s="370">
        <f t="shared" si="25"/>
        <v>0.05</v>
      </c>
      <c r="AY9" s="370">
        <f t="shared" si="25"/>
        <v>0.05</v>
      </c>
      <c r="AZ9" s="370">
        <f t="shared" si="25"/>
        <v>0.05</v>
      </c>
      <c r="BA9" s="370">
        <f t="shared" si="25"/>
        <v>0.05</v>
      </c>
      <c r="BB9" s="370">
        <f t="shared" si="25"/>
        <v>0.05</v>
      </c>
      <c r="BC9" s="370">
        <f t="shared" si="25"/>
        <v>0.05</v>
      </c>
      <c r="BD9" s="370">
        <f t="shared" si="25"/>
        <v>0.05</v>
      </c>
      <c r="BE9" s="370">
        <f t="shared" si="25"/>
        <v>0.05</v>
      </c>
      <c r="BF9" s="370">
        <f t="shared" si="25"/>
        <v>0.05</v>
      </c>
      <c r="BG9" s="370">
        <f t="shared" si="25"/>
        <v>0.05</v>
      </c>
      <c r="BH9" s="370">
        <f t="shared" si="25"/>
        <v>0.05</v>
      </c>
      <c r="BI9" s="370">
        <f t="shared" si="25"/>
        <v>0.05</v>
      </c>
      <c r="BJ9" s="370">
        <f t="shared" si="25"/>
        <v>0.05</v>
      </c>
      <c r="BK9" s="370">
        <f t="shared" si="25"/>
        <v>0.05</v>
      </c>
      <c r="BL9" s="370">
        <f t="shared" si="25"/>
        <v>0.05</v>
      </c>
      <c r="BM9" s="370">
        <f t="shared" si="25"/>
        <v>0.05</v>
      </c>
      <c r="BN9" s="370">
        <f t="shared" si="25"/>
        <v>0.05</v>
      </c>
      <c r="BO9" s="370">
        <f t="shared" si="25"/>
        <v>0.05</v>
      </c>
      <c r="BP9" s="370">
        <f t="shared" si="25"/>
        <v>0.05</v>
      </c>
      <c r="BQ9" s="370">
        <f t="shared" si="25"/>
        <v>0.05</v>
      </c>
      <c r="BR9" s="370">
        <f t="shared" si="25"/>
        <v>0.05</v>
      </c>
      <c r="BS9" s="370">
        <f t="shared" si="25"/>
        <v>0.05</v>
      </c>
      <c r="BT9" s="370">
        <f t="shared" si="25"/>
        <v>0.05</v>
      </c>
      <c r="BU9" s="370">
        <f t="shared" si="25"/>
        <v>0.05</v>
      </c>
      <c r="BV9" s="370">
        <f t="shared" si="25"/>
        <v>0.05</v>
      </c>
      <c r="BW9" s="370">
        <f t="shared" si="25"/>
        <v>0.05</v>
      </c>
      <c r="BX9" s="370">
        <f t="shared" si="25"/>
        <v>0.05</v>
      </c>
      <c r="BY9" s="370">
        <f t="shared" si="25"/>
        <v>0.05</v>
      </c>
      <c r="BZ9" s="370">
        <f t="shared" si="25"/>
        <v>0.05</v>
      </c>
      <c r="CA9" s="370">
        <f t="shared" si="25"/>
        <v>0.05</v>
      </c>
      <c r="CB9" s="370">
        <f t="shared" si="25"/>
        <v>0.05</v>
      </c>
      <c r="CC9" s="370">
        <f t="shared" si="25"/>
        <v>0.05</v>
      </c>
      <c r="CD9" s="370">
        <f t="shared" si="25"/>
        <v>0.05</v>
      </c>
      <c r="CE9" s="370">
        <f t="shared" si="25"/>
        <v>0.05</v>
      </c>
      <c r="CF9" s="370">
        <f t="shared" si="25"/>
        <v>0.05</v>
      </c>
      <c r="CG9" s="370">
        <f t="shared" si="25"/>
        <v>0.05</v>
      </c>
      <c r="CH9" s="370">
        <f t="shared" si="25"/>
        <v>0.05</v>
      </c>
      <c r="CI9" s="370">
        <f t="shared" si="25"/>
        <v>0.05</v>
      </c>
      <c r="CJ9" s="370">
        <f t="shared" si="25"/>
        <v>0.05</v>
      </c>
      <c r="CK9" s="370">
        <f t="shared" si="25"/>
        <v>0.05</v>
      </c>
      <c r="CL9" s="370">
        <f t="shared" ref="CL9:EW9" si="26">CK9</f>
        <v>0.05</v>
      </c>
      <c r="CM9" s="370">
        <f t="shared" si="26"/>
        <v>0.05</v>
      </c>
      <c r="CN9" s="370">
        <f t="shared" si="26"/>
        <v>0.05</v>
      </c>
      <c r="CO9" s="370">
        <f t="shared" si="26"/>
        <v>0.05</v>
      </c>
      <c r="CP9" s="370">
        <f t="shared" si="26"/>
        <v>0.05</v>
      </c>
      <c r="CQ9" s="370">
        <f t="shared" si="26"/>
        <v>0.05</v>
      </c>
      <c r="CR9" s="370">
        <f t="shared" si="26"/>
        <v>0.05</v>
      </c>
      <c r="CS9" s="370">
        <f t="shared" si="26"/>
        <v>0.05</v>
      </c>
      <c r="CT9" s="370">
        <f t="shared" si="26"/>
        <v>0.05</v>
      </c>
      <c r="CU9" s="370">
        <f t="shared" si="26"/>
        <v>0.05</v>
      </c>
      <c r="CV9" s="370">
        <f t="shared" si="26"/>
        <v>0.05</v>
      </c>
      <c r="CW9" s="370">
        <f t="shared" si="26"/>
        <v>0.05</v>
      </c>
      <c r="CX9" s="370">
        <f t="shared" si="26"/>
        <v>0.05</v>
      </c>
      <c r="CY9" s="370">
        <f t="shared" si="26"/>
        <v>0.05</v>
      </c>
      <c r="CZ9" s="370">
        <f t="shared" si="26"/>
        <v>0.05</v>
      </c>
      <c r="DA9" s="370">
        <f t="shared" si="26"/>
        <v>0.05</v>
      </c>
      <c r="DB9" s="370">
        <f t="shared" si="26"/>
        <v>0.05</v>
      </c>
      <c r="DC9" s="370">
        <f t="shared" si="26"/>
        <v>0.05</v>
      </c>
      <c r="DD9" s="370">
        <f t="shared" si="26"/>
        <v>0.05</v>
      </c>
      <c r="DE9" s="370">
        <f t="shared" si="26"/>
        <v>0.05</v>
      </c>
      <c r="DF9" s="370">
        <f t="shared" si="26"/>
        <v>0.05</v>
      </c>
      <c r="DG9" s="370">
        <f t="shared" si="26"/>
        <v>0.05</v>
      </c>
      <c r="DH9" s="370">
        <f t="shared" si="26"/>
        <v>0.05</v>
      </c>
      <c r="DI9" s="370">
        <f t="shared" si="26"/>
        <v>0.05</v>
      </c>
      <c r="DJ9" s="370">
        <f t="shared" si="26"/>
        <v>0.05</v>
      </c>
      <c r="DK9" s="370">
        <f t="shared" si="26"/>
        <v>0.05</v>
      </c>
      <c r="DL9" s="370">
        <f t="shared" si="26"/>
        <v>0.05</v>
      </c>
      <c r="DM9" s="370">
        <f t="shared" si="26"/>
        <v>0.05</v>
      </c>
      <c r="DN9" s="370">
        <f t="shared" si="26"/>
        <v>0.05</v>
      </c>
      <c r="DO9" s="370">
        <f t="shared" si="26"/>
        <v>0.05</v>
      </c>
      <c r="DP9" s="370">
        <f t="shared" si="26"/>
        <v>0.05</v>
      </c>
      <c r="DQ9" s="370">
        <f t="shared" si="26"/>
        <v>0.05</v>
      </c>
      <c r="DR9" s="370">
        <f t="shared" si="26"/>
        <v>0.05</v>
      </c>
      <c r="DS9" s="370">
        <f t="shared" si="26"/>
        <v>0.05</v>
      </c>
      <c r="DT9" s="370">
        <f t="shared" si="26"/>
        <v>0.05</v>
      </c>
      <c r="DU9" s="370">
        <f t="shared" si="26"/>
        <v>0.05</v>
      </c>
      <c r="DV9" s="370">
        <f t="shared" si="26"/>
        <v>0.05</v>
      </c>
      <c r="DW9" s="370">
        <f t="shared" si="26"/>
        <v>0.05</v>
      </c>
      <c r="DX9" s="370">
        <f t="shared" si="26"/>
        <v>0.05</v>
      </c>
      <c r="DY9" s="370">
        <f t="shared" si="26"/>
        <v>0.05</v>
      </c>
      <c r="DZ9" s="370">
        <f t="shared" si="26"/>
        <v>0.05</v>
      </c>
      <c r="EA9" s="370">
        <f t="shared" si="26"/>
        <v>0.05</v>
      </c>
      <c r="EB9" s="370">
        <f t="shared" si="26"/>
        <v>0.05</v>
      </c>
      <c r="EC9" s="370">
        <f t="shared" si="26"/>
        <v>0.05</v>
      </c>
      <c r="ED9" s="370">
        <f t="shared" si="26"/>
        <v>0.05</v>
      </c>
      <c r="EE9" s="370">
        <f t="shared" si="26"/>
        <v>0.05</v>
      </c>
      <c r="EF9" s="370">
        <f t="shared" si="26"/>
        <v>0.05</v>
      </c>
      <c r="EG9" s="370">
        <f t="shared" si="26"/>
        <v>0.05</v>
      </c>
      <c r="EH9" s="370">
        <f t="shared" si="26"/>
        <v>0.05</v>
      </c>
      <c r="EI9" s="370">
        <f t="shared" si="26"/>
        <v>0.05</v>
      </c>
      <c r="EJ9" s="370">
        <f t="shared" si="26"/>
        <v>0.05</v>
      </c>
      <c r="EK9" s="370">
        <f t="shared" si="26"/>
        <v>0.05</v>
      </c>
      <c r="EL9" s="370">
        <f t="shared" si="26"/>
        <v>0.05</v>
      </c>
      <c r="EM9" s="370">
        <f t="shared" si="26"/>
        <v>0.05</v>
      </c>
      <c r="EN9" s="370">
        <f t="shared" si="26"/>
        <v>0.05</v>
      </c>
      <c r="EO9" s="370">
        <f t="shared" si="26"/>
        <v>0.05</v>
      </c>
      <c r="EP9" s="370">
        <f t="shared" si="26"/>
        <v>0.05</v>
      </c>
      <c r="EQ9" s="370">
        <f t="shared" si="26"/>
        <v>0.05</v>
      </c>
      <c r="ER9" s="370">
        <f t="shared" si="26"/>
        <v>0.05</v>
      </c>
      <c r="ES9" s="370">
        <f t="shared" si="26"/>
        <v>0.05</v>
      </c>
      <c r="ET9" s="370">
        <f t="shared" si="26"/>
        <v>0.05</v>
      </c>
      <c r="EU9" s="370">
        <f t="shared" si="26"/>
        <v>0.05</v>
      </c>
      <c r="EV9" s="370">
        <f t="shared" si="26"/>
        <v>0.05</v>
      </c>
      <c r="EW9" s="370">
        <f t="shared" si="26"/>
        <v>0.05</v>
      </c>
      <c r="EX9" s="370">
        <f t="shared" ref="EX9:FN9" si="27">EW9</f>
        <v>0.05</v>
      </c>
      <c r="EY9" s="370">
        <f t="shared" si="27"/>
        <v>0.05</v>
      </c>
      <c r="EZ9" s="370">
        <f t="shared" si="27"/>
        <v>0.05</v>
      </c>
      <c r="FA9" s="370">
        <f t="shared" si="27"/>
        <v>0.05</v>
      </c>
      <c r="FB9" s="370">
        <f t="shared" si="27"/>
        <v>0.05</v>
      </c>
      <c r="FC9" s="370">
        <f t="shared" si="27"/>
        <v>0.05</v>
      </c>
      <c r="FD9" s="370">
        <f t="shared" si="27"/>
        <v>0.05</v>
      </c>
      <c r="FE9" s="370">
        <f t="shared" si="27"/>
        <v>0.05</v>
      </c>
      <c r="FF9" s="370">
        <f t="shared" si="27"/>
        <v>0.05</v>
      </c>
      <c r="FG9" s="370">
        <f t="shared" si="27"/>
        <v>0.05</v>
      </c>
      <c r="FH9" s="370">
        <f t="shared" si="27"/>
        <v>0.05</v>
      </c>
      <c r="FI9" s="370">
        <f t="shared" si="27"/>
        <v>0.05</v>
      </c>
      <c r="FJ9" s="370">
        <f t="shared" si="27"/>
        <v>0.05</v>
      </c>
      <c r="FK9" s="370">
        <f t="shared" si="27"/>
        <v>0.05</v>
      </c>
      <c r="FL9" s="370">
        <f t="shared" si="27"/>
        <v>0.05</v>
      </c>
      <c r="FM9" s="370">
        <f t="shared" si="27"/>
        <v>0.05</v>
      </c>
      <c r="FN9" s="370">
        <f t="shared" si="27"/>
        <v>0.05</v>
      </c>
      <c r="FO9" s="370">
        <f t="shared" ref="FO9:FS9" si="28">FN9</f>
        <v>0.05</v>
      </c>
      <c r="FP9" s="370">
        <f t="shared" si="28"/>
        <v>0.05</v>
      </c>
      <c r="FQ9" s="370">
        <f t="shared" si="28"/>
        <v>0.05</v>
      </c>
      <c r="FR9" s="370">
        <f t="shared" si="28"/>
        <v>0.05</v>
      </c>
      <c r="FS9" s="67">
        <f t="shared" si="28"/>
        <v>0.05</v>
      </c>
    </row>
    <row r="10" spans="2:175" ht="15" thickBot="1" x14ac:dyDescent="0.4">
      <c r="B10" s="9" t="s">
        <v>267</v>
      </c>
      <c r="C10" s="640">
        <v>360</v>
      </c>
      <c r="E10" s="515">
        <f t="shared" si="7"/>
        <v>6</v>
      </c>
      <c r="F10" s="331">
        <f t="shared" si="8"/>
        <v>46203</v>
      </c>
      <c r="G10" s="616">
        <f t="shared" si="9"/>
        <v>7648652.1844511312</v>
      </c>
      <c r="H10" s="616">
        <f t="shared" si="3"/>
        <v>41243.71</v>
      </c>
      <c r="I10" s="616">
        <f t="shared" si="4"/>
        <v>9464.9157410776352</v>
      </c>
      <c r="J10" s="616">
        <f t="shared" si="5"/>
        <v>31778.794258922364</v>
      </c>
      <c r="K10" s="616">
        <f t="shared" si="10"/>
        <v>56205.290169329834</v>
      </c>
      <c r="L10" s="616">
        <f t="shared" si="11"/>
        <v>191256.96983067016</v>
      </c>
      <c r="M10" s="617">
        <f t="shared" si="6"/>
        <v>7639187.2687100535</v>
      </c>
      <c r="O10" s="9" t="s">
        <v>328</v>
      </c>
      <c r="P10" s="89">
        <f>SUM(I77:I88)</f>
        <v>153423.42332336304</v>
      </c>
      <c r="Q10" s="142">
        <f>SUM(J77:J88)</f>
        <v>341501.09667663695</v>
      </c>
      <c r="S10" s="628" t="s">
        <v>329</v>
      </c>
      <c r="T10" s="629">
        <v>0</v>
      </c>
      <c r="V10" s="128"/>
      <c r="W10" s="9"/>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30"/>
    </row>
    <row r="11" spans="2:175" ht="15" thickBot="1" x14ac:dyDescent="0.4">
      <c r="B11" s="9"/>
      <c r="C11" s="30"/>
      <c r="E11" s="515">
        <f t="shared" si="7"/>
        <v>7</v>
      </c>
      <c r="F11" s="331">
        <f t="shared" si="8"/>
        <v>46234</v>
      </c>
      <c r="G11" s="616">
        <f t="shared" si="9"/>
        <v>7639187.2687100535</v>
      </c>
      <c r="H11" s="616">
        <f t="shared" si="3"/>
        <v>41243.71</v>
      </c>
      <c r="I11" s="616">
        <f t="shared" si="4"/>
        <v>9504.2407885186985</v>
      </c>
      <c r="J11" s="616">
        <f t="shared" si="5"/>
        <v>31739.469211481301</v>
      </c>
      <c r="K11" s="616">
        <f>I11+K10</f>
        <v>65709.530957848532</v>
      </c>
      <c r="L11" s="616">
        <f t="shared" si="11"/>
        <v>222996.43904215147</v>
      </c>
      <c r="M11" s="617">
        <f t="shared" si="6"/>
        <v>7629683.0279215351</v>
      </c>
      <c r="O11" s="9" t="s">
        <v>331</v>
      </c>
      <c r="P11" s="89">
        <f>SUM(I89:I100)</f>
        <v>161250.03224163706</v>
      </c>
      <c r="Q11" s="142">
        <f>SUM(J89:J100)</f>
        <v>333674.4877583629</v>
      </c>
      <c r="V11" s="128"/>
      <c r="W11" s="9" t="s">
        <v>335</v>
      </c>
      <c r="X11" s="370">
        <f>T21</f>
        <v>0.09</v>
      </c>
      <c r="Y11" s="370">
        <f>X11</f>
        <v>0.09</v>
      </c>
      <c r="Z11" s="370">
        <f t="shared" ref="Z11:CK11" si="29">Y11</f>
        <v>0.09</v>
      </c>
      <c r="AA11" s="370">
        <f t="shared" si="29"/>
        <v>0.09</v>
      </c>
      <c r="AB11" s="370">
        <f t="shared" si="29"/>
        <v>0.09</v>
      </c>
      <c r="AC11" s="370">
        <f t="shared" si="29"/>
        <v>0.09</v>
      </c>
      <c r="AD11" s="370">
        <f t="shared" si="29"/>
        <v>0.09</v>
      </c>
      <c r="AE11" s="370">
        <f t="shared" si="29"/>
        <v>0.09</v>
      </c>
      <c r="AF11" s="370">
        <f t="shared" si="29"/>
        <v>0.09</v>
      </c>
      <c r="AG11" s="370">
        <f t="shared" si="29"/>
        <v>0.09</v>
      </c>
      <c r="AH11" s="370">
        <f t="shared" si="29"/>
        <v>0.09</v>
      </c>
      <c r="AI11" s="370">
        <f t="shared" si="29"/>
        <v>0.09</v>
      </c>
      <c r="AJ11" s="370">
        <f t="shared" si="29"/>
        <v>0.09</v>
      </c>
      <c r="AK11" s="370">
        <f t="shared" si="29"/>
        <v>0.09</v>
      </c>
      <c r="AL11" s="370">
        <f t="shared" si="29"/>
        <v>0.09</v>
      </c>
      <c r="AM11" s="370">
        <f t="shared" si="29"/>
        <v>0.09</v>
      </c>
      <c r="AN11" s="370">
        <f t="shared" si="29"/>
        <v>0.09</v>
      </c>
      <c r="AO11" s="370">
        <f t="shared" si="29"/>
        <v>0.09</v>
      </c>
      <c r="AP11" s="370">
        <f t="shared" si="29"/>
        <v>0.09</v>
      </c>
      <c r="AQ11" s="370">
        <f t="shared" si="29"/>
        <v>0.09</v>
      </c>
      <c r="AR11" s="370">
        <f t="shared" si="29"/>
        <v>0.09</v>
      </c>
      <c r="AS11" s="370">
        <f t="shared" si="29"/>
        <v>0.09</v>
      </c>
      <c r="AT11" s="370">
        <f t="shared" si="29"/>
        <v>0.09</v>
      </c>
      <c r="AU11" s="370">
        <f t="shared" si="29"/>
        <v>0.09</v>
      </c>
      <c r="AV11" s="370">
        <f t="shared" si="29"/>
        <v>0.09</v>
      </c>
      <c r="AW11" s="370">
        <f t="shared" si="29"/>
        <v>0.09</v>
      </c>
      <c r="AX11" s="370">
        <f t="shared" si="29"/>
        <v>0.09</v>
      </c>
      <c r="AY11" s="370">
        <f t="shared" si="29"/>
        <v>0.09</v>
      </c>
      <c r="AZ11" s="370">
        <f t="shared" si="29"/>
        <v>0.09</v>
      </c>
      <c r="BA11" s="370">
        <f t="shared" si="29"/>
        <v>0.09</v>
      </c>
      <c r="BB11" s="370">
        <f t="shared" si="29"/>
        <v>0.09</v>
      </c>
      <c r="BC11" s="370">
        <f t="shared" si="29"/>
        <v>0.09</v>
      </c>
      <c r="BD11" s="370">
        <f t="shared" si="29"/>
        <v>0.09</v>
      </c>
      <c r="BE11" s="370">
        <f t="shared" si="29"/>
        <v>0.09</v>
      </c>
      <c r="BF11" s="370">
        <f t="shared" si="29"/>
        <v>0.09</v>
      </c>
      <c r="BG11" s="370">
        <f t="shared" si="29"/>
        <v>0.09</v>
      </c>
      <c r="BH11" s="370">
        <f t="shared" si="29"/>
        <v>0.09</v>
      </c>
      <c r="BI11" s="370">
        <f t="shared" si="29"/>
        <v>0.09</v>
      </c>
      <c r="BJ11" s="370">
        <f t="shared" si="29"/>
        <v>0.09</v>
      </c>
      <c r="BK11" s="370">
        <f t="shared" si="29"/>
        <v>0.09</v>
      </c>
      <c r="BL11" s="370">
        <f t="shared" si="29"/>
        <v>0.09</v>
      </c>
      <c r="BM11" s="370">
        <f t="shared" si="29"/>
        <v>0.09</v>
      </c>
      <c r="BN11" s="370">
        <f t="shared" si="29"/>
        <v>0.09</v>
      </c>
      <c r="BO11" s="370">
        <f t="shared" si="29"/>
        <v>0.09</v>
      </c>
      <c r="BP11" s="370">
        <f t="shared" si="29"/>
        <v>0.09</v>
      </c>
      <c r="BQ11" s="370">
        <f t="shared" si="29"/>
        <v>0.09</v>
      </c>
      <c r="BR11" s="370">
        <f t="shared" si="29"/>
        <v>0.09</v>
      </c>
      <c r="BS11" s="370">
        <f t="shared" si="29"/>
        <v>0.09</v>
      </c>
      <c r="BT11" s="370">
        <f t="shared" si="29"/>
        <v>0.09</v>
      </c>
      <c r="BU11" s="370">
        <f t="shared" si="29"/>
        <v>0.09</v>
      </c>
      <c r="BV11" s="370">
        <f t="shared" si="29"/>
        <v>0.09</v>
      </c>
      <c r="BW11" s="370">
        <f t="shared" si="29"/>
        <v>0.09</v>
      </c>
      <c r="BX11" s="370">
        <f t="shared" si="29"/>
        <v>0.09</v>
      </c>
      <c r="BY11" s="370">
        <f t="shared" si="29"/>
        <v>0.09</v>
      </c>
      <c r="BZ11" s="370">
        <f t="shared" si="29"/>
        <v>0.09</v>
      </c>
      <c r="CA11" s="370">
        <f t="shared" si="29"/>
        <v>0.09</v>
      </c>
      <c r="CB11" s="370">
        <f t="shared" si="29"/>
        <v>0.09</v>
      </c>
      <c r="CC11" s="370">
        <f t="shared" si="29"/>
        <v>0.09</v>
      </c>
      <c r="CD11" s="370">
        <f t="shared" si="29"/>
        <v>0.09</v>
      </c>
      <c r="CE11" s="370">
        <f t="shared" si="29"/>
        <v>0.09</v>
      </c>
      <c r="CF11" s="370">
        <f t="shared" si="29"/>
        <v>0.09</v>
      </c>
      <c r="CG11" s="370">
        <f t="shared" si="29"/>
        <v>0.09</v>
      </c>
      <c r="CH11" s="370">
        <f t="shared" si="29"/>
        <v>0.09</v>
      </c>
      <c r="CI11" s="370">
        <f t="shared" si="29"/>
        <v>0.09</v>
      </c>
      <c r="CJ11" s="370">
        <f t="shared" si="29"/>
        <v>0.09</v>
      </c>
      <c r="CK11" s="370">
        <f t="shared" si="29"/>
        <v>0.09</v>
      </c>
      <c r="CL11" s="370">
        <f t="shared" ref="CL11:EW11" si="30">CK11</f>
        <v>0.09</v>
      </c>
      <c r="CM11" s="370">
        <f t="shared" si="30"/>
        <v>0.09</v>
      </c>
      <c r="CN11" s="370">
        <f t="shared" si="30"/>
        <v>0.09</v>
      </c>
      <c r="CO11" s="370">
        <f t="shared" si="30"/>
        <v>0.09</v>
      </c>
      <c r="CP11" s="370">
        <f t="shared" si="30"/>
        <v>0.09</v>
      </c>
      <c r="CQ11" s="370">
        <f t="shared" si="30"/>
        <v>0.09</v>
      </c>
      <c r="CR11" s="370">
        <f t="shared" si="30"/>
        <v>0.09</v>
      </c>
      <c r="CS11" s="370">
        <f t="shared" si="30"/>
        <v>0.09</v>
      </c>
      <c r="CT11" s="370">
        <f t="shared" si="30"/>
        <v>0.09</v>
      </c>
      <c r="CU11" s="370">
        <f t="shared" si="30"/>
        <v>0.09</v>
      </c>
      <c r="CV11" s="370">
        <f t="shared" si="30"/>
        <v>0.09</v>
      </c>
      <c r="CW11" s="370">
        <f t="shared" si="30"/>
        <v>0.09</v>
      </c>
      <c r="CX11" s="370">
        <f t="shared" si="30"/>
        <v>0.09</v>
      </c>
      <c r="CY11" s="370">
        <f t="shared" si="30"/>
        <v>0.09</v>
      </c>
      <c r="CZ11" s="370">
        <f t="shared" si="30"/>
        <v>0.09</v>
      </c>
      <c r="DA11" s="370">
        <f t="shared" si="30"/>
        <v>0.09</v>
      </c>
      <c r="DB11" s="370">
        <f t="shared" si="30"/>
        <v>0.09</v>
      </c>
      <c r="DC11" s="370">
        <f t="shared" si="30"/>
        <v>0.09</v>
      </c>
      <c r="DD11" s="370">
        <f t="shared" si="30"/>
        <v>0.09</v>
      </c>
      <c r="DE11" s="370">
        <f t="shared" si="30"/>
        <v>0.09</v>
      </c>
      <c r="DF11" s="370">
        <f t="shared" si="30"/>
        <v>0.09</v>
      </c>
      <c r="DG11" s="370">
        <f t="shared" si="30"/>
        <v>0.09</v>
      </c>
      <c r="DH11" s="370">
        <f t="shared" si="30"/>
        <v>0.09</v>
      </c>
      <c r="DI11" s="370">
        <f t="shared" si="30"/>
        <v>0.09</v>
      </c>
      <c r="DJ11" s="370">
        <f t="shared" si="30"/>
        <v>0.09</v>
      </c>
      <c r="DK11" s="370">
        <f t="shared" si="30"/>
        <v>0.09</v>
      </c>
      <c r="DL11" s="370">
        <f t="shared" si="30"/>
        <v>0.09</v>
      </c>
      <c r="DM11" s="370">
        <f t="shared" si="30"/>
        <v>0.09</v>
      </c>
      <c r="DN11" s="370">
        <f t="shared" si="30"/>
        <v>0.09</v>
      </c>
      <c r="DO11" s="370">
        <f t="shared" si="30"/>
        <v>0.09</v>
      </c>
      <c r="DP11" s="370">
        <f t="shared" si="30"/>
        <v>0.09</v>
      </c>
      <c r="DQ11" s="370">
        <f t="shared" si="30"/>
        <v>0.09</v>
      </c>
      <c r="DR11" s="370">
        <f t="shared" si="30"/>
        <v>0.09</v>
      </c>
      <c r="DS11" s="370">
        <f t="shared" si="30"/>
        <v>0.09</v>
      </c>
      <c r="DT11" s="370">
        <f t="shared" si="30"/>
        <v>0.09</v>
      </c>
      <c r="DU11" s="370">
        <f t="shared" si="30"/>
        <v>0.09</v>
      </c>
      <c r="DV11" s="370">
        <f t="shared" si="30"/>
        <v>0.09</v>
      </c>
      <c r="DW11" s="370">
        <f t="shared" si="30"/>
        <v>0.09</v>
      </c>
      <c r="DX11" s="370">
        <f t="shared" si="30"/>
        <v>0.09</v>
      </c>
      <c r="DY11" s="370">
        <f t="shared" si="30"/>
        <v>0.09</v>
      </c>
      <c r="DZ11" s="370">
        <f t="shared" si="30"/>
        <v>0.09</v>
      </c>
      <c r="EA11" s="370">
        <f t="shared" si="30"/>
        <v>0.09</v>
      </c>
      <c r="EB11" s="370">
        <f t="shared" si="30"/>
        <v>0.09</v>
      </c>
      <c r="EC11" s="370">
        <f t="shared" si="30"/>
        <v>0.09</v>
      </c>
      <c r="ED11" s="370">
        <f t="shared" si="30"/>
        <v>0.09</v>
      </c>
      <c r="EE11" s="370">
        <f t="shared" si="30"/>
        <v>0.09</v>
      </c>
      <c r="EF11" s="370">
        <f t="shared" si="30"/>
        <v>0.09</v>
      </c>
      <c r="EG11" s="370">
        <f t="shared" si="30"/>
        <v>0.09</v>
      </c>
      <c r="EH11" s="370">
        <f t="shared" si="30"/>
        <v>0.09</v>
      </c>
      <c r="EI11" s="370">
        <f t="shared" si="30"/>
        <v>0.09</v>
      </c>
      <c r="EJ11" s="370">
        <f t="shared" si="30"/>
        <v>0.09</v>
      </c>
      <c r="EK11" s="370">
        <f t="shared" si="30"/>
        <v>0.09</v>
      </c>
      <c r="EL11" s="370">
        <f t="shared" si="30"/>
        <v>0.09</v>
      </c>
      <c r="EM11" s="370">
        <f t="shared" si="30"/>
        <v>0.09</v>
      </c>
      <c r="EN11" s="370">
        <f t="shared" si="30"/>
        <v>0.09</v>
      </c>
      <c r="EO11" s="370">
        <f t="shared" si="30"/>
        <v>0.09</v>
      </c>
      <c r="EP11" s="370">
        <f t="shared" si="30"/>
        <v>0.09</v>
      </c>
      <c r="EQ11" s="370">
        <f t="shared" si="30"/>
        <v>0.09</v>
      </c>
      <c r="ER11" s="370">
        <f t="shared" si="30"/>
        <v>0.09</v>
      </c>
      <c r="ES11" s="370">
        <f t="shared" si="30"/>
        <v>0.09</v>
      </c>
      <c r="ET11" s="370">
        <f t="shared" si="30"/>
        <v>0.09</v>
      </c>
      <c r="EU11" s="370">
        <f t="shared" si="30"/>
        <v>0.09</v>
      </c>
      <c r="EV11" s="370">
        <f t="shared" si="30"/>
        <v>0.09</v>
      </c>
      <c r="EW11" s="370">
        <f t="shared" si="30"/>
        <v>0.09</v>
      </c>
      <c r="EX11" s="370">
        <f t="shared" ref="EX11:FS11" si="31">EW11</f>
        <v>0.09</v>
      </c>
      <c r="EY11" s="370">
        <f t="shared" si="31"/>
        <v>0.09</v>
      </c>
      <c r="EZ11" s="370">
        <f t="shared" si="31"/>
        <v>0.09</v>
      </c>
      <c r="FA11" s="370">
        <f t="shared" si="31"/>
        <v>0.09</v>
      </c>
      <c r="FB11" s="370">
        <f t="shared" si="31"/>
        <v>0.09</v>
      </c>
      <c r="FC11" s="370">
        <f t="shared" si="31"/>
        <v>0.09</v>
      </c>
      <c r="FD11" s="370">
        <f t="shared" si="31"/>
        <v>0.09</v>
      </c>
      <c r="FE11" s="370">
        <f t="shared" si="31"/>
        <v>0.09</v>
      </c>
      <c r="FF11" s="370">
        <f t="shared" si="31"/>
        <v>0.09</v>
      </c>
      <c r="FG11" s="370">
        <f t="shared" si="31"/>
        <v>0.09</v>
      </c>
      <c r="FH11" s="370">
        <f t="shared" si="31"/>
        <v>0.09</v>
      </c>
      <c r="FI11" s="370">
        <f t="shared" si="31"/>
        <v>0.09</v>
      </c>
      <c r="FJ11" s="370">
        <f t="shared" si="31"/>
        <v>0.09</v>
      </c>
      <c r="FK11" s="370">
        <f t="shared" si="31"/>
        <v>0.09</v>
      </c>
      <c r="FL11" s="370">
        <f t="shared" si="31"/>
        <v>0.09</v>
      </c>
      <c r="FM11" s="370">
        <f t="shared" si="31"/>
        <v>0.09</v>
      </c>
      <c r="FN11" s="370">
        <f t="shared" si="31"/>
        <v>0.09</v>
      </c>
      <c r="FO11" s="370">
        <f t="shared" si="31"/>
        <v>0.09</v>
      </c>
      <c r="FP11" s="370">
        <f t="shared" si="31"/>
        <v>0.09</v>
      </c>
      <c r="FQ11" s="370">
        <f t="shared" si="31"/>
        <v>0.09</v>
      </c>
      <c r="FR11" s="370">
        <f t="shared" si="31"/>
        <v>0.09</v>
      </c>
      <c r="FS11" s="67">
        <f t="shared" si="31"/>
        <v>0.09</v>
      </c>
    </row>
    <row r="12" spans="2:175" ht="15" thickBot="1" x14ac:dyDescent="0.4">
      <c r="B12" s="9" t="s">
        <v>332</v>
      </c>
      <c r="C12" s="115">
        <f>ROUND(PMT($C$9/12,$C$10,-$C$8,0), 2)</f>
        <v>41243.71</v>
      </c>
      <c r="E12" s="515">
        <f t="shared" si="7"/>
        <v>8</v>
      </c>
      <c r="F12" s="331">
        <f t="shared" si="8"/>
        <v>46265</v>
      </c>
      <c r="G12" s="616">
        <f t="shared" si="9"/>
        <v>7629683.0279215351</v>
      </c>
      <c r="H12" s="616">
        <f t="shared" si="3"/>
        <v>41243.71</v>
      </c>
      <c r="I12" s="616">
        <f t="shared" si="4"/>
        <v>9543.7292245623175</v>
      </c>
      <c r="J12" s="616">
        <f t="shared" si="5"/>
        <v>31699.980775437682</v>
      </c>
      <c r="K12" s="616">
        <f t="shared" si="10"/>
        <v>75253.260182410857</v>
      </c>
      <c r="L12" s="616">
        <f t="shared" si="11"/>
        <v>254696.41981758917</v>
      </c>
      <c r="M12" s="617">
        <f t="shared" si="6"/>
        <v>7620139.2986969724</v>
      </c>
      <c r="O12" s="9" t="s">
        <v>333</v>
      </c>
      <c r="P12" s="89">
        <f>SUM(I101:I112)</f>
        <v>169475.9009719574</v>
      </c>
      <c r="Q12" s="142">
        <f>SUM(J101:J112)</f>
        <v>325448.61902804259</v>
      </c>
      <c r="S12" s="1281" t="s">
        <v>334</v>
      </c>
      <c r="T12" s="1283"/>
      <c r="V12" s="128"/>
      <c r="W12" s="9" t="s">
        <v>339</v>
      </c>
      <c r="X12" s="773" t="s">
        <v>77</v>
      </c>
      <c r="Y12" s="773" t="s">
        <v>77</v>
      </c>
      <c r="Z12" s="773" t="s">
        <v>77</v>
      </c>
      <c r="AA12" s="773" t="s">
        <v>77</v>
      </c>
      <c r="AB12" s="773" t="s">
        <v>77</v>
      </c>
      <c r="AC12" s="773" t="s">
        <v>77</v>
      </c>
      <c r="AD12" s="773" t="s">
        <v>77</v>
      </c>
      <c r="AE12" s="773" t="s">
        <v>77</v>
      </c>
      <c r="AF12" s="773" t="s">
        <v>77</v>
      </c>
      <c r="AG12" s="773" t="s">
        <v>77</v>
      </c>
      <c r="AH12" s="773" t="s">
        <v>77</v>
      </c>
      <c r="AI12" s="96">
        <f t="shared" ref="AI12:BN12" si="32">SUM(X7:AI7)/AI11</f>
        <v>7695392.5588793848</v>
      </c>
      <c r="AJ12" s="96">
        <f t="shared" si="32"/>
        <v>7708218.2131441832</v>
      </c>
      <c r="AK12" s="96">
        <f t="shared" si="32"/>
        <v>7721043.8674089815</v>
      </c>
      <c r="AL12" s="96">
        <f t="shared" si="32"/>
        <v>7733869.521673779</v>
      </c>
      <c r="AM12" s="96">
        <f t="shared" si="32"/>
        <v>7746695.1759385793</v>
      </c>
      <c r="AN12" s="96">
        <f t="shared" si="32"/>
        <v>7759520.8302033767</v>
      </c>
      <c r="AO12" s="96">
        <f t="shared" si="32"/>
        <v>7772346.484468177</v>
      </c>
      <c r="AP12" s="96">
        <f t="shared" si="32"/>
        <v>7785172.1387329744</v>
      </c>
      <c r="AQ12" s="96">
        <f t="shared" si="32"/>
        <v>7797997.7929977737</v>
      </c>
      <c r="AR12" s="96">
        <f t="shared" si="32"/>
        <v>7810823.4472625721</v>
      </c>
      <c r="AS12" s="96">
        <f t="shared" si="32"/>
        <v>7823649.1015273714</v>
      </c>
      <c r="AT12" s="96">
        <f t="shared" si="32"/>
        <v>7836474.7557921717</v>
      </c>
      <c r="AU12" s="96">
        <f t="shared" si="32"/>
        <v>7849300.4100569692</v>
      </c>
      <c r="AV12" s="96">
        <f t="shared" si="32"/>
        <v>7862382.5774070639</v>
      </c>
      <c r="AW12" s="96">
        <f t="shared" si="32"/>
        <v>7875464.7447571587</v>
      </c>
      <c r="AX12" s="96">
        <f t="shared" si="32"/>
        <v>7888546.9121072534</v>
      </c>
      <c r="AY12" s="96">
        <f t="shared" si="32"/>
        <v>7901629.0794573482</v>
      </c>
      <c r="AZ12" s="96">
        <f t="shared" si="32"/>
        <v>7914711.2468074439</v>
      </c>
      <c r="BA12" s="96">
        <f t="shared" si="32"/>
        <v>7927793.4141575387</v>
      </c>
      <c r="BB12" s="96">
        <f t="shared" si="32"/>
        <v>7940875.5815076344</v>
      </c>
      <c r="BC12" s="96">
        <f t="shared" si="32"/>
        <v>7953957.7488577291</v>
      </c>
      <c r="BD12" s="96">
        <f t="shared" si="32"/>
        <v>7967039.9162078239</v>
      </c>
      <c r="BE12" s="96">
        <f t="shared" si="32"/>
        <v>7980122.0835579187</v>
      </c>
      <c r="BF12" s="96">
        <f t="shared" si="32"/>
        <v>7993204.2509080144</v>
      </c>
      <c r="BG12" s="96">
        <f t="shared" si="32"/>
        <v>8006286.4182581091</v>
      </c>
      <c r="BH12" s="96">
        <f t="shared" si="32"/>
        <v>8019630.2289552074</v>
      </c>
      <c r="BI12" s="96">
        <f t="shared" si="32"/>
        <v>8032974.0396523047</v>
      </c>
      <c r="BJ12" s="96">
        <f t="shared" si="32"/>
        <v>8046317.850349403</v>
      </c>
      <c r="BK12" s="96">
        <f t="shared" si="32"/>
        <v>8059661.6610464994</v>
      </c>
      <c r="BL12" s="96">
        <f t="shared" si="32"/>
        <v>8073005.4717435958</v>
      </c>
      <c r="BM12" s="96">
        <f t="shared" si="32"/>
        <v>8086349.2824406922</v>
      </c>
      <c r="BN12" s="96">
        <f t="shared" si="32"/>
        <v>8099693.0931377886</v>
      </c>
      <c r="BO12" s="96">
        <f t="shared" ref="BO12:CT12" si="33">SUM(BD7:BO7)/BO11</f>
        <v>8113036.9038348868</v>
      </c>
      <c r="BP12" s="96">
        <f t="shared" si="33"/>
        <v>8126380.7145319832</v>
      </c>
      <c r="BQ12" s="96">
        <f t="shared" si="33"/>
        <v>8139724.5252290796</v>
      </c>
      <c r="BR12" s="96">
        <f t="shared" si="33"/>
        <v>8153068.335926176</v>
      </c>
      <c r="BS12" s="96">
        <f t="shared" si="33"/>
        <v>8166412.1466232734</v>
      </c>
      <c r="BT12" s="96">
        <f t="shared" si="33"/>
        <v>8180022.8335343124</v>
      </c>
      <c r="BU12" s="96">
        <f t="shared" si="33"/>
        <v>8193633.5204453506</v>
      </c>
      <c r="BV12" s="96">
        <f t="shared" si="33"/>
        <v>8207244.2073563896</v>
      </c>
      <c r="BW12" s="96">
        <f t="shared" si="33"/>
        <v>8220854.8942674277</v>
      </c>
      <c r="BX12" s="96">
        <f t="shared" si="33"/>
        <v>8234465.5811784659</v>
      </c>
      <c r="BY12" s="96">
        <f t="shared" si="33"/>
        <v>8248076.2680895058</v>
      </c>
      <c r="BZ12" s="96">
        <f t="shared" si="33"/>
        <v>8261686.9550005449</v>
      </c>
      <c r="CA12" s="96">
        <f t="shared" si="33"/>
        <v>8275297.641911583</v>
      </c>
      <c r="CB12" s="96">
        <f t="shared" si="33"/>
        <v>8288908.328822623</v>
      </c>
      <c r="CC12" s="96">
        <f t="shared" si="33"/>
        <v>8302519.0157336611</v>
      </c>
      <c r="CD12" s="96">
        <f t="shared" si="33"/>
        <v>8316129.7026447002</v>
      </c>
      <c r="CE12" s="96">
        <f t="shared" si="33"/>
        <v>8329740.3895557383</v>
      </c>
      <c r="CF12" s="96">
        <f t="shared" si="33"/>
        <v>8343623.2902049981</v>
      </c>
      <c r="CG12" s="96">
        <f t="shared" si="33"/>
        <v>8357506.1908542579</v>
      </c>
      <c r="CH12" s="96">
        <f t="shared" si="33"/>
        <v>8371389.0915035186</v>
      </c>
      <c r="CI12" s="96">
        <f t="shared" si="33"/>
        <v>8385271.9921527784</v>
      </c>
      <c r="CJ12" s="96">
        <f t="shared" si="33"/>
        <v>8399154.8928020392</v>
      </c>
      <c r="CK12" s="96">
        <f t="shared" si="33"/>
        <v>8413037.7934512962</v>
      </c>
      <c r="CL12" s="96">
        <f t="shared" si="33"/>
        <v>8426920.6941005569</v>
      </c>
      <c r="CM12" s="96">
        <f t="shared" si="33"/>
        <v>8440803.5947498176</v>
      </c>
      <c r="CN12" s="96">
        <f t="shared" si="33"/>
        <v>8454686.4953990765</v>
      </c>
      <c r="CO12" s="96">
        <f t="shared" si="33"/>
        <v>8468569.3960483354</v>
      </c>
      <c r="CP12" s="96">
        <f t="shared" si="33"/>
        <v>8482452.2966975942</v>
      </c>
      <c r="CQ12" s="96">
        <f t="shared" si="33"/>
        <v>8496335.197346855</v>
      </c>
      <c r="CR12" s="96">
        <f t="shared" si="33"/>
        <v>8510495.7560090981</v>
      </c>
      <c r="CS12" s="96">
        <f t="shared" si="33"/>
        <v>8524656.3146713432</v>
      </c>
      <c r="CT12" s="96">
        <f t="shared" si="33"/>
        <v>8538816.8733335864</v>
      </c>
      <c r="CU12" s="96">
        <f t="shared" ref="CU12:DZ12" si="34">SUM(CJ7:CU7)/CU11</f>
        <v>8552977.4319958314</v>
      </c>
      <c r="CV12" s="96">
        <f t="shared" si="34"/>
        <v>8567137.9906580765</v>
      </c>
      <c r="CW12" s="96">
        <f t="shared" si="34"/>
        <v>8581298.5493203215</v>
      </c>
      <c r="CX12" s="96">
        <f t="shared" si="34"/>
        <v>8595459.1079825647</v>
      </c>
      <c r="CY12" s="96">
        <f t="shared" si="34"/>
        <v>8609619.6666448116</v>
      </c>
      <c r="CZ12" s="96">
        <f t="shared" si="34"/>
        <v>8623780.2253070567</v>
      </c>
      <c r="DA12" s="96">
        <f t="shared" si="34"/>
        <v>8637940.7839692999</v>
      </c>
      <c r="DB12" s="96">
        <f t="shared" si="34"/>
        <v>8652101.3426315449</v>
      </c>
      <c r="DC12" s="96">
        <f t="shared" si="34"/>
        <v>8666261.90129379</v>
      </c>
      <c r="DD12" s="96">
        <f t="shared" si="34"/>
        <v>8680705.6711292807</v>
      </c>
      <c r="DE12" s="96">
        <f t="shared" si="34"/>
        <v>8695149.4409647696</v>
      </c>
      <c r="DF12" s="96">
        <f t="shared" si="34"/>
        <v>8709593.2108002584</v>
      </c>
      <c r="DG12" s="96">
        <f t="shared" si="34"/>
        <v>8724036.9806357473</v>
      </c>
      <c r="DH12" s="96">
        <f t="shared" si="34"/>
        <v>8738480.750471238</v>
      </c>
      <c r="DI12" s="96">
        <f t="shared" si="34"/>
        <v>8752924.5203067269</v>
      </c>
      <c r="DJ12" s="96">
        <f t="shared" si="34"/>
        <v>8767368.2901422195</v>
      </c>
      <c r="DK12" s="96">
        <f t="shared" si="34"/>
        <v>8781812.0599777047</v>
      </c>
      <c r="DL12" s="96">
        <f t="shared" si="34"/>
        <v>8796255.8298131973</v>
      </c>
      <c r="DM12" s="96">
        <f t="shared" si="34"/>
        <v>8810699.5996486861</v>
      </c>
      <c r="DN12" s="96">
        <f t="shared" si="34"/>
        <v>8825143.369484175</v>
      </c>
      <c r="DO12" s="96">
        <f t="shared" si="34"/>
        <v>8839587.1393196657</v>
      </c>
      <c r="DP12" s="96">
        <f t="shared" si="34"/>
        <v>8854319.7845518645</v>
      </c>
      <c r="DQ12" s="96">
        <f t="shared" si="34"/>
        <v>8869052.4297840632</v>
      </c>
      <c r="DR12" s="96">
        <f t="shared" si="34"/>
        <v>8883785.0750162639</v>
      </c>
      <c r="DS12" s="96">
        <f t="shared" si="34"/>
        <v>8898517.7202484626</v>
      </c>
      <c r="DT12" s="96">
        <f t="shared" si="34"/>
        <v>8913250.3654806614</v>
      </c>
      <c r="DU12" s="96">
        <f t="shared" si="34"/>
        <v>8927983.010712862</v>
      </c>
      <c r="DV12" s="96">
        <f t="shared" si="34"/>
        <v>8942715.6559450608</v>
      </c>
      <c r="DW12" s="96">
        <f t="shared" si="34"/>
        <v>8957448.3011772595</v>
      </c>
      <c r="DX12" s="96">
        <f t="shared" si="34"/>
        <v>8972180.9464094602</v>
      </c>
      <c r="DY12" s="96">
        <f t="shared" si="34"/>
        <v>8986913.5916416589</v>
      </c>
      <c r="DZ12" s="96">
        <f t="shared" si="34"/>
        <v>9001646.2368738577</v>
      </c>
      <c r="EA12" s="96">
        <f t="shared" ref="EA12:FF12" si="35">SUM(DP7:EA7)/EA11</f>
        <v>9016378.8821060583</v>
      </c>
      <c r="EB12" s="96">
        <f t="shared" si="35"/>
        <v>9031406.1802429017</v>
      </c>
      <c r="EC12" s="96">
        <f t="shared" si="35"/>
        <v>9046433.4783797469</v>
      </c>
      <c r="ED12" s="96">
        <f t="shared" si="35"/>
        <v>9061460.7765165903</v>
      </c>
      <c r="EE12" s="96">
        <f t="shared" si="35"/>
        <v>9076488.0746534355</v>
      </c>
      <c r="EF12" s="96">
        <f t="shared" si="35"/>
        <v>9091515.3727902789</v>
      </c>
      <c r="EG12" s="96">
        <f t="shared" si="35"/>
        <v>9106542.6709271222</v>
      </c>
      <c r="EH12" s="96">
        <f t="shared" si="35"/>
        <v>9121569.9690639656</v>
      </c>
      <c r="EI12" s="96">
        <f t="shared" si="35"/>
        <v>9136597.267200809</v>
      </c>
      <c r="EJ12" s="96">
        <f t="shared" si="35"/>
        <v>9151624.5653376523</v>
      </c>
      <c r="EK12" s="96">
        <f t="shared" si="35"/>
        <v>9166651.8634744957</v>
      </c>
      <c r="EL12" s="96">
        <f t="shared" si="35"/>
        <v>9181679.1616113372</v>
      </c>
      <c r="EM12" s="96">
        <f t="shared" si="35"/>
        <v>9196706.4597481824</v>
      </c>
      <c r="EN12" s="96">
        <f t="shared" si="35"/>
        <v>9212034.3038477637</v>
      </c>
      <c r="EO12" s="96">
        <f t="shared" si="35"/>
        <v>9227362.1479473431</v>
      </c>
      <c r="EP12" s="96">
        <f t="shared" si="35"/>
        <v>9242689.9920469224</v>
      </c>
      <c r="EQ12" s="96">
        <f t="shared" si="35"/>
        <v>9258017.8361465037</v>
      </c>
      <c r="ER12" s="96">
        <f t="shared" si="35"/>
        <v>9273345.6802460831</v>
      </c>
      <c r="ES12" s="96">
        <f t="shared" si="35"/>
        <v>9288673.5243456643</v>
      </c>
      <c r="ET12" s="96">
        <f t="shared" si="35"/>
        <v>9304001.3684452455</v>
      </c>
      <c r="EU12" s="96">
        <f t="shared" si="35"/>
        <v>9319329.2125448249</v>
      </c>
      <c r="EV12" s="96">
        <f t="shared" si="35"/>
        <v>9334657.0566444062</v>
      </c>
      <c r="EW12" s="96">
        <f t="shared" si="35"/>
        <v>9349984.9007439874</v>
      </c>
      <c r="EX12" s="96">
        <f t="shared" si="35"/>
        <v>9365312.7448435668</v>
      </c>
      <c r="EY12" s="96">
        <f t="shared" si="35"/>
        <v>9380640.5889431462</v>
      </c>
      <c r="EZ12" s="96">
        <f t="shared" si="35"/>
        <v>9396274.9899247177</v>
      </c>
      <c r="FA12" s="96">
        <f t="shared" si="35"/>
        <v>9411909.3909062892</v>
      </c>
      <c r="FB12" s="96">
        <f t="shared" si="35"/>
        <v>9427543.7918878607</v>
      </c>
      <c r="FC12" s="96">
        <f t="shared" si="35"/>
        <v>9443178.1928694323</v>
      </c>
      <c r="FD12" s="96">
        <f t="shared" si="35"/>
        <v>9458812.5938510038</v>
      </c>
      <c r="FE12" s="96">
        <f t="shared" si="35"/>
        <v>9474446.9948325753</v>
      </c>
      <c r="FF12" s="96">
        <f t="shared" si="35"/>
        <v>9490081.3958141468</v>
      </c>
      <c r="FG12" s="96">
        <f t="shared" ref="FG12:FS12" si="36">SUM(EV7:FG7)/FG11</f>
        <v>9505715.7967957184</v>
      </c>
      <c r="FH12" s="96">
        <f t="shared" si="36"/>
        <v>9521350.1977772899</v>
      </c>
      <c r="FI12" s="96">
        <f t="shared" si="36"/>
        <v>9536984.5987588633</v>
      </c>
      <c r="FJ12" s="96">
        <f t="shared" si="36"/>
        <v>9552618.9997404348</v>
      </c>
      <c r="FK12" s="96">
        <f t="shared" si="36"/>
        <v>9568253.4007220063</v>
      </c>
      <c r="FL12" s="96">
        <f t="shared" si="36"/>
        <v>9584200.4897232093</v>
      </c>
      <c r="FM12" s="96">
        <f t="shared" si="36"/>
        <v>9600147.5787244141</v>
      </c>
      <c r="FN12" s="96">
        <f t="shared" si="36"/>
        <v>9616094.6677256171</v>
      </c>
      <c r="FO12" s="96">
        <f t="shared" si="36"/>
        <v>9632041.7567268219</v>
      </c>
      <c r="FP12" s="96">
        <f t="shared" si="36"/>
        <v>9647988.8457280248</v>
      </c>
      <c r="FQ12" s="96">
        <f t="shared" si="36"/>
        <v>9663935.9347292278</v>
      </c>
      <c r="FR12" s="96">
        <f t="shared" si="36"/>
        <v>9679883.0237304326</v>
      </c>
      <c r="FS12" s="104">
        <f t="shared" si="36"/>
        <v>9695830.1127316356</v>
      </c>
    </row>
    <row r="13" spans="2:175" ht="15" thickBot="1" x14ac:dyDescent="0.4">
      <c r="B13" s="9" t="s">
        <v>336</v>
      </c>
      <c r="C13" s="142">
        <f>C12*12</f>
        <v>494924.52</v>
      </c>
      <c r="E13" s="515">
        <f t="shared" si="7"/>
        <v>9</v>
      </c>
      <c r="F13" s="331">
        <f t="shared" si="8"/>
        <v>46295</v>
      </c>
      <c r="G13" s="616">
        <f t="shared" si="9"/>
        <v>7620139.2986969724</v>
      </c>
      <c r="H13" s="616">
        <f t="shared" si="3"/>
        <v>41243.71</v>
      </c>
      <c r="I13" s="616">
        <f t="shared" si="4"/>
        <v>9583.3817280591793</v>
      </c>
      <c r="J13" s="616">
        <f t="shared" si="5"/>
        <v>31660.32827194082</v>
      </c>
      <c r="K13" s="616">
        <f t="shared" si="10"/>
        <v>84836.641910470033</v>
      </c>
      <c r="L13" s="616">
        <f t="shared" si="11"/>
        <v>286356.74808952998</v>
      </c>
      <c r="M13" s="617">
        <f t="shared" si="6"/>
        <v>7610555.9169689128</v>
      </c>
      <c r="O13" s="9" t="s">
        <v>337</v>
      </c>
      <c r="P13" s="89">
        <f>SUM(I113:I124)</f>
        <v>178121.39700670558</v>
      </c>
      <c r="Q13" s="142">
        <f>SUM(J113:J124)</f>
        <v>316803.12299329444</v>
      </c>
      <c r="S13" s="1310" t="s">
        <v>338</v>
      </c>
      <c r="T13" s="1311"/>
      <c r="W13" s="9"/>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30"/>
    </row>
    <row r="14" spans="2:175" x14ac:dyDescent="0.35">
      <c r="B14" s="9"/>
      <c r="C14" s="30"/>
      <c r="E14" s="515">
        <f t="shared" si="7"/>
        <v>10</v>
      </c>
      <c r="F14" s="331">
        <f t="shared" si="8"/>
        <v>46326</v>
      </c>
      <c r="G14" s="616">
        <f t="shared" si="9"/>
        <v>7610555.9169689128</v>
      </c>
      <c r="H14" s="616">
        <f t="shared" si="3"/>
        <v>41243.71</v>
      </c>
      <c r="I14" s="616">
        <f t="shared" si="4"/>
        <v>9623.1989806804777</v>
      </c>
      <c r="J14" s="616">
        <f t="shared" si="5"/>
        <v>31620.511019319521</v>
      </c>
      <c r="K14" s="616">
        <f t="shared" si="10"/>
        <v>94459.84089115051</v>
      </c>
      <c r="L14" s="616">
        <f t="shared" si="11"/>
        <v>317977.25910884951</v>
      </c>
      <c r="M14" s="617">
        <f t="shared" si="6"/>
        <v>7600932.7179882322</v>
      </c>
      <c r="O14" s="9" t="s">
        <v>340</v>
      </c>
      <c r="P14" s="89">
        <f>SUM(I125:I136)</f>
        <v>187207.92684778362</v>
      </c>
      <c r="Q14" s="142">
        <f>SUM(J125:J136)</f>
        <v>307716.59315221634</v>
      </c>
      <c r="S14" s="561"/>
      <c r="T14" s="563"/>
      <c r="W14" s="9" t="s">
        <v>344</v>
      </c>
      <c r="X14" s="602">
        <v>0.06</v>
      </c>
      <c r="Y14" s="370">
        <f>X14</f>
        <v>0.06</v>
      </c>
      <c r="Z14" s="370">
        <f t="shared" ref="Z14:CK15" si="37">Y14</f>
        <v>0.06</v>
      </c>
      <c r="AA14" s="370">
        <f t="shared" si="37"/>
        <v>0.06</v>
      </c>
      <c r="AB14" s="370">
        <f t="shared" si="37"/>
        <v>0.06</v>
      </c>
      <c r="AC14" s="370">
        <f t="shared" si="37"/>
        <v>0.06</v>
      </c>
      <c r="AD14" s="370">
        <f t="shared" si="37"/>
        <v>0.06</v>
      </c>
      <c r="AE14" s="370">
        <f t="shared" si="37"/>
        <v>0.06</v>
      </c>
      <c r="AF14" s="370">
        <f t="shared" si="37"/>
        <v>0.06</v>
      </c>
      <c r="AG14" s="370">
        <f t="shared" si="37"/>
        <v>0.06</v>
      </c>
      <c r="AH14" s="370">
        <f t="shared" si="37"/>
        <v>0.06</v>
      </c>
      <c r="AI14" s="370">
        <f t="shared" si="37"/>
        <v>0.06</v>
      </c>
      <c r="AJ14" s="370">
        <f t="shared" si="37"/>
        <v>0.06</v>
      </c>
      <c r="AK14" s="370">
        <f t="shared" si="37"/>
        <v>0.06</v>
      </c>
      <c r="AL14" s="370">
        <f t="shared" si="37"/>
        <v>0.06</v>
      </c>
      <c r="AM14" s="370">
        <f t="shared" si="37"/>
        <v>0.06</v>
      </c>
      <c r="AN14" s="370">
        <f t="shared" si="37"/>
        <v>0.06</v>
      </c>
      <c r="AO14" s="370">
        <f t="shared" si="37"/>
        <v>0.06</v>
      </c>
      <c r="AP14" s="370">
        <f t="shared" si="37"/>
        <v>0.06</v>
      </c>
      <c r="AQ14" s="370">
        <f t="shared" si="37"/>
        <v>0.06</v>
      </c>
      <c r="AR14" s="370">
        <f t="shared" si="37"/>
        <v>0.06</v>
      </c>
      <c r="AS14" s="370">
        <f t="shared" si="37"/>
        <v>0.06</v>
      </c>
      <c r="AT14" s="370">
        <f t="shared" si="37"/>
        <v>0.06</v>
      </c>
      <c r="AU14" s="370">
        <f t="shared" si="37"/>
        <v>0.06</v>
      </c>
      <c r="AV14" s="370">
        <f t="shared" si="37"/>
        <v>0.06</v>
      </c>
      <c r="AW14" s="370">
        <f t="shared" si="37"/>
        <v>0.06</v>
      </c>
      <c r="AX14" s="370">
        <f t="shared" si="37"/>
        <v>0.06</v>
      </c>
      <c r="AY14" s="370">
        <f t="shared" si="37"/>
        <v>0.06</v>
      </c>
      <c r="AZ14" s="370">
        <f t="shared" si="37"/>
        <v>0.06</v>
      </c>
      <c r="BA14" s="370">
        <f t="shared" si="37"/>
        <v>0.06</v>
      </c>
      <c r="BB14" s="370">
        <f t="shared" si="37"/>
        <v>0.06</v>
      </c>
      <c r="BC14" s="370">
        <f t="shared" si="37"/>
        <v>0.06</v>
      </c>
      <c r="BD14" s="370">
        <f t="shared" si="37"/>
        <v>0.06</v>
      </c>
      <c r="BE14" s="370">
        <f t="shared" si="37"/>
        <v>0.06</v>
      </c>
      <c r="BF14" s="370">
        <f t="shared" si="37"/>
        <v>0.06</v>
      </c>
      <c r="BG14" s="370">
        <f t="shared" si="37"/>
        <v>0.06</v>
      </c>
      <c r="BH14" s="370">
        <f t="shared" si="37"/>
        <v>0.06</v>
      </c>
      <c r="BI14" s="370">
        <f t="shared" si="37"/>
        <v>0.06</v>
      </c>
      <c r="BJ14" s="370">
        <f t="shared" si="37"/>
        <v>0.06</v>
      </c>
      <c r="BK14" s="370">
        <f t="shared" si="37"/>
        <v>0.06</v>
      </c>
      <c r="BL14" s="370">
        <f t="shared" si="37"/>
        <v>0.06</v>
      </c>
      <c r="BM14" s="370">
        <f t="shared" si="37"/>
        <v>0.06</v>
      </c>
      <c r="BN14" s="370">
        <f t="shared" si="37"/>
        <v>0.06</v>
      </c>
      <c r="BO14" s="370">
        <f t="shared" si="37"/>
        <v>0.06</v>
      </c>
      <c r="BP14" s="370">
        <f t="shared" si="37"/>
        <v>0.06</v>
      </c>
      <c r="BQ14" s="370">
        <f t="shared" si="37"/>
        <v>0.06</v>
      </c>
      <c r="BR14" s="370">
        <f t="shared" si="37"/>
        <v>0.06</v>
      </c>
      <c r="BS14" s="370">
        <f t="shared" si="37"/>
        <v>0.06</v>
      </c>
      <c r="BT14" s="370">
        <f t="shared" si="37"/>
        <v>0.06</v>
      </c>
      <c r="BU14" s="370">
        <f t="shared" si="37"/>
        <v>0.06</v>
      </c>
      <c r="BV14" s="370">
        <f t="shared" si="37"/>
        <v>0.06</v>
      </c>
      <c r="BW14" s="370">
        <f t="shared" si="37"/>
        <v>0.06</v>
      </c>
      <c r="BX14" s="370">
        <f t="shared" si="37"/>
        <v>0.06</v>
      </c>
      <c r="BY14" s="370">
        <f t="shared" si="37"/>
        <v>0.06</v>
      </c>
      <c r="BZ14" s="370">
        <f t="shared" si="37"/>
        <v>0.06</v>
      </c>
      <c r="CA14" s="370">
        <f t="shared" si="37"/>
        <v>0.06</v>
      </c>
      <c r="CB14" s="370">
        <f t="shared" si="37"/>
        <v>0.06</v>
      </c>
      <c r="CC14" s="370">
        <f t="shared" si="37"/>
        <v>0.06</v>
      </c>
      <c r="CD14" s="370">
        <f t="shared" si="37"/>
        <v>0.06</v>
      </c>
      <c r="CE14" s="370">
        <f t="shared" si="37"/>
        <v>0.06</v>
      </c>
      <c r="CF14" s="370">
        <f t="shared" si="37"/>
        <v>0.06</v>
      </c>
      <c r="CG14" s="370">
        <f t="shared" si="37"/>
        <v>0.06</v>
      </c>
      <c r="CH14" s="370">
        <f t="shared" si="37"/>
        <v>0.06</v>
      </c>
      <c r="CI14" s="370">
        <f t="shared" si="37"/>
        <v>0.06</v>
      </c>
      <c r="CJ14" s="370">
        <f t="shared" si="37"/>
        <v>0.06</v>
      </c>
      <c r="CK14" s="370">
        <f t="shared" si="37"/>
        <v>0.06</v>
      </c>
      <c r="CL14" s="370">
        <f t="shared" ref="CL14:EW15" si="38">CK14</f>
        <v>0.06</v>
      </c>
      <c r="CM14" s="370">
        <f t="shared" si="38"/>
        <v>0.06</v>
      </c>
      <c r="CN14" s="370">
        <f t="shared" si="38"/>
        <v>0.06</v>
      </c>
      <c r="CO14" s="370">
        <f t="shared" si="38"/>
        <v>0.06</v>
      </c>
      <c r="CP14" s="370">
        <f t="shared" si="38"/>
        <v>0.06</v>
      </c>
      <c r="CQ14" s="370">
        <f t="shared" si="38"/>
        <v>0.06</v>
      </c>
      <c r="CR14" s="370">
        <f t="shared" si="38"/>
        <v>0.06</v>
      </c>
      <c r="CS14" s="370">
        <f t="shared" si="38"/>
        <v>0.06</v>
      </c>
      <c r="CT14" s="370">
        <f t="shared" si="38"/>
        <v>0.06</v>
      </c>
      <c r="CU14" s="370">
        <f t="shared" si="38"/>
        <v>0.06</v>
      </c>
      <c r="CV14" s="370">
        <f t="shared" si="38"/>
        <v>0.06</v>
      </c>
      <c r="CW14" s="370">
        <f t="shared" si="38"/>
        <v>0.06</v>
      </c>
      <c r="CX14" s="370">
        <f t="shared" si="38"/>
        <v>0.06</v>
      </c>
      <c r="CY14" s="370">
        <f t="shared" si="38"/>
        <v>0.06</v>
      </c>
      <c r="CZ14" s="370">
        <f t="shared" si="38"/>
        <v>0.06</v>
      </c>
      <c r="DA14" s="370">
        <f t="shared" si="38"/>
        <v>0.06</v>
      </c>
      <c r="DB14" s="370">
        <f t="shared" si="38"/>
        <v>0.06</v>
      </c>
      <c r="DC14" s="370">
        <f t="shared" si="38"/>
        <v>0.06</v>
      </c>
      <c r="DD14" s="370">
        <f t="shared" si="38"/>
        <v>0.06</v>
      </c>
      <c r="DE14" s="370">
        <f t="shared" si="38"/>
        <v>0.06</v>
      </c>
      <c r="DF14" s="370">
        <f t="shared" si="38"/>
        <v>0.06</v>
      </c>
      <c r="DG14" s="370">
        <f t="shared" si="38"/>
        <v>0.06</v>
      </c>
      <c r="DH14" s="370">
        <f t="shared" si="38"/>
        <v>0.06</v>
      </c>
      <c r="DI14" s="370">
        <f t="shared" si="38"/>
        <v>0.06</v>
      </c>
      <c r="DJ14" s="370">
        <f t="shared" si="38"/>
        <v>0.06</v>
      </c>
      <c r="DK14" s="370">
        <f t="shared" si="38"/>
        <v>0.06</v>
      </c>
      <c r="DL14" s="370">
        <f t="shared" si="38"/>
        <v>0.06</v>
      </c>
      <c r="DM14" s="370">
        <f t="shared" si="38"/>
        <v>0.06</v>
      </c>
      <c r="DN14" s="370">
        <f t="shared" si="38"/>
        <v>0.06</v>
      </c>
      <c r="DO14" s="370">
        <f t="shared" si="38"/>
        <v>0.06</v>
      </c>
      <c r="DP14" s="370">
        <f t="shared" si="38"/>
        <v>0.06</v>
      </c>
      <c r="DQ14" s="370">
        <f t="shared" si="38"/>
        <v>0.06</v>
      </c>
      <c r="DR14" s="370">
        <f t="shared" si="38"/>
        <v>0.06</v>
      </c>
      <c r="DS14" s="370">
        <f t="shared" si="38"/>
        <v>0.06</v>
      </c>
      <c r="DT14" s="370">
        <f t="shared" si="38"/>
        <v>0.06</v>
      </c>
      <c r="DU14" s="370">
        <f t="shared" si="38"/>
        <v>0.06</v>
      </c>
      <c r="DV14" s="370">
        <f t="shared" si="38"/>
        <v>0.06</v>
      </c>
      <c r="DW14" s="370">
        <f t="shared" si="38"/>
        <v>0.06</v>
      </c>
      <c r="DX14" s="370">
        <f t="shared" si="38"/>
        <v>0.06</v>
      </c>
      <c r="DY14" s="370">
        <f t="shared" si="38"/>
        <v>0.06</v>
      </c>
      <c r="DZ14" s="370">
        <f t="shared" si="38"/>
        <v>0.06</v>
      </c>
      <c r="EA14" s="370">
        <f t="shared" si="38"/>
        <v>0.06</v>
      </c>
      <c r="EB14" s="370">
        <f t="shared" si="38"/>
        <v>0.06</v>
      </c>
      <c r="EC14" s="370">
        <f t="shared" si="38"/>
        <v>0.06</v>
      </c>
      <c r="ED14" s="370">
        <f t="shared" si="38"/>
        <v>0.06</v>
      </c>
      <c r="EE14" s="370">
        <f t="shared" si="38"/>
        <v>0.06</v>
      </c>
      <c r="EF14" s="370">
        <f t="shared" si="38"/>
        <v>0.06</v>
      </c>
      <c r="EG14" s="370">
        <f t="shared" si="38"/>
        <v>0.06</v>
      </c>
      <c r="EH14" s="370">
        <f t="shared" si="38"/>
        <v>0.06</v>
      </c>
      <c r="EI14" s="370">
        <f t="shared" si="38"/>
        <v>0.06</v>
      </c>
      <c r="EJ14" s="370">
        <f t="shared" si="38"/>
        <v>0.06</v>
      </c>
      <c r="EK14" s="370">
        <f t="shared" si="38"/>
        <v>0.06</v>
      </c>
      <c r="EL14" s="370">
        <f t="shared" si="38"/>
        <v>0.06</v>
      </c>
      <c r="EM14" s="370">
        <f t="shared" si="38"/>
        <v>0.06</v>
      </c>
      <c r="EN14" s="370">
        <f t="shared" si="38"/>
        <v>0.06</v>
      </c>
      <c r="EO14" s="370">
        <f t="shared" si="38"/>
        <v>0.06</v>
      </c>
      <c r="EP14" s="370">
        <f t="shared" si="38"/>
        <v>0.06</v>
      </c>
      <c r="EQ14" s="370">
        <f t="shared" si="38"/>
        <v>0.06</v>
      </c>
      <c r="ER14" s="370">
        <f t="shared" si="38"/>
        <v>0.06</v>
      </c>
      <c r="ES14" s="370">
        <f t="shared" si="38"/>
        <v>0.06</v>
      </c>
      <c r="ET14" s="370">
        <f t="shared" si="38"/>
        <v>0.06</v>
      </c>
      <c r="EU14" s="370">
        <f t="shared" si="38"/>
        <v>0.06</v>
      </c>
      <c r="EV14" s="370">
        <f t="shared" si="38"/>
        <v>0.06</v>
      </c>
      <c r="EW14" s="370">
        <f t="shared" si="38"/>
        <v>0.06</v>
      </c>
      <c r="EX14" s="370">
        <f t="shared" ref="EX14:FS16" si="39">EW14</f>
        <v>0.06</v>
      </c>
      <c r="EY14" s="370">
        <f t="shared" si="39"/>
        <v>0.06</v>
      </c>
      <c r="EZ14" s="370">
        <f t="shared" si="39"/>
        <v>0.06</v>
      </c>
      <c r="FA14" s="370">
        <f t="shared" si="39"/>
        <v>0.06</v>
      </c>
      <c r="FB14" s="370">
        <f t="shared" si="39"/>
        <v>0.06</v>
      </c>
      <c r="FC14" s="370">
        <f t="shared" si="39"/>
        <v>0.06</v>
      </c>
      <c r="FD14" s="370">
        <f t="shared" si="39"/>
        <v>0.06</v>
      </c>
      <c r="FE14" s="370">
        <f t="shared" si="39"/>
        <v>0.06</v>
      </c>
      <c r="FF14" s="370">
        <f t="shared" si="39"/>
        <v>0.06</v>
      </c>
      <c r="FG14" s="370">
        <f t="shared" si="39"/>
        <v>0.06</v>
      </c>
      <c r="FH14" s="370">
        <f t="shared" si="39"/>
        <v>0.06</v>
      </c>
      <c r="FI14" s="370">
        <f t="shared" si="39"/>
        <v>0.06</v>
      </c>
      <c r="FJ14" s="370">
        <f t="shared" si="39"/>
        <v>0.06</v>
      </c>
      <c r="FK14" s="370">
        <f t="shared" si="39"/>
        <v>0.06</v>
      </c>
      <c r="FL14" s="370">
        <f t="shared" si="39"/>
        <v>0.06</v>
      </c>
      <c r="FM14" s="370">
        <f t="shared" si="39"/>
        <v>0.06</v>
      </c>
      <c r="FN14" s="370">
        <f t="shared" si="39"/>
        <v>0.06</v>
      </c>
      <c r="FO14" s="370">
        <f t="shared" si="39"/>
        <v>0.06</v>
      </c>
      <c r="FP14" s="370">
        <f t="shared" si="39"/>
        <v>0.06</v>
      </c>
      <c r="FQ14" s="370">
        <f t="shared" si="39"/>
        <v>0.06</v>
      </c>
      <c r="FR14" s="370">
        <f t="shared" si="39"/>
        <v>0.06</v>
      </c>
      <c r="FS14" s="67">
        <f t="shared" si="39"/>
        <v>0.06</v>
      </c>
    </row>
    <row r="15" spans="2:175" x14ac:dyDescent="0.35">
      <c r="B15" s="9" t="s">
        <v>341</v>
      </c>
      <c r="C15" s="108">
        <f>SUM(P4:Q4)/C8</f>
        <v>6.431439542729081E-2</v>
      </c>
      <c r="E15" s="515">
        <f t="shared" si="7"/>
        <v>11</v>
      </c>
      <c r="F15" s="331">
        <f t="shared" si="8"/>
        <v>46356</v>
      </c>
      <c r="G15" s="616">
        <f t="shared" si="9"/>
        <v>7600932.7179882322</v>
      </c>
      <c r="H15" s="616">
        <f t="shared" si="3"/>
        <v>41243.71</v>
      </c>
      <c r="I15" s="616">
        <f t="shared" si="4"/>
        <v>9663.1816669296204</v>
      </c>
      <c r="J15" s="616">
        <f t="shared" si="5"/>
        <v>31580.528333070379</v>
      </c>
      <c r="K15" s="616">
        <f t="shared" si="10"/>
        <v>104123.02255808013</v>
      </c>
      <c r="L15" s="616">
        <f t="shared" si="11"/>
        <v>349557.78744191991</v>
      </c>
      <c r="M15" s="617">
        <f t="shared" si="6"/>
        <v>7591269.5363213029</v>
      </c>
      <c r="O15" s="9" t="s">
        <v>342</v>
      </c>
      <c r="P15" s="89">
        <f>SUM(I137:I148)</f>
        <v>196757.98900974114</v>
      </c>
      <c r="Q15" s="142">
        <f>SUM(J137:J148)</f>
        <v>298166.53099025885</v>
      </c>
      <c r="S15" s="374" t="s">
        <v>343</v>
      </c>
      <c r="T15" s="30"/>
      <c r="W15" s="9" t="s">
        <v>348</v>
      </c>
      <c r="X15" s="370">
        <f>T17</f>
        <v>0.7</v>
      </c>
      <c r="Y15" s="370">
        <f>X15</f>
        <v>0.7</v>
      </c>
      <c r="Z15" s="370">
        <f t="shared" si="37"/>
        <v>0.7</v>
      </c>
      <c r="AA15" s="370">
        <f t="shared" si="37"/>
        <v>0.7</v>
      </c>
      <c r="AB15" s="370">
        <f t="shared" si="37"/>
        <v>0.7</v>
      </c>
      <c r="AC15" s="370">
        <f t="shared" si="37"/>
        <v>0.7</v>
      </c>
      <c r="AD15" s="370">
        <f t="shared" si="37"/>
        <v>0.7</v>
      </c>
      <c r="AE15" s="370">
        <f t="shared" si="37"/>
        <v>0.7</v>
      </c>
      <c r="AF15" s="370">
        <f t="shared" si="37"/>
        <v>0.7</v>
      </c>
      <c r="AG15" s="370">
        <f t="shared" si="37"/>
        <v>0.7</v>
      </c>
      <c r="AH15" s="370">
        <f t="shared" si="37"/>
        <v>0.7</v>
      </c>
      <c r="AI15" s="370">
        <f t="shared" si="37"/>
        <v>0.7</v>
      </c>
      <c r="AJ15" s="370">
        <f t="shared" si="37"/>
        <v>0.7</v>
      </c>
      <c r="AK15" s="370">
        <f t="shared" si="37"/>
        <v>0.7</v>
      </c>
      <c r="AL15" s="370">
        <f t="shared" si="37"/>
        <v>0.7</v>
      </c>
      <c r="AM15" s="370">
        <f t="shared" si="37"/>
        <v>0.7</v>
      </c>
      <c r="AN15" s="370">
        <f t="shared" si="37"/>
        <v>0.7</v>
      </c>
      <c r="AO15" s="370">
        <f t="shared" si="37"/>
        <v>0.7</v>
      </c>
      <c r="AP15" s="370">
        <f t="shared" si="37"/>
        <v>0.7</v>
      </c>
      <c r="AQ15" s="370">
        <f t="shared" si="37"/>
        <v>0.7</v>
      </c>
      <c r="AR15" s="370">
        <f t="shared" si="37"/>
        <v>0.7</v>
      </c>
      <c r="AS15" s="370">
        <f t="shared" si="37"/>
        <v>0.7</v>
      </c>
      <c r="AT15" s="370">
        <f t="shared" si="37"/>
        <v>0.7</v>
      </c>
      <c r="AU15" s="370">
        <f t="shared" si="37"/>
        <v>0.7</v>
      </c>
      <c r="AV15" s="370">
        <f t="shared" si="37"/>
        <v>0.7</v>
      </c>
      <c r="AW15" s="370">
        <f t="shared" si="37"/>
        <v>0.7</v>
      </c>
      <c r="AX15" s="370">
        <f t="shared" si="37"/>
        <v>0.7</v>
      </c>
      <c r="AY15" s="370">
        <f t="shared" si="37"/>
        <v>0.7</v>
      </c>
      <c r="AZ15" s="370">
        <f t="shared" si="37"/>
        <v>0.7</v>
      </c>
      <c r="BA15" s="370">
        <f t="shared" si="37"/>
        <v>0.7</v>
      </c>
      <c r="BB15" s="370">
        <f t="shared" si="37"/>
        <v>0.7</v>
      </c>
      <c r="BC15" s="370">
        <f t="shared" si="37"/>
        <v>0.7</v>
      </c>
      <c r="BD15" s="370">
        <f t="shared" si="37"/>
        <v>0.7</v>
      </c>
      <c r="BE15" s="370">
        <f t="shared" si="37"/>
        <v>0.7</v>
      </c>
      <c r="BF15" s="370">
        <f t="shared" si="37"/>
        <v>0.7</v>
      </c>
      <c r="BG15" s="370">
        <f t="shared" si="37"/>
        <v>0.7</v>
      </c>
      <c r="BH15" s="370">
        <f t="shared" si="37"/>
        <v>0.7</v>
      </c>
      <c r="BI15" s="370">
        <f t="shared" si="37"/>
        <v>0.7</v>
      </c>
      <c r="BJ15" s="370">
        <f t="shared" si="37"/>
        <v>0.7</v>
      </c>
      <c r="BK15" s="370">
        <f t="shared" si="37"/>
        <v>0.7</v>
      </c>
      <c r="BL15" s="370">
        <f t="shared" si="37"/>
        <v>0.7</v>
      </c>
      <c r="BM15" s="370">
        <f t="shared" si="37"/>
        <v>0.7</v>
      </c>
      <c r="BN15" s="370">
        <f t="shared" si="37"/>
        <v>0.7</v>
      </c>
      <c r="BO15" s="370">
        <f t="shared" si="37"/>
        <v>0.7</v>
      </c>
      <c r="BP15" s="370">
        <f t="shared" si="37"/>
        <v>0.7</v>
      </c>
      <c r="BQ15" s="370">
        <f t="shared" si="37"/>
        <v>0.7</v>
      </c>
      <c r="BR15" s="370">
        <f t="shared" si="37"/>
        <v>0.7</v>
      </c>
      <c r="BS15" s="370">
        <f t="shared" si="37"/>
        <v>0.7</v>
      </c>
      <c r="BT15" s="370">
        <f t="shared" si="37"/>
        <v>0.7</v>
      </c>
      <c r="BU15" s="370">
        <f t="shared" si="37"/>
        <v>0.7</v>
      </c>
      <c r="BV15" s="370">
        <f t="shared" si="37"/>
        <v>0.7</v>
      </c>
      <c r="BW15" s="370">
        <f t="shared" si="37"/>
        <v>0.7</v>
      </c>
      <c r="BX15" s="370">
        <f t="shared" si="37"/>
        <v>0.7</v>
      </c>
      <c r="BY15" s="370">
        <f t="shared" si="37"/>
        <v>0.7</v>
      </c>
      <c r="BZ15" s="370">
        <f t="shared" si="37"/>
        <v>0.7</v>
      </c>
      <c r="CA15" s="370">
        <f t="shared" si="37"/>
        <v>0.7</v>
      </c>
      <c r="CB15" s="370">
        <f t="shared" si="37"/>
        <v>0.7</v>
      </c>
      <c r="CC15" s="370">
        <f t="shared" si="37"/>
        <v>0.7</v>
      </c>
      <c r="CD15" s="370">
        <f t="shared" si="37"/>
        <v>0.7</v>
      </c>
      <c r="CE15" s="370">
        <f t="shared" si="37"/>
        <v>0.7</v>
      </c>
      <c r="CF15" s="370">
        <f t="shared" si="37"/>
        <v>0.7</v>
      </c>
      <c r="CG15" s="370">
        <f t="shared" si="37"/>
        <v>0.7</v>
      </c>
      <c r="CH15" s="370">
        <f t="shared" si="37"/>
        <v>0.7</v>
      </c>
      <c r="CI15" s="370">
        <f t="shared" si="37"/>
        <v>0.7</v>
      </c>
      <c r="CJ15" s="370">
        <f t="shared" si="37"/>
        <v>0.7</v>
      </c>
      <c r="CK15" s="370">
        <f t="shared" si="37"/>
        <v>0.7</v>
      </c>
      <c r="CL15" s="370">
        <f t="shared" si="38"/>
        <v>0.7</v>
      </c>
      <c r="CM15" s="370">
        <f t="shared" si="38"/>
        <v>0.7</v>
      </c>
      <c r="CN15" s="370">
        <f t="shared" si="38"/>
        <v>0.7</v>
      </c>
      <c r="CO15" s="370">
        <f t="shared" si="38"/>
        <v>0.7</v>
      </c>
      <c r="CP15" s="370">
        <f t="shared" si="38"/>
        <v>0.7</v>
      </c>
      <c r="CQ15" s="370">
        <f t="shared" si="38"/>
        <v>0.7</v>
      </c>
      <c r="CR15" s="370">
        <f t="shared" si="38"/>
        <v>0.7</v>
      </c>
      <c r="CS15" s="370">
        <f t="shared" si="38"/>
        <v>0.7</v>
      </c>
      <c r="CT15" s="370">
        <f t="shared" si="38"/>
        <v>0.7</v>
      </c>
      <c r="CU15" s="370">
        <f t="shared" si="38"/>
        <v>0.7</v>
      </c>
      <c r="CV15" s="370">
        <f t="shared" si="38"/>
        <v>0.7</v>
      </c>
      <c r="CW15" s="370">
        <f t="shared" si="38"/>
        <v>0.7</v>
      </c>
      <c r="CX15" s="370">
        <f t="shared" si="38"/>
        <v>0.7</v>
      </c>
      <c r="CY15" s="370">
        <f t="shared" si="38"/>
        <v>0.7</v>
      </c>
      <c r="CZ15" s="370">
        <f t="shared" si="38"/>
        <v>0.7</v>
      </c>
      <c r="DA15" s="370">
        <f t="shared" si="38"/>
        <v>0.7</v>
      </c>
      <c r="DB15" s="370">
        <f t="shared" si="38"/>
        <v>0.7</v>
      </c>
      <c r="DC15" s="370">
        <f t="shared" si="38"/>
        <v>0.7</v>
      </c>
      <c r="DD15" s="370">
        <f t="shared" si="38"/>
        <v>0.7</v>
      </c>
      <c r="DE15" s="370">
        <f t="shared" si="38"/>
        <v>0.7</v>
      </c>
      <c r="DF15" s="370">
        <f t="shared" si="38"/>
        <v>0.7</v>
      </c>
      <c r="DG15" s="370">
        <f t="shared" si="38"/>
        <v>0.7</v>
      </c>
      <c r="DH15" s="370">
        <f t="shared" si="38"/>
        <v>0.7</v>
      </c>
      <c r="DI15" s="370">
        <f t="shared" si="38"/>
        <v>0.7</v>
      </c>
      <c r="DJ15" s="370">
        <f t="shared" si="38"/>
        <v>0.7</v>
      </c>
      <c r="DK15" s="370">
        <f t="shared" si="38"/>
        <v>0.7</v>
      </c>
      <c r="DL15" s="370">
        <f t="shared" si="38"/>
        <v>0.7</v>
      </c>
      <c r="DM15" s="370">
        <f t="shared" si="38"/>
        <v>0.7</v>
      </c>
      <c r="DN15" s="370">
        <f t="shared" si="38"/>
        <v>0.7</v>
      </c>
      <c r="DO15" s="370">
        <f t="shared" si="38"/>
        <v>0.7</v>
      </c>
      <c r="DP15" s="370">
        <f t="shared" si="38"/>
        <v>0.7</v>
      </c>
      <c r="DQ15" s="370">
        <f t="shared" si="38"/>
        <v>0.7</v>
      </c>
      <c r="DR15" s="370">
        <f t="shared" si="38"/>
        <v>0.7</v>
      </c>
      <c r="DS15" s="370">
        <f t="shared" si="38"/>
        <v>0.7</v>
      </c>
      <c r="DT15" s="370">
        <f t="shared" si="38"/>
        <v>0.7</v>
      </c>
      <c r="DU15" s="370">
        <f t="shared" si="38"/>
        <v>0.7</v>
      </c>
      <c r="DV15" s="370">
        <f t="shared" si="38"/>
        <v>0.7</v>
      </c>
      <c r="DW15" s="370">
        <f t="shared" si="38"/>
        <v>0.7</v>
      </c>
      <c r="DX15" s="370">
        <f t="shared" si="38"/>
        <v>0.7</v>
      </c>
      <c r="DY15" s="370">
        <f t="shared" si="38"/>
        <v>0.7</v>
      </c>
      <c r="DZ15" s="370">
        <f t="shared" si="38"/>
        <v>0.7</v>
      </c>
      <c r="EA15" s="370">
        <f t="shared" si="38"/>
        <v>0.7</v>
      </c>
      <c r="EB15" s="370">
        <f t="shared" si="38"/>
        <v>0.7</v>
      </c>
      <c r="EC15" s="370">
        <f t="shared" si="38"/>
        <v>0.7</v>
      </c>
      <c r="ED15" s="370">
        <f t="shared" si="38"/>
        <v>0.7</v>
      </c>
      <c r="EE15" s="370">
        <f t="shared" si="38"/>
        <v>0.7</v>
      </c>
      <c r="EF15" s="370">
        <f t="shared" si="38"/>
        <v>0.7</v>
      </c>
      <c r="EG15" s="370">
        <f t="shared" si="38"/>
        <v>0.7</v>
      </c>
      <c r="EH15" s="370">
        <f t="shared" si="38"/>
        <v>0.7</v>
      </c>
      <c r="EI15" s="370">
        <f t="shared" si="38"/>
        <v>0.7</v>
      </c>
      <c r="EJ15" s="370">
        <f t="shared" si="38"/>
        <v>0.7</v>
      </c>
      <c r="EK15" s="370">
        <f t="shared" si="38"/>
        <v>0.7</v>
      </c>
      <c r="EL15" s="370">
        <f t="shared" si="38"/>
        <v>0.7</v>
      </c>
      <c r="EM15" s="370">
        <f t="shared" si="38"/>
        <v>0.7</v>
      </c>
      <c r="EN15" s="370">
        <f t="shared" si="38"/>
        <v>0.7</v>
      </c>
      <c r="EO15" s="370">
        <f t="shared" si="38"/>
        <v>0.7</v>
      </c>
      <c r="EP15" s="370">
        <f t="shared" si="38"/>
        <v>0.7</v>
      </c>
      <c r="EQ15" s="370">
        <f t="shared" si="38"/>
        <v>0.7</v>
      </c>
      <c r="ER15" s="370">
        <f t="shared" si="38"/>
        <v>0.7</v>
      </c>
      <c r="ES15" s="370">
        <f t="shared" si="38"/>
        <v>0.7</v>
      </c>
      <c r="ET15" s="370">
        <f t="shared" si="38"/>
        <v>0.7</v>
      </c>
      <c r="EU15" s="370">
        <f t="shared" si="38"/>
        <v>0.7</v>
      </c>
      <c r="EV15" s="370">
        <f t="shared" si="38"/>
        <v>0.7</v>
      </c>
      <c r="EW15" s="370">
        <f t="shared" si="38"/>
        <v>0.7</v>
      </c>
      <c r="EX15" s="370">
        <f t="shared" si="39"/>
        <v>0.7</v>
      </c>
      <c r="EY15" s="370">
        <f t="shared" si="39"/>
        <v>0.7</v>
      </c>
      <c r="EZ15" s="370">
        <f t="shared" si="39"/>
        <v>0.7</v>
      </c>
      <c r="FA15" s="370">
        <f t="shared" si="39"/>
        <v>0.7</v>
      </c>
      <c r="FB15" s="370">
        <f t="shared" si="39"/>
        <v>0.7</v>
      </c>
      <c r="FC15" s="370">
        <f t="shared" si="39"/>
        <v>0.7</v>
      </c>
      <c r="FD15" s="370">
        <f t="shared" si="39"/>
        <v>0.7</v>
      </c>
      <c r="FE15" s="370">
        <f t="shared" si="39"/>
        <v>0.7</v>
      </c>
      <c r="FF15" s="370">
        <f t="shared" si="39"/>
        <v>0.7</v>
      </c>
      <c r="FG15" s="370">
        <f t="shared" si="39"/>
        <v>0.7</v>
      </c>
      <c r="FH15" s="370">
        <f t="shared" si="39"/>
        <v>0.7</v>
      </c>
      <c r="FI15" s="370">
        <f t="shared" si="39"/>
        <v>0.7</v>
      </c>
      <c r="FJ15" s="370">
        <f t="shared" si="39"/>
        <v>0.7</v>
      </c>
      <c r="FK15" s="370">
        <f t="shared" si="39"/>
        <v>0.7</v>
      </c>
      <c r="FL15" s="370">
        <f t="shared" si="39"/>
        <v>0.7</v>
      </c>
      <c r="FM15" s="370">
        <f t="shared" si="39"/>
        <v>0.7</v>
      </c>
      <c r="FN15" s="370">
        <f t="shared" si="39"/>
        <v>0.7</v>
      </c>
      <c r="FO15" s="370">
        <f t="shared" si="39"/>
        <v>0.7</v>
      </c>
      <c r="FP15" s="370">
        <f t="shared" si="39"/>
        <v>0.7</v>
      </c>
      <c r="FQ15" s="370">
        <f t="shared" si="39"/>
        <v>0.7</v>
      </c>
      <c r="FR15" s="370">
        <f t="shared" si="39"/>
        <v>0.7</v>
      </c>
      <c r="FS15" s="67">
        <f t="shared" si="39"/>
        <v>0.7</v>
      </c>
    </row>
    <row r="16" spans="2:175" ht="15" thickBot="1" x14ac:dyDescent="0.4">
      <c r="B16" s="9" t="s">
        <v>345</v>
      </c>
      <c r="C16" s="620">
        <f>SUM(P4:Q4)</f>
        <v>494924.52</v>
      </c>
      <c r="E16" s="515">
        <f t="shared" si="7"/>
        <v>12</v>
      </c>
      <c r="F16" s="331">
        <f t="shared" si="8"/>
        <v>46387</v>
      </c>
      <c r="G16" s="616">
        <f t="shared" si="9"/>
        <v>7591269.5363213029</v>
      </c>
      <c r="H16" s="616">
        <f t="shared" si="3"/>
        <v>41243.71</v>
      </c>
      <c r="I16" s="616">
        <f t="shared" si="4"/>
        <v>9703.3304741540087</v>
      </c>
      <c r="J16" s="616">
        <f t="shared" si="5"/>
        <v>31540.37952584599</v>
      </c>
      <c r="K16" s="616">
        <f t="shared" si="10"/>
        <v>113826.35303223414</v>
      </c>
      <c r="L16" s="616">
        <f t="shared" si="11"/>
        <v>381098.16696776589</v>
      </c>
      <c r="M16" s="617">
        <f t="shared" si="6"/>
        <v>7581566.2058471488</v>
      </c>
      <c r="O16" s="71" t="s">
        <v>346</v>
      </c>
      <c r="P16" s="375">
        <f>SUM(I149:I160)</f>
        <v>206795.22972675739</v>
      </c>
      <c r="Q16" s="393">
        <f>SUM(J149:J160)</f>
        <v>288129.29027324257</v>
      </c>
      <c r="S16" s="9" t="s">
        <v>347</v>
      </c>
      <c r="T16" s="552">
        <f>(SUM(X7:AI7)/X14)</f>
        <v>11543088.838319078</v>
      </c>
      <c r="W16" s="9" t="s">
        <v>339</v>
      </c>
      <c r="X16" s="96">
        <f t="shared" ref="X16:BC16" si="40">(SUM(X7:AI7)/X14)*X15</f>
        <v>8080162.1868233541</v>
      </c>
      <c r="Y16" s="96">
        <f t="shared" si="40"/>
        <v>8093629.1238013916</v>
      </c>
      <c r="Z16" s="96">
        <f t="shared" si="40"/>
        <v>8107096.060779429</v>
      </c>
      <c r="AA16" s="96">
        <f t="shared" si="40"/>
        <v>8120562.9977574684</v>
      </c>
      <c r="AB16" s="96">
        <f t="shared" si="40"/>
        <v>8134029.9347355077</v>
      </c>
      <c r="AC16" s="96">
        <f t="shared" si="40"/>
        <v>8147496.8717135452</v>
      </c>
      <c r="AD16" s="96">
        <f t="shared" si="40"/>
        <v>8160963.8086915854</v>
      </c>
      <c r="AE16" s="96">
        <f t="shared" si="40"/>
        <v>8174430.7456696229</v>
      </c>
      <c r="AF16" s="96">
        <f t="shared" si="40"/>
        <v>8187897.6826476622</v>
      </c>
      <c r="AG16" s="96">
        <f t="shared" si="40"/>
        <v>8201364.6196257006</v>
      </c>
      <c r="AH16" s="96">
        <f t="shared" si="40"/>
        <v>8214831.55660374</v>
      </c>
      <c r="AI16" s="96">
        <f t="shared" si="40"/>
        <v>8228298.4935817784</v>
      </c>
      <c r="AJ16" s="96">
        <f t="shared" si="40"/>
        <v>8241765.4305598177</v>
      </c>
      <c r="AK16" s="96">
        <f t="shared" si="40"/>
        <v>8255501.706277417</v>
      </c>
      <c r="AL16" s="96">
        <f t="shared" si="40"/>
        <v>8269237.9819950163</v>
      </c>
      <c r="AM16" s="96">
        <f t="shared" si="40"/>
        <v>8282974.2577126166</v>
      </c>
      <c r="AN16" s="96">
        <f t="shared" si="40"/>
        <v>8296710.533430214</v>
      </c>
      <c r="AO16" s="96">
        <f t="shared" si="40"/>
        <v>8310446.8091478152</v>
      </c>
      <c r="AP16" s="96">
        <f t="shared" si="40"/>
        <v>8324183.0848654145</v>
      </c>
      <c r="AQ16" s="96">
        <f t="shared" si="40"/>
        <v>8337919.3605830157</v>
      </c>
      <c r="AR16" s="96">
        <f t="shared" si="40"/>
        <v>8351655.636300615</v>
      </c>
      <c r="AS16" s="96">
        <f t="shared" si="40"/>
        <v>8365391.9120182144</v>
      </c>
      <c r="AT16" s="96">
        <f t="shared" si="40"/>
        <v>8379128.1877358137</v>
      </c>
      <c r="AU16" s="96">
        <f t="shared" si="40"/>
        <v>8392864.4634534158</v>
      </c>
      <c r="AV16" s="96">
        <f t="shared" si="40"/>
        <v>8406600.7391710151</v>
      </c>
      <c r="AW16" s="96">
        <f t="shared" si="40"/>
        <v>8420611.7404029667</v>
      </c>
      <c r="AX16" s="96">
        <f t="shared" si="40"/>
        <v>8434622.7416349202</v>
      </c>
      <c r="AY16" s="96">
        <f t="shared" si="40"/>
        <v>8448633.7428668719</v>
      </c>
      <c r="AZ16" s="96">
        <f t="shared" si="40"/>
        <v>8462644.7440988235</v>
      </c>
      <c r="BA16" s="96">
        <f t="shared" si="40"/>
        <v>8476655.7453307752</v>
      </c>
      <c r="BB16" s="96">
        <f t="shared" si="40"/>
        <v>8490666.7465627268</v>
      </c>
      <c r="BC16" s="96">
        <f t="shared" si="40"/>
        <v>8504677.7477946766</v>
      </c>
      <c r="BD16" s="96">
        <f t="shared" ref="BD16:CI16" si="41">(SUM(BD7:BO7)/BD14)*BD15</f>
        <v>8518688.7490266301</v>
      </c>
      <c r="BE16" s="96">
        <f t="shared" si="41"/>
        <v>8532699.7502585817</v>
      </c>
      <c r="BF16" s="96">
        <f t="shared" si="41"/>
        <v>8546710.7514905334</v>
      </c>
      <c r="BG16" s="96">
        <f t="shared" si="41"/>
        <v>8560721.752722485</v>
      </c>
      <c r="BH16" s="96">
        <f t="shared" si="41"/>
        <v>8574732.7539544366</v>
      </c>
      <c r="BI16" s="96">
        <f t="shared" si="41"/>
        <v>8589023.975211028</v>
      </c>
      <c r="BJ16" s="96">
        <f t="shared" si="41"/>
        <v>8603315.1964676175</v>
      </c>
      <c r="BK16" s="96">
        <f t="shared" si="41"/>
        <v>8617606.4177242089</v>
      </c>
      <c r="BL16" s="96">
        <f t="shared" si="41"/>
        <v>8631897.6389807984</v>
      </c>
      <c r="BM16" s="96">
        <f t="shared" si="41"/>
        <v>8646188.8602373898</v>
      </c>
      <c r="BN16" s="96">
        <f t="shared" si="41"/>
        <v>8660480.0814939812</v>
      </c>
      <c r="BO16" s="96">
        <f t="shared" si="41"/>
        <v>8674771.3027505707</v>
      </c>
      <c r="BP16" s="96">
        <f t="shared" si="41"/>
        <v>8689062.5240071602</v>
      </c>
      <c r="BQ16" s="96">
        <f t="shared" si="41"/>
        <v>8703353.7452637535</v>
      </c>
      <c r="BR16" s="96">
        <f t="shared" si="41"/>
        <v>8717644.9665203448</v>
      </c>
      <c r="BS16" s="96">
        <f t="shared" si="41"/>
        <v>8731936.1877769344</v>
      </c>
      <c r="BT16" s="96">
        <f t="shared" si="41"/>
        <v>8746227.4090335257</v>
      </c>
      <c r="BU16" s="96">
        <f t="shared" si="41"/>
        <v>8760804.4547152482</v>
      </c>
      <c r="BV16" s="96">
        <f t="shared" si="41"/>
        <v>8775381.5003969707</v>
      </c>
      <c r="BW16" s="96">
        <f t="shared" si="41"/>
        <v>8789958.5460786931</v>
      </c>
      <c r="BX16" s="96">
        <f t="shared" si="41"/>
        <v>8804535.5917604156</v>
      </c>
      <c r="BY16" s="96">
        <f t="shared" si="41"/>
        <v>8819112.6374421399</v>
      </c>
      <c r="BZ16" s="96">
        <f t="shared" si="41"/>
        <v>8833689.6831238605</v>
      </c>
      <c r="CA16" s="96">
        <f t="shared" si="41"/>
        <v>8848266.7288055848</v>
      </c>
      <c r="CB16" s="96">
        <f t="shared" si="41"/>
        <v>8862843.7744873073</v>
      </c>
      <c r="CC16" s="96">
        <f t="shared" si="41"/>
        <v>8877420.8201690279</v>
      </c>
      <c r="CD16" s="96">
        <f t="shared" si="41"/>
        <v>8891997.8658507522</v>
      </c>
      <c r="CE16" s="96">
        <f t="shared" si="41"/>
        <v>8906574.9115324728</v>
      </c>
      <c r="CF16" s="96">
        <f t="shared" si="41"/>
        <v>8921151.9572141971</v>
      </c>
      <c r="CG16" s="96">
        <f t="shared" si="41"/>
        <v>8936020.5438095517</v>
      </c>
      <c r="CH16" s="96">
        <f t="shared" si="41"/>
        <v>8950889.1304049082</v>
      </c>
      <c r="CI16" s="96">
        <f t="shared" si="41"/>
        <v>8965757.7170002665</v>
      </c>
      <c r="CJ16" s="96">
        <f t="shared" ref="CJ16:DO16" si="42">(SUM(CJ7:CU7)/CJ14)*CJ15</f>
        <v>8980626.303595623</v>
      </c>
      <c r="CK16" s="96">
        <f t="shared" si="42"/>
        <v>8995494.8901909795</v>
      </c>
      <c r="CL16" s="96">
        <f t="shared" si="42"/>
        <v>9010363.4767863378</v>
      </c>
      <c r="CM16" s="96">
        <f t="shared" si="42"/>
        <v>9025232.0633816943</v>
      </c>
      <c r="CN16" s="96">
        <f t="shared" si="42"/>
        <v>9040100.6499770507</v>
      </c>
      <c r="CO16" s="96">
        <f t="shared" si="42"/>
        <v>9054969.236572409</v>
      </c>
      <c r="CP16" s="96">
        <f t="shared" si="42"/>
        <v>9069837.8231677655</v>
      </c>
      <c r="CQ16" s="96">
        <f t="shared" si="42"/>
        <v>9084706.409763122</v>
      </c>
      <c r="CR16" s="96">
        <f t="shared" si="42"/>
        <v>9099574.9963584784</v>
      </c>
      <c r="CS16" s="96">
        <f t="shared" si="42"/>
        <v>9114740.9546857439</v>
      </c>
      <c r="CT16" s="96">
        <f t="shared" si="42"/>
        <v>9129906.9130130075</v>
      </c>
      <c r="CU16" s="96">
        <f t="shared" si="42"/>
        <v>9145072.8713402711</v>
      </c>
      <c r="CV16" s="96">
        <f t="shared" si="42"/>
        <v>9160238.8296675347</v>
      </c>
      <c r="CW16" s="96">
        <f t="shared" si="42"/>
        <v>9175404.7879948001</v>
      </c>
      <c r="CX16" s="96">
        <f t="shared" si="42"/>
        <v>9190570.7463220619</v>
      </c>
      <c r="CY16" s="96">
        <f t="shared" si="42"/>
        <v>9205736.7046493292</v>
      </c>
      <c r="CZ16" s="96">
        <f t="shared" si="42"/>
        <v>9220902.6629765891</v>
      </c>
      <c r="DA16" s="96">
        <f t="shared" si="42"/>
        <v>9236068.6213038564</v>
      </c>
      <c r="DB16" s="96">
        <f t="shared" si="42"/>
        <v>9251234.57963112</v>
      </c>
      <c r="DC16" s="96">
        <f t="shared" si="42"/>
        <v>9266400.5379583836</v>
      </c>
      <c r="DD16" s="96">
        <f t="shared" si="42"/>
        <v>9281566.4962856472</v>
      </c>
      <c r="DE16" s="96">
        <f t="shared" si="42"/>
        <v>9297035.7737794556</v>
      </c>
      <c r="DF16" s="96">
        <f t="shared" si="42"/>
        <v>9312505.0512732659</v>
      </c>
      <c r="DG16" s="96">
        <f t="shared" si="42"/>
        <v>9327974.3287670743</v>
      </c>
      <c r="DH16" s="96">
        <f t="shared" si="42"/>
        <v>9343443.6062608846</v>
      </c>
      <c r="DI16" s="96">
        <f t="shared" si="42"/>
        <v>9358912.883754693</v>
      </c>
      <c r="DJ16" s="96">
        <f t="shared" si="42"/>
        <v>9374382.1612485033</v>
      </c>
      <c r="DK16" s="96">
        <f t="shared" si="42"/>
        <v>9389851.4387423117</v>
      </c>
      <c r="DL16" s="96">
        <f t="shared" si="42"/>
        <v>9405320.716236122</v>
      </c>
      <c r="DM16" s="96">
        <f t="shared" si="42"/>
        <v>9420789.9937299304</v>
      </c>
      <c r="DN16" s="96">
        <f t="shared" si="42"/>
        <v>9436259.2712237407</v>
      </c>
      <c r="DO16" s="96">
        <f t="shared" si="42"/>
        <v>9451728.5487175491</v>
      </c>
      <c r="DP16" s="96">
        <f t="shared" ref="DP16:EU16" si="43">(SUM(DP7:EA7)/DP14)*DP15</f>
        <v>9467197.8262113594</v>
      </c>
      <c r="DQ16" s="96">
        <f t="shared" si="43"/>
        <v>9482976.4892550465</v>
      </c>
      <c r="DR16" s="96">
        <f t="shared" si="43"/>
        <v>9498755.1522987336</v>
      </c>
      <c r="DS16" s="96">
        <f t="shared" si="43"/>
        <v>9514533.8153424207</v>
      </c>
      <c r="DT16" s="96">
        <f t="shared" si="43"/>
        <v>9530312.478386106</v>
      </c>
      <c r="DU16" s="96">
        <f t="shared" si="43"/>
        <v>9546091.1414297912</v>
      </c>
      <c r="DV16" s="96">
        <f t="shared" si="43"/>
        <v>9561869.8044734783</v>
      </c>
      <c r="DW16" s="96">
        <f t="shared" si="43"/>
        <v>9577648.4675171617</v>
      </c>
      <c r="DX16" s="96">
        <f t="shared" si="43"/>
        <v>9593427.1305608489</v>
      </c>
      <c r="DY16" s="96">
        <f t="shared" si="43"/>
        <v>9609205.7936045341</v>
      </c>
      <c r="DZ16" s="96">
        <f t="shared" si="43"/>
        <v>9624984.4566482194</v>
      </c>
      <c r="EA16" s="96">
        <f t="shared" si="43"/>
        <v>9640763.1196919046</v>
      </c>
      <c r="EB16" s="96">
        <f t="shared" si="43"/>
        <v>9656541.7827355918</v>
      </c>
      <c r="EC16" s="96">
        <f t="shared" si="43"/>
        <v>9672636.0190401506</v>
      </c>
      <c r="ED16" s="96">
        <f t="shared" si="43"/>
        <v>9688730.2553447094</v>
      </c>
      <c r="EE16" s="96">
        <f t="shared" si="43"/>
        <v>9704824.4916492701</v>
      </c>
      <c r="EF16" s="96">
        <f t="shared" si="43"/>
        <v>9720918.7279538289</v>
      </c>
      <c r="EG16" s="96">
        <f t="shared" si="43"/>
        <v>9737012.9642583877</v>
      </c>
      <c r="EH16" s="96">
        <f t="shared" si="43"/>
        <v>9753107.2005629465</v>
      </c>
      <c r="EI16" s="96">
        <f t="shared" si="43"/>
        <v>9769201.4368675072</v>
      </c>
      <c r="EJ16" s="96">
        <f t="shared" si="43"/>
        <v>9785295.673172066</v>
      </c>
      <c r="EK16" s="96">
        <f t="shared" si="43"/>
        <v>9801389.9094766267</v>
      </c>
      <c r="EL16" s="96">
        <f t="shared" si="43"/>
        <v>9817484.1457811855</v>
      </c>
      <c r="EM16" s="96">
        <f t="shared" si="43"/>
        <v>9833578.3820857443</v>
      </c>
      <c r="EN16" s="96">
        <f t="shared" si="43"/>
        <v>9849672.618390305</v>
      </c>
      <c r="EO16" s="96">
        <f t="shared" si="43"/>
        <v>9866088.7394209541</v>
      </c>
      <c r="EP16" s="96">
        <f t="shared" si="43"/>
        <v>9882504.8604516052</v>
      </c>
      <c r="EQ16" s="96">
        <f t="shared" si="43"/>
        <v>9898920.9814822543</v>
      </c>
      <c r="ER16" s="96">
        <f t="shared" si="43"/>
        <v>9915337.1025129054</v>
      </c>
      <c r="ES16" s="96">
        <f t="shared" si="43"/>
        <v>9931753.2235435545</v>
      </c>
      <c r="ET16" s="96">
        <f t="shared" si="43"/>
        <v>9948169.3445742056</v>
      </c>
      <c r="EU16" s="96">
        <f t="shared" si="43"/>
        <v>9964585.4656048547</v>
      </c>
      <c r="EV16" s="96">
        <f t="shared" ref="EV16:FH16" si="44">(SUM(EV7:FG7)/EV14)*EV15</f>
        <v>9981001.5866355058</v>
      </c>
      <c r="EW16" s="96">
        <f t="shared" si="44"/>
        <v>9997417.707666155</v>
      </c>
      <c r="EX16" s="96">
        <f t="shared" si="44"/>
        <v>10013833.828696806</v>
      </c>
      <c r="EY16" s="96">
        <f t="shared" si="44"/>
        <v>10030249.949727457</v>
      </c>
      <c r="EZ16" s="96">
        <f t="shared" si="44"/>
        <v>10046666.070758106</v>
      </c>
      <c r="FA16" s="96">
        <f t="shared" si="44"/>
        <v>10063410.514209369</v>
      </c>
      <c r="FB16" s="96">
        <f t="shared" si="44"/>
        <v>10080154.957660634</v>
      </c>
      <c r="FC16" s="96">
        <f t="shared" si="44"/>
        <v>10096899.401111897</v>
      </c>
      <c r="FD16" s="96">
        <f t="shared" si="44"/>
        <v>10113643.844563164</v>
      </c>
      <c r="FE16" s="96">
        <f t="shared" si="44"/>
        <v>10130388.288014425</v>
      </c>
      <c r="FF16" s="96">
        <f t="shared" si="44"/>
        <v>10147132.731465688</v>
      </c>
      <c r="FG16" s="96">
        <f t="shared" si="44"/>
        <v>10163877.174916955</v>
      </c>
      <c r="FH16" s="96">
        <f t="shared" si="44"/>
        <v>10180621.618368216</v>
      </c>
      <c r="FI16" s="631" t="s">
        <v>77</v>
      </c>
      <c r="FJ16" s="364" t="str">
        <f t="shared" si="39"/>
        <v>--</v>
      </c>
      <c r="FK16" s="364" t="str">
        <f t="shared" si="39"/>
        <v>--</v>
      </c>
      <c r="FL16" s="364" t="str">
        <f t="shared" si="39"/>
        <v>--</v>
      </c>
      <c r="FM16" s="364" t="str">
        <f t="shared" si="39"/>
        <v>--</v>
      </c>
      <c r="FN16" s="364" t="str">
        <f t="shared" si="39"/>
        <v>--</v>
      </c>
      <c r="FO16" s="364" t="str">
        <f t="shared" si="39"/>
        <v>--</v>
      </c>
      <c r="FP16" s="364" t="str">
        <f t="shared" si="39"/>
        <v>--</v>
      </c>
      <c r="FQ16" s="364" t="str">
        <f t="shared" si="39"/>
        <v>--</v>
      </c>
      <c r="FR16" s="364" t="str">
        <f t="shared" si="39"/>
        <v>--</v>
      </c>
      <c r="FS16" s="365" t="str">
        <f t="shared" si="39"/>
        <v>--</v>
      </c>
    </row>
    <row r="17" spans="2:175" x14ac:dyDescent="0.35">
      <c r="B17" s="9" t="s">
        <v>349</v>
      </c>
      <c r="C17" s="108">
        <f>(Q4)/(P4+Q4)</f>
        <v>0.77001270207377459</v>
      </c>
      <c r="E17" s="515">
        <f t="shared" si="7"/>
        <v>13</v>
      </c>
      <c r="F17" s="331">
        <f t="shared" si="8"/>
        <v>46418</v>
      </c>
      <c r="G17" s="616">
        <f t="shared" si="9"/>
        <v>7581566.2058471488</v>
      </c>
      <c r="H17" s="616">
        <f t="shared" si="3"/>
        <v>41243.71</v>
      </c>
      <c r="I17" s="616">
        <f t="shared" si="4"/>
        <v>9743.6460925568608</v>
      </c>
      <c r="J17" s="616">
        <f t="shared" si="5"/>
        <v>31500.063907443138</v>
      </c>
      <c r="K17" s="616">
        <f t="shared" si="10"/>
        <v>123569.99912479101</v>
      </c>
      <c r="L17" s="616">
        <f t="shared" si="11"/>
        <v>412598.23087520903</v>
      </c>
      <c r="M17" s="617">
        <f t="shared" si="6"/>
        <v>7571822.5597545924</v>
      </c>
      <c r="P17" s="484"/>
      <c r="Q17" s="484"/>
      <c r="S17" s="9" t="s">
        <v>350</v>
      </c>
      <c r="T17" s="627">
        <v>0.7</v>
      </c>
      <c r="W17" s="9"/>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30"/>
    </row>
    <row r="18" spans="2:175" x14ac:dyDescent="0.35">
      <c r="B18" s="9" t="s">
        <v>351</v>
      </c>
      <c r="C18" s="108">
        <f>P4/(P4+Q4)</f>
        <v>0.22998729792622546</v>
      </c>
      <c r="E18" s="515">
        <f t="shared" si="7"/>
        <v>14</v>
      </c>
      <c r="F18" s="331">
        <f t="shared" si="8"/>
        <v>46446</v>
      </c>
      <c r="G18" s="616">
        <f t="shared" si="9"/>
        <v>7571822.5597545924</v>
      </c>
      <c r="H18" s="616">
        <f t="shared" si="3"/>
        <v>41243.71</v>
      </c>
      <c r="I18" s="616">
        <f t="shared" si="4"/>
        <v>9784.1292152090537</v>
      </c>
      <c r="J18" s="616">
        <f t="shared" si="5"/>
        <v>31459.580784790945</v>
      </c>
      <c r="K18" s="616">
        <f t="shared" si="10"/>
        <v>133354.12834000005</v>
      </c>
      <c r="L18" s="616">
        <f t="shared" si="11"/>
        <v>444057.81166000001</v>
      </c>
      <c r="M18" s="617">
        <f t="shared" si="6"/>
        <v>7562038.4305393836</v>
      </c>
      <c r="P18" s="484"/>
      <c r="Q18" s="484"/>
      <c r="S18" s="9" t="s">
        <v>352</v>
      </c>
      <c r="T18" s="104">
        <f>T16*T17</f>
        <v>8080162.1868233541</v>
      </c>
      <c r="W18" s="9" t="s">
        <v>353</v>
      </c>
      <c r="X18" s="2">
        <f>T26</f>
        <v>1.25</v>
      </c>
      <c r="Y18" s="2">
        <f>X18</f>
        <v>1.25</v>
      </c>
      <c r="Z18" s="2">
        <f t="shared" ref="Z18:CK18" si="45">Y18</f>
        <v>1.25</v>
      </c>
      <c r="AA18" s="2">
        <f t="shared" si="45"/>
        <v>1.25</v>
      </c>
      <c r="AB18" s="2">
        <f t="shared" si="45"/>
        <v>1.25</v>
      </c>
      <c r="AC18" s="2">
        <f t="shared" si="45"/>
        <v>1.25</v>
      </c>
      <c r="AD18" s="2">
        <f t="shared" si="45"/>
        <v>1.25</v>
      </c>
      <c r="AE18" s="2">
        <f t="shared" si="45"/>
        <v>1.25</v>
      </c>
      <c r="AF18" s="2">
        <f t="shared" si="45"/>
        <v>1.25</v>
      </c>
      <c r="AG18" s="2">
        <f t="shared" si="45"/>
        <v>1.25</v>
      </c>
      <c r="AH18" s="2">
        <f t="shared" si="45"/>
        <v>1.25</v>
      </c>
      <c r="AI18" s="2">
        <f t="shared" si="45"/>
        <v>1.25</v>
      </c>
      <c r="AJ18" s="2">
        <f t="shared" si="45"/>
        <v>1.25</v>
      </c>
      <c r="AK18" s="2">
        <f t="shared" si="45"/>
        <v>1.25</v>
      </c>
      <c r="AL18" s="2">
        <f t="shared" si="45"/>
        <v>1.25</v>
      </c>
      <c r="AM18" s="2">
        <f t="shared" si="45"/>
        <v>1.25</v>
      </c>
      <c r="AN18" s="2">
        <f t="shared" si="45"/>
        <v>1.25</v>
      </c>
      <c r="AO18" s="2">
        <f t="shared" si="45"/>
        <v>1.25</v>
      </c>
      <c r="AP18" s="2">
        <f t="shared" si="45"/>
        <v>1.25</v>
      </c>
      <c r="AQ18" s="2">
        <f t="shared" si="45"/>
        <v>1.25</v>
      </c>
      <c r="AR18" s="2">
        <f t="shared" si="45"/>
        <v>1.25</v>
      </c>
      <c r="AS18" s="2">
        <f t="shared" si="45"/>
        <v>1.25</v>
      </c>
      <c r="AT18" s="2">
        <f t="shared" si="45"/>
        <v>1.25</v>
      </c>
      <c r="AU18" s="2">
        <f t="shared" si="45"/>
        <v>1.25</v>
      </c>
      <c r="AV18" s="2">
        <f t="shared" si="45"/>
        <v>1.25</v>
      </c>
      <c r="AW18" s="2">
        <f t="shared" si="45"/>
        <v>1.25</v>
      </c>
      <c r="AX18" s="2">
        <f t="shared" si="45"/>
        <v>1.25</v>
      </c>
      <c r="AY18" s="2">
        <f t="shared" si="45"/>
        <v>1.25</v>
      </c>
      <c r="AZ18" s="2">
        <f t="shared" si="45"/>
        <v>1.25</v>
      </c>
      <c r="BA18" s="2">
        <f t="shared" si="45"/>
        <v>1.25</v>
      </c>
      <c r="BB18" s="2">
        <f t="shared" si="45"/>
        <v>1.25</v>
      </c>
      <c r="BC18" s="2">
        <f t="shared" si="45"/>
        <v>1.25</v>
      </c>
      <c r="BD18" s="2">
        <f t="shared" si="45"/>
        <v>1.25</v>
      </c>
      <c r="BE18" s="2">
        <f t="shared" si="45"/>
        <v>1.25</v>
      </c>
      <c r="BF18" s="2">
        <f t="shared" si="45"/>
        <v>1.25</v>
      </c>
      <c r="BG18" s="2">
        <f t="shared" si="45"/>
        <v>1.25</v>
      </c>
      <c r="BH18" s="2">
        <f t="shared" si="45"/>
        <v>1.25</v>
      </c>
      <c r="BI18" s="2">
        <f t="shared" si="45"/>
        <v>1.25</v>
      </c>
      <c r="BJ18" s="2">
        <f t="shared" si="45"/>
        <v>1.25</v>
      </c>
      <c r="BK18" s="2">
        <f t="shared" si="45"/>
        <v>1.25</v>
      </c>
      <c r="BL18" s="2">
        <f t="shared" si="45"/>
        <v>1.25</v>
      </c>
      <c r="BM18" s="2">
        <f t="shared" si="45"/>
        <v>1.25</v>
      </c>
      <c r="BN18" s="2">
        <f t="shared" si="45"/>
        <v>1.25</v>
      </c>
      <c r="BO18" s="2">
        <f t="shared" si="45"/>
        <v>1.25</v>
      </c>
      <c r="BP18" s="2">
        <f t="shared" si="45"/>
        <v>1.25</v>
      </c>
      <c r="BQ18" s="2">
        <f t="shared" si="45"/>
        <v>1.25</v>
      </c>
      <c r="BR18" s="2">
        <f t="shared" si="45"/>
        <v>1.25</v>
      </c>
      <c r="BS18" s="2">
        <f t="shared" si="45"/>
        <v>1.25</v>
      </c>
      <c r="BT18" s="2">
        <f t="shared" si="45"/>
        <v>1.25</v>
      </c>
      <c r="BU18" s="2">
        <f t="shared" si="45"/>
        <v>1.25</v>
      </c>
      <c r="BV18" s="2">
        <f t="shared" si="45"/>
        <v>1.25</v>
      </c>
      <c r="BW18" s="2">
        <f t="shared" si="45"/>
        <v>1.25</v>
      </c>
      <c r="BX18" s="2">
        <f t="shared" si="45"/>
        <v>1.25</v>
      </c>
      <c r="BY18" s="2">
        <f t="shared" si="45"/>
        <v>1.25</v>
      </c>
      <c r="BZ18" s="2">
        <f t="shared" si="45"/>
        <v>1.25</v>
      </c>
      <c r="CA18" s="2">
        <f t="shared" si="45"/>
        <v>1.25</v>
      </c>
      <c r="CB18" s="2">
        <f t="shared" si="45"/>
        <v>1.25</v>
      </c>
      <c r="CC18" s="2">
        <f t="shared" si="45"/>
        <v>1.25</v>
      </c>
      <c r="CD18" s="2">
        <f t="shared" si="45"/>
        <v>1.25</v>
      </c>
      <c r="CE18" s="2">
        <f t="shared" si="45"/>
        <v>1.25</v>
      </c>
      <c r="CF18" s="2">
        <f t="shared" si="45"/>
        <v>1.25</v>
      </c>
      <c r="CG18" s="2">
        <f t="shared" si="45"/>
        <v>1.25</v>
      </c>
      <c r="CH18" s="2">
        <f t="shared" si="45"/>
        <v>1.25</v>
      </c>
      <c r="CI18" s="2">
        <f t="shared" si="45"/>
        <v>1.25</v>
      </c>
      <c r="CJ18" s="2">
        <f t="shared" si="45"/>
        <v>1.25</v>
      </c>
      <c r="CK18" s="2">
        <f t="shared" si="45"/>
        <v>1.25</v>
      </c>
      <c r="CL18" s="2">
        <f t="shared" ref="CL18:EW18" si="46">CK18</f>
        <v>1.25</v>
      </c>
      <c r="CM18" s="2">
        <f t="shared" si="46"/>
        <v>1.25</v>
      </c>
      <c r="CN18" s="2">
        <f t="shared" si="46"/>
        <v>1.25</v>
      </c>
      <c r="CO18" s="2">
        <f t="shared" si="46"/>
        <v>1.25</v>
      </c>
      <c r="CP18" s="2">
        <f t="shared" si="46"/>
        <v>1.25</v>
      </c>
      <c r="CQ18" s="2">
        <f t="shared" si="46"/>
        <v>1.25</v>
      </c>
      <c r="CR18" s="2">
        <f t="shared" si="46"/>
        <v>1.25</v>
      </c>
      <c r="CS18" s="2">
        <f t="shared" si="46"/>
        <v>1.25</v>
      </c>
      <c r="CT18" s="2">
        <f t="shared" si="46"/>
        <v>1.25</v>
      </c>
      <c r="CU18" s="2">
        <f t="shared" si="46"/>
        <v>1.25</v>
      </c>
      <c r="CV18" s="2">
        <f t="shared" si="46"/>
        <v>1.25</v>
      </c>
      <c r="CW18" s="2">
        <f t="shared" si="46"/>
        <v>1.25</v>
      </c>
      <c r="CX18" s="2">
        <f t="shared" si="46"/>
        <v>1.25</v>
      </c>
      <c r="CY18" s="2">
        <f t="shared" si="46"/>
        <v>1.25</v>
      </c>
      <c r="CZ18" s="2">
        <f t="shared" si="46"/>
        <v>1.25</v>
      </c>
      <c r="DA18" s="2">
        <f t="shared" si="46"/>
        <v>1.25</v>
      </c>
      <c r="DB18" s="2">
        <f t="shared" si="46"/>
        <v>1.25</v>
      </c>
      <c r="DC18" s="2">
        <f t="shared" si="46"/>
        <v>1.25</v>
      </c>
      <c r="DD18" s="2">
        <f t="shared" si="46"/>
        <v>1.25</v>
      </c>
      <c r="DE18" s="2">
        <f t="shared" si="46"/>
        <v>1.25</v>
      </c>
      <c r="DF18" s="2">
        <f t="shared" si="46"/>
        <v>1.25</v>
      </c>
      <c r="DG18" s="2">
        <f t="shared" si="46"/>
        <v>1.25</v>
      </c>
      <c r="DH18" s="2">
        <f t="shared" si="46"/>
        <v>1.25</v>
      </c>
      <c r="DI18" s="2">
        <f t="shared" si="46"/>
        <v>1.25</v>
      </c>
      <c r="DJ18" s="2">
        <f t="shared" si="46"/>
        <v>1.25</v>
      </c>
      <c r="DK18" s="2">
        <f t="shared" si="46"/>
        <v>1.25</v>
      </c>
      <c r="DL18" s="2">
        <f t="shared" si="46"/>
        <v>1.25</v>
      </c>
      <c r="DM18" s="2">
        <f t="shared" si="46"/>
        <v>1.25</v>
      </c>
      <c r="DN18" s="2">
        <f t="shared" si="46"/>
        <v>1.25</v>
      </c>
      <c r="DO18" s="2">
        <f t="shared" si="46"/>
        <v>1.25</v>
      </c>
      <c r="DP18" s="2">
        <f t="shared" si="46"/>
        <v>1.25</v>
      </c>
      <c r="DQ18" s="2">
        <f t="shared" si="46"/>
        <v>1.25</v>
      </c>
      <c r="DR18" s="2">
        <f t="shared" si="46"/>
        <v>1.25</v>
      </c>
      <c r="DS18" s="2">
        <f t="shared" si="46"/>
        <v>1.25</v>
      </c>
      <c r="DT18" s="2">
        <f t="shared" si="46"/>
        <v>1.25</v>
      </c>
      <c r="DU18" s="2">
        <f t="shared" si="46"/>
        <v>1.25</v>
      </c>
      <c r="DV18" s="2">
        <f t="shared" si="46"/>
        <v>1.25</v>
      </c>
      <c r="DW18" s="2">
        <f t="shared" si="46"/>
        <v>1.25</v>
      </c>
      <c r="DX18" s="2">
        <f t="shared" si="46"/>
        <v>1.25</v>
      </c>
      <c r="DY18" s="2">
        <f t="shared" si="46"/>
        <v>1.25</v>
      </c>
      <c r="DZ18" s="2">
        <f t="shared" si="46"/>
        <v>1.25</v>
      </c>
      <c r="EA18" s="2">
        <f t="shared" si="46"/>
        <v>1.25</v>
      </c>
      <c r="EB18" s="2">
        <f t="shared" si="46"/>
        <v>1.25</v>
      </c>
      <c r="EC18" s="2">
        <f t="shared" si="46"/>
        <v>1.25</v>
      </c>
      <c r="ED18" s="2">
        <f t="shared" si="46"/>
        <v>1.25</v>
      </c>
      <c r="EE18" s="2">
        <f t="shared" si="46"/>
        <v>1.25</v>
      </c>
      <c r="EF18" s="2">
        <f t="shared" si="46"/>
        <v>1.25</v>
      </c>
      <c r="EG18" s="2">
        <f t="shared" si="46"/>
        <v>1.25</v>
      </c>
      <c r="EH18" s="2">
        <f t="shared" si="46"/>
        <v>1.25</v>
      </c>
      <c r="EI18" s="2">
        <f t="shared" si="46"/>
        <v>1.25</v>
      </c>
      <c r="EJ18" s="2">
        <f t="shared" si="46"/>
        <v>1.25</v>
      </c>
      <c r="EK18" s="2">
        <f t="shared" si="46"/>
        <v>1.25</v>
      </c>
      <c r="EL18" s="2">
        <f t="shared" si="46"/>
        <v>1.25</v>
      </c>
      <c r="EM18" s="2">
        <f t="shared" si="46"/>
        <v>1.25</v>
      </c>
      <c r="EN18" s="2">
        <f t="shared" si="46"/>
        <v>1.25</v>
      </c>
      <c r="EO18" s="2">
        <f t="shared" si="46"/>
        <v>1.25</v>
      </c>
      <c r="EP18" s="2">
        <f t="shared" si="46"/>
        <v>1.25</v>
      </c>
      <c r="EQ18" s="2">
        <f t="shared" si="46"/>
        <v>1.25</v>
      </c>
      <c r="ER18" s="2">
        <f t="shared" si="46"/>
        <v>1.25</v>
      </c>
      <c r="ES18" s="2">
        <f t="shared" si="46"/>
        <v>1.25</v>
      </c>
      <c r="ET18" s="2">
        <f t="shared" si="46"/>
        <v>1.25</v>
      </c>
      <c r="EU18" s="2">
        <f t="shared" si="46"/>
        <v>1.25</v>
      </c>
      <c r="EV18" s="2">
        <f t="shared" si="46"/>
        <v>1.25</v>
      </c>
      <c r="EW18" s="2">
        <f t="shared" si="46"/>
        <v>1.25</v>
      </c>
      <c r="EX18" s="2">
        <f t="shared" ref="EX18:FS18" si="47">EW18</f>
        <v>1.25</v>
      </c>
      <c r="EY18" s="2">
        <f t="shared" si="47"/>
        <v>1.25</v>
      </c>
      <c r="EZ18" s="2">
        <f t="shared" si="47"/>
        <v>1.25</v>
      </c>
      <c r="FA18" s="2">
        <f t="shared" si="47"/>
        <v>1.25</v>
      </c>
      <c r="FB18" s="2">
        <f t="shared" si="47"/>
        <v>1.25</v>
      </c>
      <c r="FC18" s="2">
        <f t="shared" si="47"/>
        <v>1.25</v>
      </c>
      <c r="FD18" s="2">
        <f t="shared" si="47"/>
        <v>1.25</v>
      </c>
      <c r="FE18" s="2">
        <f t="shared" si="47"/>
        <v>1.25</v>
      </c>
      <c r="FF18" s="2">
        <f t="shared" si="47"/>
        <v>1.25</v>
      </c>
      <c r="FG18" s="2">
        <f t="shared" si="47"/>
        <v>1.25</v>
      </c>
      <c r="FH18" s="2">
        <f t="shared" si="47"/>
        <v>1.25</v>
      </c>
      <c r="FI18" s="2">
        <f t="shared" si="47"/>
        <v>1.25</v>
      </c>
      <c r="FJ18" s="2">
        <f t="shared" si="47"/>
        <v>1.25</v>
      </c>
      <c r="FK18" s="2">
        <f t="shared" si="47"/>
        <v>1.25</v>
      </c>
      <c r="FL18" s="2">
        <f t="shared" si="47"/>
        <v>1.25</v>
      </c>
      <c r="FM18" s="2">
        <f t="shared" si="47"/>
        <v>1.25</v>
      </c>
      <c r="FN18" s="2">
        <f t="shared" si="47"/>
        <v>1.25</v>
      </c>
      <c r="FO18" s="2">
        <f t="shared" si="47"/>
        <v>1.25</v>
      </c>
      <c r="FP18" s="2">
        <f t="shared" si="47"/>
        <v>1.25</v>
      </c>
      <c r="FQ18" s="2">
        <f t="shared" si="47"/>
        <v>1.25</v>
      </c>
      <c r="FR18" s="2">
        <f t="shared" si="47"/>
        <v>1.25</v>
      </c>
      <c r="FS18" s="30">
        <f t="shared" si="47"/>
        <v>1.25</v>
      </c>
    </row>
    <row r="19" spans="2:175" x14ac:dyDescent="0.35">
      <c r="B19" s="9"/>
      <c r="C19" s="30"/>
      <c r="E19" s="515">
        <f t="shared" si="7"/>
        <v>15</v>
      </c>
      <c r="F19" s="331">
        <f t="shared" si="8"/>
        <v>46477</v>
      </c>
      <c r="G19" s="616">
        <f t="shared" si="9"/>
        <v>7562038.4305393836</v>
      </c>
      <c r="H19" s="616">
        <f t="shared" si="3"/>
        <v>41243.71</v>
      </c>
      <c r="I19" s="616">
        <f t="shared" si="4"/>
        <v>9824.7805380610625</v>
      </c>
      <c r="J19" s="616">
        <f t="shared" si="5"/>
        <v>31418.929461938937</v>
      </c>
      <c r="K19" s="616">
        <f t="shared" si="10"/>
        <v>143178.90887806111</v>
      </c>
      <c r="L19" s="616">
        <f t="shared" si="11"/>
        <v>475476.74112193892</v>
      </c>
      <c r="M19" s="617">
        <f t="shared" si="6"/>
        <v>7552213.6500013229</v>
      </c>
      <c r="P19" s="484"/>
      <c r="Q19" s="484"/>
      <c r="S19" s="9"/>
      <c r="T19" s="30"/>
      <c r="W19" s="9" t="s">
        <v>356</v>
      </c>
      <c r="X19" s="96">
        <f t="shared" ref="X19:BC19" si="48">SUM(X7:AI7)/X18</f>
        <v>554068.26423931564</v>
      </c>
      <c r="Y19" s="96">
        <f t="shared" si="48"/>
        <v>554991.71134638111</v>
      </c>
      <c r="Z19" s="96">
        <f t="shared" si="48"/>
        <v>555915.15845344658</v>
      </c>
      <c r="AA19" s="96">
        <f t="shared" si="48"/>
        <v>556838.60556051205</v>
      </c>
      <c r="AB19" s="96">
        <f t="shared" si="48"/>
        <v>557762.05266757763</v>
      </c>
      <c r="AC19" s="96">
        <f t="shared" si="48"/>
        <v>558685.4997746431</v>
      </c>
      <c r="AD19" s="96">
        <f t="shared" si="48"/>
        <v>559608.94688170869</v>
      </c>
      <c r="AE19" s="96">
        <f t="shared" si="48"/>
        <v>560532.39398877416</v>
      </c>
      <c r="AF19" s="96">
        <f t="shared" si="48"/>
        <v>561455.84109583974</v>
      </c>
      <c r="AG19" s="96">
        <f t="shared" si="48"/>
        <v>562379.28820290521</v>
      </c>
      <c r="AH19" s="96">
        <f t="shared" si="48"/>
        <v>563302.7353099708</v>
      </c>
      <c r="AI19" s="96">
        <f t="shared" si="48"/>
        <v>564226.18241703627</v>
      </c>
      <c r="AJ19" s="96">
        <f t="shared" si="48"/>
        <v>565149.62952410174</v>
      </c>
      <c r="AK19" s="96">
        <f t="shared" si="48"/>
        <v>566091.5455733086</v>
      </c>
      <c r="AL19" s="96">
        <f t="shared" si="48"/>
        <v>567033.46162251546</v>
      </c>
      <c r="AM19" s="96">
        <f t="shared" si="48"/>
        <v>567975.37767172221</v>
      </c>
      <c r="AN19" s="96">
        <f t="shared" si="48"/>
        <v>568917.29372092907</v>
      </c>
      <c r="AO19" s="96">
        <f t="shared" si="48"/>
        <v>569859.20977013593</v>
      </c>
      <c r="AP19" s="96">
        <f t="shared" si="48"/>
        <v>570801.12581934279</v>
      </c>
      <c r="AQ19" s="96">
        <f t="shared" si="48"/>
        <v>571743.04186854966</v>
      </c>
      <c r="AR19" s="96">
        <f t="shared" si="48"/>
        <v>572684.95791775652</v>
      </c>
      <c r="AS19" s="96">
        <f t="shared" si="48"/>
        <v>573626.87396696326</v>
      </c>
      <c r="AT19" s="96">
        <f t="shared" si="48"/>
        <v>574568.79001617013</v>
      </c>
      <c r="AU19" s="96">
        <f t="shared" si="48"/>
        <v>575510.70606537699</v>
      </c>
      <c r="AV19" s="96">
        <f t="shared" si="48"/>
        <v>576452.62211458385</v>
      </c>
      <c r="AW19" s="96">
        <f t="shared" si="48"/>
        <v>577413.37648477487</v>
      </c>
      <c r="AX19" s="96">
        <f t="shared" si="48"/>
        <v>578374.13085496589</v>
      </c>
      <c r="AY19" s="96">
        <f t="shared" si="48"/>
        <v>579334.88522515702</v>
      </c>
      <c r="AZ19" s="96">
        <f t="shared" si="48"/>
        <v>580295.63959534792</v>
      </c>
      <c r="BA19" s="96">
        <f t="shared" si="48"/>
        <v>581256.39396553882</v>
      </c>
      <c r="BB19" s="96">
        <f t="shared" si="48"/>
        <v>582217.14833572984</v>
      </c>
      <c r="BC19" s="96">
        <f t="shared" si="48"/>
        <v>583177.90270592074</v>
      </c>
      <c r="BD19" s="96">
        <f t="shared" ref="BD19:CI19" si="49">SUM(BD7:BO7)/BD18</f>
        <v>584138.65707611176</v>
      </c>
      <c r="BE19" s="96">
        <f t="shared" si="49"/>
        <v>585099.41144630278</v>
      </c>
      <c r="BF19" s="96">
        <f t="shared" si="49"/>
        <v>586060.16581649368</v>
      </c>
      <c r="BG19" s="96">
        <f t="shared" si="49"/>
        <v>587020.9201866847</v>
      </c>
      <c r="BH19" s="96">
        <f t="shared" si="49"/>
        <v>587981.67455687572</v>
      </c>
      <c r="BI19" s="96">
        <f t="shared" si="49"/>
        <v>588961.64401447051</v>
      </c>
      <c r="BJ19" s="96">
        <f t="shared" si="49"/>
        <v>589941.61347206519</v>
      </c>
      <c r="BK19" s="96">
        <f t="shared" si="49"/>
        <v>590921.58292965998</v>
      </c>
      <c r="BL19" s="96">
        <f t="shared" si="49"/>
        <v>591901.55238725478</v>
      </c>
      <c r="BM19" s="96">
        <f t="shared" si="49"/>
        <v>592881.52184484957</v>
      </c>
      <c r="BN19" s="96">
        <f t="shared" si="49"/>
        <v>593861.49130244437</v>
      </c>
      <c r="BO19" s="96">
        <f t="shared" si="49"/>
        <v>594841.46076003916</v>
      </c>
      <c r="BP19" s="96">
        <f t="shared" si="49"/>
        <v>595821.43021763396</v>
      </c>
      <c r="BQ19" s="96">
        <f t="shared" si="49"/>
        <v>596801.39967522887</v>
      </c>
      <c r="BR19" s="96">
        <f t="shared" si="49"/>
        <v>597781.36913282354</v>
      </c>
      <c r="BS19" s="96">
        <f t="shared" si="49"/>
        <v>598761.33859041834</v>
      </c>
      <c r="BT19" s="96">
        <f t="shared" si="49"/>
        <v>599741.30804801313</v>
      </c>
      <c r="BU19" s="96">
        <f t="shared" si="49"/>
        <v>600740.87689475983</v>
      </c>
      <c r="BV19" s="96">
        <f t="shared" si="49"/>
        <v>601740.44574150653</v>
      </c>
      <c r="BW19" s="96">
        <f t="shared" si="49"/>
        <v>602740.01458825334</v>
      </c>
      <c r="BX19" s="96">
        <f t="shared" si="49"/>
        <v>603739.58343500004</v>
      </c>
      <c r="BY19" s="96">
        <f t="shared" si="49"/>
        <v>604739.15228174673</v>
      </c>
      <c r="BZ19" s="96">
        <f t="shared" si="49"/>
        <v>605738.72112849331</v>
      </c>
      <c r="CA19" s="96">
        <f t="shared" si="49"/>
        <v>606738.28997524013</v>
      </c>
      <c r="CB19" s="96">
        <f t="shared" si="49"/>
        <v>607737.85882198683</v>
      </c>
      <c r="CC19" s="96">
        <f t="shared" si="49"/>
        <v>608737.42766873341</v>
      </c>
      <c r="CD19" s="96">
        <f t="shared" si="49"/>
        <v>609736.9965154801</v>
      </c>
      <c r="CE19" s="96">
        <f t="shared" si="49"/>
        <v>610736.5653622268</v>
      </c>
      <c r="CF19" s="96">
        <f t="shared" si="49"/>
        <v>611736.1342089735</v>
      </c>
      <c r="CG19" s="96">
        <f t="shared" si="49"/>
        <v>612755.69443265512</v>
      </c>
      <c r="CH19" s="96">
        <f t="shared" si="49"/>
        <v>613775.25465633662</v>
      </c>
      <c r="CI19" s="96">
        <f t="shared" si="49"/>
        <v>614794.81488001824</v>
      </c>
      <c r="CJ19" s="96">
        <f t="shared" ref="CJ19:DO19" si="50">SUM(CJ7:CU7)/CJ18</f>
        <v>615814.37510369986</v>
      </c>
      <c r="CK19" s="96">
        <f t="shared" si="50"/>
        <v>616833.93532738148</v>
      </c>
      <c r="CL19" s="96">
        <f t="shared" si="50"/>
        <v>617853.4955510631</v>
      </c>
      <c r="CM19" s="96">
        <f t="shared" si="50"/>
        <v>618873.05577474472</v>
      </c>
      <c r="CN19" s="96">
        <f t="shared" si="50"/>
        <v>619892.61599842634</v>
      </c>
      <c r="CO19" s="96">
        <f t="shared" si="50"/>
        <v>620912.17622210807</v>
      </c>
      <c r="CP19" s="96">
        <f t="shared" si="50"/>
        <v>621931.73644578957</v>
      </c>
      <c r="CQ19" s="96">
        <f t="shared" si="50"/>
        <v>622951.29666947131</v>
      </c>
      <c r="CR19" s="96">
        <f t="shared" si="50"/>
        <v>623970.85689315281</v>
      </c>
      <c r="CS19" s="96">
        <f t="shared" si="50"/>
        <v>625010.80832130811</v>
      </c>
      <c r="CT19" s="96">
        <f t="shared" si="50"/>
        <v>626050.75974946341</v>
      </c>
      <c r="CU19" s="96">
        <f t="shared" si="50"/>
        <v>627090.71117761859</v>
      </c>
      <c r="CV19" s="96">
        <f t="shared" si="50"/>
        <v>628130.66260577389</v>
      </c>
      <c r="CW19" s="96">
        <f t="shared" si="50"/>
        <v>629170.61403392907</v>
      </c>
      <c r="CX19" s="96">
        <f t="shared" si="50"/>
        <v>630210.56546208425</v>
      </c>
      <c r="CY19" s="96">
        <f t="shared" si="50"/>
        <v>631250.51689023967</v>
      </c>
      <c r="CZ19" s="96">
        <f t="shared" si="50"/>
        <v>632290.46831839473</v>
      </c>
      <c r="DA19" s="96">
        <f t="shared" si="50"/>
        <v>633330.41974655015</v>
      </c>
      <c r="DB19" s="96">
        <f t="shared" si="50"/>
        <v>634370.37117470545</v>
      </c>
      <c r="DC19" s="96">
        <f t="shared" si="50"/>
        <v>635410.32260286063</v>
      </c>
      <c r="DD19" s="96">
        <f t="shared" si="50"/>
        <v>636450.27403101581</v>
      </c>
      <c r="DE19" s="96">
        <f t="shared" si="50"/>
        <v>637511.02448773419</v>
      </c>
      <c r="DF19" s="96">
        <f t="shared" si="50"/>
        <v>638571.77494445257</v>
      </c>
      <c r="DG19" s="96">
        <f t="shared" si="50"/>
        <v>639632.52540117095</v>
      </c>
      <c r="DH19" s="96">
        <f t="shared" si="50"/>
        <v>640693.27585788933</v>
      </c>
      <c r="DI19" s="96">
        <f t="shared" si="50"/>
        <v>641754.02631460759</v>
      </c>
      <c r="DJ19" s="96">
        <f t="shared" si="50"/>
        <v>642814.77677132597</v>
      </c>
      <c r="DK19" s="96">
        <f t="shared" si="50"/>
        <v>643875.52722804435</v>
      </c>
      <c r="DL19" s="96">
        <f t="shared" si="50"/>
        <v>644936.27768476272</v>
      </c>
      <c r="DM19" s="96">
        <f t="shared" si="50"/>
        <v>645997.0281414811</v>
      </c>
      <c r="DN19" s="96">
        <f t="shared" si="50"/>
        <v>647057.77859819937</v>
      </c>
      <c r="DO19" s="96">
        <f t="shared" si="50"/>
        <v>648118.52905491774</v>
      </c>
      <c r="DP19" s="96">
        <f t="shared" ref="DP19:EU19" si="51">SUM(DP7:EA7)/DP18</f>
        <v>649179.27951163612</v>
      </c>
      <c r="DQ19" s="96">
        <f t="shared" si="51"/>
        <v>650261.24497748888</v>
      </c>
      <c r="DR19" s="96">
        <f t="shared" si="51"/>
        <v>651343.21044334176</v>
      </c>
      <c r="DS19" s="96">
        <f t="shared" si="51"/>
        <v>652425.17590919451</v>
      </c>
      <c r="DT19" s="96">
        <f t="shared" si="51"/>
        <v>653507.14137504739</v>
      </c>
      <c r="DU19" s="96">
        <f t="shared" si="51"/>
        <v>654589.10684090003</v>
      </c>
      <c r="DV19" s="96">
        <f t="shared" si="51"/>
        <v>655671.07230675279</v>
      </c>
      <c r="DW19" s="96">
        <f t="shared" si="51"/>
        <v>656753.03777260543</v>
      </c>
      <c r="DX19" s="96">
        <f t="shared" si="51"/>
        <v>657835.00323845819</v>
      </c>
      <c r="DY19" s="96">
        <f t="shared" si="51"/>
        <v>658916.96870431094</v>
      </c>
      <c r="DZ19" s="96">
        <f t="shared" si="51"/>
        <v>659998.93417016359</v>
      </c>
      <c r="EA19" s="96">
        <f t="shared" si="51"/>
        <v>661080.89963601634</v>
      </c>
      <c r="EB19" s="96">
        <f t="shared" si="51"/>
        <v>662162.8651018691</v>
      </c>
      <c r="EC19" s="96">
        <f t="shared" si="51"/>
        <v>663266.46987703885</v>
      </c>
      <c r="ED19" s="96">
        <f t="shared" si="51"/>
        <v>664370.07465220871</v>
      </c>
      <c r="EE19" s="96">
        <f t="shared" si="51"/>
        <v>665473.67942737846</v>
      </c>
      <c r="EF19" s="96">
        <f t="shared" si="51"/>
        <v>666577.28420254821</v>
      </c>
      <c r="EG19" s="96">
        <f t="shared" si="51"/>
        <v>667680.88897771796</v>
      </c>
      <c r="EH19" s="96">
        <f t="shared" si="51"/>
        <v>668784.49375288771</v>
      </c>
      <c r="EI19" s="96">
        <f t="shared" si="51"/>
        <v>669888.09852805757</v>
      </c>
      <c r="EJ19" s="96">
        <f t="shared" si="51"/>
        <v>670991.70330322743</v>
      </c>
      <c r="EK19" s="96">
        <f t="shared" si="51"/>
        <v>672095.3080783973</v>
      </c>
      <c r="EL19" s="96">
        <f t="shared" si="51"/>
        <v>673198.91285356705</v>
      </c>
      <c r="EM19" s="96">
        <f t="shared" si="51"/>
        <v>674302.51762873679</v>
      </c>
      <c r="EN19" s="96">
        <f t="shared" si="51"/>
        <v>675406.12240390654</v>
      </c>
      <c r="EO19" s="96">
        <f t="shared" si="51"/>
        <v>676531.79927457974</v>
      </c>
      <c r="EP19" s="96">
        <f t="shared" si="51"/>
        <v>677657.47614525282</v>
      </c>
      <c r="EQ19" s="96">
        <f t="shared" si="51"/>
        <v>678783.15301592601</v>
      </c>
      <c r="ER19" s="96">
        <f t="shared" si="51"/>
        <v>679908.82988659921</v>
      </c>
      <c r="ES19" s="96">
        <f t="shared" si="51"/>
        <v>681034.50675727229</v>
      </c>
      <c r="ET19" s="96">
        <f t="shared" si="51"/>
        <v>682160.18362794549</v>
      </c>
      <c r="EU19" s="96">
        <f t="shared" si="51"/>
        <v>683285.86049861857</v>
      </c>
      <c r="EV19" s="96">
        <f t="shared" ref="EV19:FH19" si="52">SUM(EV7:FG7)/EV18</f>
        <v>684411.53736929176</v>
      </c>
      <c r="EW19" s="96">
        <f t="shared" si="52"/>
        <v>685537.21423996496</v>
      </c>
      <c r="EX19" s="96">
        <f t="shared" si="52"/>
        <v>686662.89111063816</v>
      </c>
      <c r="EY19" s="96">
        <f t="shared" si="52"/>
        <v>687788.56798131135</v>
      </c>
      <c r="EZ19" s="96">
        <f t="shared" si="52"/>
        <v>688914.24485198443</v>
      </c>
      <c r="FA19" s="96">
        <f t="shared" si="52"/>
        <v>690062.43526007107</v>
      </c>
      <c r="FB19" s="96">
        <f t="shared" si="52"/>
        <v>691210.62566815782</v>
      </c>
      <c r="FC19" s="96">
        <f t="shared" si="52"/>
        <v>692358.81607624446</v>
      </c>
      <c r="FD19" s="96">
        <f t="shared" si="52"/>
        <v>693507.00648433121</v>
      </c>
      <c r="FE19" s="96">
        <f t="shared" si="52"/>
        <v>694655.19689241773</v>
      </c>
      <c r="FF19" s="96">
        <f t="shared" si="52"/>
        <v>695803.38730050437</v>
      </c>
      <c r="FG19" s="96">
        <f t="shared" si="52"/>
        <v>696951.57770859112</v>
      </c>
      <c r="FH19" s="96">
        <f t="shared" si="52"/>
        <v>698099.76811667776</v>
      </c>
      <c r="FI19" s="96">
        <f t="shared" ref="FI19:FS19" si="53">SUM(FI5:FT5)/FI18</f>
        <v>0</v>
      </c>
      <c r="FJ19" s="96">
        <f t="shared" si="53"/>
        <v>0</v>
      </c>
      <c r="FK19" s="96">
        <f t="shared" si="53"/>
        <v>0</v>
      </c>
      <c r="FL19" s="96">
        <f t="shared" si="53"/>
        <v>0</v>
      </c>
      <c r="FM19" s="96">
        <f t="shared" si="53"/>
        <v>0</v>
      </c>
      <c r="FN19" s="96">
        <f t="shared" si="53"/>
        <v>0</v>
      </c>
      <c r="FO19" s="96">
        <f t="shared" si="53"/>
        <v>0</v>
      </c>
      <c r="FP19" s="96">
        <f t="shared" si="53"/>
        <v>0</v>
      </c>
      <c r="FQ19" s="96">
        <f t="shared" si="53"/>
        <v>0</v>
      </c>
      <c r="FR19" s="96">
        <f t="shared" si="53"/>
        <v>0</v>
      </c>
      <c r="FS19" s="104">
        <f t="shared" si="53"/>
        <v>0</v>
      </c>
    </row>
    <row r="20" spans="2:175" x14ac:dyDescent="0.35">
      <c r="B20" s="9" t="s">
        <v>354</v>
      </c>
      <c r="C20" s="108">
        <f>SUM(P9:Q9)/C8</f>
        <v>6.431439542729081E-2</v>
      </c>
      <c r="E20" s="515">
        <f t="shared" si="7"/>
        <v>16</v>
      </c>
      <c r="F20" s="331">
        <f t="shared" si="8"/>
        <v>46507</v>
      </c>
      <c r="G20" s="616">
        <f t="shared" si="9"/>
        <v>7552213.6500013229</v>
      </c>
      <c r="H20" s="616">
        <f t="shared" si="3"/>
        <v>41243.71</v>
      </c>
      <c r="I20" s="616">
        <f t="shared" si="4"/>
        <v>9865.6007599549012</v>
      </c>
      <c r="J20" s="616">
        <f t="shared" si="5"/>
        <v>31378.109240045098</v>
      </c>
      <c r="K20" s="616">
        <f t="shared" si="10"/>
        <v>153044.509638016</v>
      </c>
      <c r="L20" s="616">
        <f t="shared" si="11"/>
        <v>506854.85036198399</v>
      </c>
      <c r="M20" s="617">
        <f t="shared" si="6"/>
        <v>7542348.0492413677</v>
      </c>
      <c r="P20" s="366"/>
      <c r="Q20" s="128"/>
      <c r="S20" s="374" t="s">
        <v>355</v>
      </c>
      <c r="T20" s="30"/>
      <c r="W20" s="9" t="s">
        <v>359</v>
      </c>
      <c r="X20" s="72">
        <f>(X9/12)/(1 - (1 / (1 + X9/12))^$T$28)*12</f>
        <v>6.7564680133562871E-2</v>
      </c>
      <c r="Y20" s="72">
        <f t="shared" ref="Y20:CJ20" si="54">(Y9/12)/(1 - (1 / (1 + Y9/12))^$T$28)*12</f>
        <v>6.7564680133562871E-2</v>
      </c>
      <c r="Z20" s="72">
        <f t="shared" si="54"/>
        <v>6.7564680133562871E-2</v>
      </c>
      <c r="AA20" s="72">
        <f t="shared" si="54"/>
        <v>6.7564680133562871E-2</v>
      </c>
      <c r="AB20" s="72">
        <f t="shared" si="54"/>
        <v>6.7564680133562871E-2</v>
      </c>
      <c r="AC20" s="72">
        <f t="shared" si="54"/>
        <v>6.7564680133562871E-2</v>
      </c>
      <c r="AD20" s="72">
        <f t="shared" si="54"/>
        <v>6.7564680133562871E-2</v>
      </c>
      <c r="AE20" s="72">
        <f t="shared" si="54"/>
        <v>6.7564680133562871E-2</v>
      </c>
      <c r="AF20" s="72">
        <f t="shared" si="54"/>
        <v>6.7564680133562871E-2</v>
      </c>
      <c r="AG20" s="72">
        <f t="shared" si="54"/>
        <v>6.7564680133562871E-2</v>
      </c>
      <c r="AH20" s="72">
        <f t="shared" si="54"/>
        <v>6.7564680133562871E-2</v>
      </c>
      <c r="AI20" s="72">
        <f t="shared" si="54"/>
        <v>6.7564680133562871E-2</v>
      </c>
      <c r="AJ20" s="72">
        <f t="shared" si="54"/>
        <v>6.7564680133562871E-2</v>
      </c>
      <c r="AK20" s="72">
        <f t="shared" si="54"/>
        <v>6.7564680133562871E-2</v>
      </c>
      <c r="AL20" s="72">
        <f t="shared" si="54"/>
        <v>6.7564680133562871E-2</v>
      </c>
      <c r="AM20" s="72">
        <f t="shared" si="54"/>
        <v>6.7564680133562871E-2</v>
      </c>
      <c r="AN20" s="72">
        <f t="shared" si="54"/>
        <v>6.7564680133562871E-2</v>
      </c>
      <c r="AO20" s="72">
        <f t="shared" si="54"/>
        <v>6.7564680133562871E-2</v>
      </c>
      <c r="AP20" s="72">
        <f t="shared" si="54"/>
        <v>6.7564680133562871E-2</v>
      </c>
      <c r="AQ20" s="72">
        <f t="shared" si="54"/>
        <v>6.7564680133562871E-2</v>
      </c>
      <c r="AR20" s="72">
        <f t="shared" si="54"/>
        <v>6.7564680133562871E-2</v>
      </c>
      <c r="AS20" s="72">
        <f t="shared" si="54"/>
        <v>6.7564680133562871E-2</v>
      </c>
      <c r="AT20" s="72">
        <f t="shared" si="54"/>
        <v>6.7564680133562871E-2</v>
      </c>
      <c r="AU20" s="72">
        <f t="shared" si="54"/>
        <v>6.7564680133562871E-2</v>
      </c>
      <c r="AV20" s="72">
        <f t="shared" si="54"/>
        <v>6.7564680133562871E-2</v>
      </c>
      <c r="AW20" s="72">
        <f t="shared" si="54"/>
        <v>6.7564680133562871E-2</v>
      </c>
      <c r="AX20" s="72">
        <f t="shared" si="54"/>
        <v>6.7564680133562871E-2</v>
      </c>
      <c r="AY20" s="72">
        <f t="shared" si="54"/>
        <v>6.7564680133562871E-2</v>
      </c>
      <c r="AZ20" s="72">
        <f t="shared" si="54"/>
        <v>6.7564680133562871E-2</v>
      </c>
      <c r="BA20" s="72">
        <f t="shared" si="54"/>
        <v>6.7564680133562871E-2</v>
      </c>
      <c r="BB20" s="72">
        <f t="shared" si="54"/>
        <v>6.7564680133562871E-2</v>
      </c>
      <c r="BC20" s="72">
        <f t="shared" si="54"/>
        <v>6.7564680133562871E-2</v>
      </c>
      <c r="BD20" s="72">
        <f t="shared" si="54"/>
        <v>6.7564680133562871E-2</v>
      </c>
      <c r="BE20" s="72">
        <f t="shared" si="54"/>
        <v>6.7564680133562871E-2</v>
      </c>
      <c r="BF20" s="72">
        <f t="shared" si="54"/>
        <v>6.7564680133562871E-2</v>
      </c>
      <c r="BG20" s="72">
        <f t="shared" si="54"/>
        <v>6.7564680133562871E-2</v>
      </c>
      <c r="BH20" s="72">
        <f t="shared" si="54"/>
        <v>6.7564680133562871E-2</v>
      </c>
      <c r="BI20" s="72">
        <f t="shared" si="54"/>
        <v>6.7564680133562871E-2</v>
      </c>
      <c r="BJ20" s="72">
        <f t="shared" si="54"/>
        <v>6.7564680133562871E-2</v>
      </c>
      <c r="BK20" s="72">
        <f t="shared" si="54"/>
        <v>6.7564680133562871E-2</v>
      </c>
      <c r="BL20" s="72">
        <f t="shared" si="54"/>
        <v>6.7564680133562871E-2</v>
      </c>
      <c r="BM20" s="72">
        <f t="shared" si="54"/>
        <v>6.7564680133562871E-2</v>
      </c>
      <c r="BN20" s="72">
        <f t="shared" si="54"/>
        <v>6.7564680133562871E-2</v>
      </c>
      <c r="BO20" s="72">
        <f t="shared" si="54"/>
        <v>6.7564680133562871E-2</v>
      </c>
      <c r="BP20" s="72">
        <f t="shared" si="54"/>
        <v>6.7564680133562871E-2</v>
      </c>
      <c r="BQ20" s="72">
        <f t="shared" si="54"/>
        <v>6.7564680133562871E-2</v>
      </c>
      <c r="BR20" s="72">
        <f t="shared" si="54"/>
        <v>6.7564680133562871E-2</v>
      </c>
      <c r="BS20" s="72">
        <f t="shared" si="54"/>
        <v>6.7564680133562871E-2</v>
      </c>
      <c r="BT20" s="72">
        <f t="shared" si="54"/>
        <v>6.7564680133562871E-2</v>
      </c>
      <c r="BU20" s="72">
        <f t="shared" si="54"/>
        <v>6.7564680133562871E-2</v>
      </c>
      <c r="BV20" s="72">
        <f t="shared" si="54"/>
        <v>6.7564680133562871E-2</v>
      </c>
      <c r="BW20" s="72">
        <f t="shared" si="54"/>
        <v>6.7564680133562871E-2</v>
      </c>
      <c r="BX20" s="72">
        <f t="shared" si="54"/>
        <v>6.7564680133562871E-2</v>
      </c>
      <c r="BY20" s="72">
        <f t="shared" si="54"/>
        <v>6.7564680133562871E-2</v>
      </c>
      <c r="BZ20" s="72">
        <f t="shared" si="54"/>
        <v>6.7564680133562871E-2</v>
      </c>
      <c r="CA20" s="72">
        <f t="shared" si="54"/>
        <v>6.7564680133562871E-2</v>
      </c>
      <c r="CB20" s="72">
        <f t="shared" si="54"/>
        <v>6.7564680133562871E-2</v>
      </c>
      <c r="CC20" s="72">
        <f t="shared" si="54"/>
        <v>6.7564680133562871E-2</v>
      </c>
      <c r="CD20" s="72">
        <f t="shared" si="54"/>
        <v>6.7564680133562871E-2</v>
      </c>
      <c r="CE20" s="72">
        <f t="shared" si="54"/>
        <v>6.7564680133562871E-2</v>
      </c>
      <c r="CF20" s="72">
        <f t="shared" si="54"/>
        <v>6.7564680133562871E-2</v>
      </c>
      <c r="CG20" s="72">
        <f t="shared" si="54"/>
        <v>6.7564680133562871E-2</v>
      </c>
      <c r="CH20" s="72">
        <f t="shared" si="54"/>
        <v>6.7564680133562871E-2</v>
      </c>
      <c r="CI20" s="72">
        <f t="shared" si="54"/>
        <v>6.7564680133562871E-2</v>
      </c>
      <c r="CJ20" s="72">
        <f t="shared" si="54"/>
        <v>6.7564680133562871E-2</v>
      </c>
      <c r="CK20" s="72">
        <f t="shared" ref="CK20:EV20" si="55">(CK9/12)/(1 - (1 / (1 + CK9/12))^$T$28)*12</f>
        <v>6.7564680133562871E-2</v>
      </c>
      <c r="CL20" s="72">
        <f t="shared" si="55"/>
        <v>6.7564680133562871E-2</v>
      </c>
      <c r="CM20" s="72">
        <f t="shared" si="55"/>
        <v>6.7564680133562871E-2</v>
      </c>
      <c r="CN20" s="72">
        <f t="shared" si="55"/>
        <v>6.7564680133562871E-2</v>
      </c>
      <c r="CO20" s="72">
        <f t="shared" si="55"/>
        <v>6.7564680133562871E-2</v>
      </c>
      <c r="CP20" s="72">
        <f t="shared" si="55"/>
        <v>6.7564680133562871E-2</v>
      </c>
      <c r="CQ20" s="72">
        <f t="shared" si="55"/>
        <v>6.7564680133562871E-2</v>
      </c>
      <c r="CR20" s="72">
        <f t="shared" si="55"/>
        <v>6.7564680133562871E-2</v>
      </c>
      <c r="CS20" s="72">
        <f t="shared" si="55"/>
        <v>6.7564680133562871E-2</v>
      </c>
      <c r="CT20" s="72">
        <f t="shared" si="55"/>
        <v>6.7564680133562871E-2</v>
      </c>
      <c r="CU20" s="72">
        <f t="shared" si="55"/>
        <v>6.7564680133562871E-2</v>
      </c>
      <c r="CV20" s="72">
        <f t="shared" si="55"/>
        <v>6.7564680133562871E-2</v>
      </c>
      <c r="CW20" s="72">
        <f t="shared" si="55"/>
        <v>6.7564680133562871E-2</v>
      </c>
      <c r="CX20" s="72">
        <f t="shared" si="55"/>
        <v>6.7564680133562871E-2</v>
      </c>
      <c r="CY20" s="72">
        <f t="shared" si="55"/>
        <v>6.7564680133562871E-2</v>
      </c>
      <c r="CZ20" s="72">
        <f t="shared" si="55"/>
        <v>6.7564680133562871E-2</v>
      </c>
      <c r="DA20" s="72">
        <f t="shared" si="55"/>
        <v>6.7564680133562871E-2</v>
      </c>
      <c r="DB20" s="72">
        <f t="shared" si="55"/>
        <v>6.7564680133562871E-2</v>
      </c>
      <c r="DC20" s="72">
        <f t="shared" si="55"/>
        <v>6.7564680133562871E-2</v>
      </c>
      <c r="DD20" s="72">
        <f t="shared" si="55"/>
        <v>6.7564680133562871E-2</v>
      </c>
      <c r="DE20" s="72">
        <f t="shared" si="55"/>
        <v>6.7564680133562871E-2</v>
      </c>
      <c r="DF20" s="72">
        <f t="shared" si="55"/>
        <v>6.7564680133562871E-2</v>
      </c>
      <c r="DG20" s="72">
        <f t="shared" si="55"/>
        <v>6.7564680133562871E-2</v>
      </c>
      <c r="DH20" s="72">
        <f t="shared" si="55"/>
        <v>6.7564680133562871E-2</v>
      </c>
      <c r="DI20" s="72">
        <f t="shared" si="55"/>
        <v>6.7564680133562871E-2</v>
      </c>
      <c r="DJ20" s="72">
        <f t="shared" si="55"/>
        <v>6.7564680133562871E-2</v>
      </c>
      <c r="DK20" s="72">
        <f t="shared" si="55"/>
        <v>6.7564680133562871E-2</v>
      </c>
      <c r="DL20" s="72">
        <f t="shared" si="55"/>
        <v>6.7564680133562871E-2</v>
      </c>
      <c r="DM20" s="72">
        <f t="shared" si="55"/>
        <v>6.7564680133562871E-2</v>
      </c>
      <c r="DN20" s="72">
        <f t="shared" si="55"/>
        <v>6.7564680133562871E-2</v>
      </c>
      <c r="DO20" s="72">
        <f t="shared" si="55"/>
        <v>6.7564680133562871E-2</v>
      </c>
      <c r="DP20" s="72">
        <f t="shared" si="55"/>
        <v>6.7564680133562871E-2</v>
      </c>
      <c r="DQ20" s="72">
        <f t="shared" si="55"/>
        <v>6.7564680133562871E-2</v>
      </c>
      <c r="DR20" s="72">
        <f t="shared" si="55"/>
        <v>6.7564680133562871E-2</v>
      </c>
      <c r="DS20" s="72">
        <f t="shared" si="55"/>
        <v>6.7564680133562871E-2</v>
      </c>
      <c r="DT20" s="72">
        <f t="shared" si="55"/>
        <v>6.7564680133562871E-2</v>
      </c>
      <c r="DU20" s="72">
        <f t="shared" si="55"/>
        <v>6.7564680133562871E-2</v>
      </c>
      <c r="DV20" s="72">
        <f t="shared" si="55"/>
        <v>6.7564680133562871E-2</v>
      </c>
      <c r="DW20" s="72">
        <f t="shared" si="55"/>
        <v>6.7564680133562871E-2</v>
      </c>
      <c r="DX20" s="72">
        <f t="shared" si="55"/>
        <v>6.7564680133562871E-2</v>
      </c>
      <c r="DY20" s="72">
        <f t="shared" si="55"/>
        <v>6.7564680133562871E-2</v>
      </c>
      <c r="DZ20" s="72">
        <f t="shared" si="55"/>
        <v>6.7564680133562871E-2</v>
      </c>
      <c r="EA20" s="72">
        <f t="shared" si="55"/>
        <v>6.7564680133562871E-2</v>
      </c>
      <c r="EB20" s="72">
        <f t="shared" si="55"/>
        <v>6.7564680133562871E-2</v>
      </c>
      <c r="EC20" s="72">
        <f t="shared" si="55"/>
        <v>6.7564680133562871E-2</v>
      </c>
      <c r="ED20" s="72">
        <f t="shared" si="55"/>
        <v>6.7564680133562871E-2</v>
      </c>
      <c r="EE20" s="72">
        <f t="shared" si="55"/>
        <v>6.7564680133562871E-2</v>
      </c>
      <c r="EF20" s="72">
        <f t="shared" si="55"/>
        <v>6.7564680133562871E-2</v>
      </c>
      <c r="EG20" s="72">
        <f t="shared" si="55"/>
        <v>6.7564680133562871E-2</v>
      </c>
      <c r="EH20" s="72">
        <f t="shared" si="55"/>
        <v>6.7564680133562871E-2</v>
      </c>
      <c r="EI20" s="72">
        <f t="shared" si="55"/>
        <v>6.7564680133562871E-2</v>
      </c>
      <c r="EJ20" s="72">
        <f t="shared" si="55"/>
        <v>6.7564680133562871E-2</v>
      </c>
      <c r="EK20" s="72">
        <f t="shared" si="55"/>
        <v>6.7564680133562871E-2</v>
      </c>
      <c r="EL20" s="72">
        <f t="shared" si="55"/>
        <v>6.7564680133562871E-2</v>
      </c>
      <c r="EM20" s="72">
        <f t="shared" si="55"/>
        <v>6.7564680133562871E-2</v>
      </c>
      <c r="EN20" s="72">
        <f t="shared" si="55"/>
        <v>6.7564680133562871E-2</v>
      </c>
      <c r="EO20" s="72">
        <f t="shared" si="55"/>
        <v>6.7564680133562871E-2</v>
      </c>
      <c r="EP20" s="72">
        <f t="shared" si="55"/>
        <v>6.7564680133562871E-2</v>
      </c>
      <c r="EQ20" s="72">
        <f t="shared" si="55"/>
        <v>6.7564680133562871E-2</v>
      </c>
      <c r="ER20" s="72">
        <f t="shared" si="55"/>
        <v>6.7564680133562871E-2</v>
      </c>
      <c r="ES20" s="72">
        <f t="shared" si="55"/>
        <v>6.7564680133562871E-2</v>
      </c>
      <c r="ET20" s="72">
        <f t="shared" si="55"/>
        <v>6.7564680133562871E-2</v>
      </c>
      <c r="EU20" s="72">
        <f t="shared" si="55"/>
        <v>6.7564680133562871E-2</v>
      </c>
      <c r="EV20" s="72">
        <f t="shared" si="55"/>
        <v>6.7564680133562871E-2</v>
      </c>
      <c r="EW20" s="72">
        <f t="shared" ref="EW20:FS20" si="56">(EW9/12)/(1 - (1 / (1 + EW9/12))^$T$28)*12</f>
        <v>6.7564680133562871E-2</v>
      </c>
      <c r="EX20" s="72">
        <f t="shared" si="56"/>
        <v>6.7564680133562871E-2</v>
      </c>
      <c r="EY20" s="72">
        <f t="shared" si="56"/>
        <v>6.7564680133562871E-2</v>
      </c>
      <c r="EZ20" s="72">
        <f t="shared" si="56"/>
        <v>6.7564680133562871E-2</v>
      </c>
      <c r="FA20" s="72">
        <f t="shared" si="56"/>
        <v>6.7564680133562871E-2</v>
      </c>
      <c r="FB20" s="72">
        <f t="shared" si="56"/>
        <v>6.7564680133562871E-2</v>
      </c>
      <c r="FC20" s="72">
        <f t="shared" si="56"/>
        <v>6.7564680133562871E-2</v>
      </c>
      <c r="FD20" s="72">
        <f t="shared" si="56"/>
        <v>6.7564680133562871E-2</v>
      </c>
      <c r="FE20" s="72">
        <f t="shared" si="56"/>
        <v>6.7564680133562871E-2</v>
      </c>
      <c r="FF20" s="72">
        <f t="shared" si="56"/>
        <v>6.7564680133562871E-2</v>
      </c>
      <c r="FG20" s="72">
        <f t="shared" si="56"/>
        <v>6.7564680133562871E-2</v>
      </c>
      <c r="FH20" s="72">
        <f t="shared" si="56"/>
        <v>6.7564680133562871E-2</v>
      </c>
      <c r="FI20" s="72">
        <f t="shared" si="56"/>
        <v>6.7564680133562871E-2</v>
      </c>
      <c r="FJ20" s="72">
        <f t="shared" si="56"/>
        <v>6.7564680133562871E-2</v>
      </c>
      <c r="FK20" s="72">
        <f t="shared" si="56"/>
        <v>6.7564680133562871E-2</v>
      </c>
      <c r="FL20" s="72">
        <f t="shared" si="56"/>
        <v>6.7564680133562871E-2</v>
      </c>
      <c r="FM20" s="72">
        <f t="shared" si="56"/>
        <v>6.7564680133562871E-2</v>
      </c>
      <c r="FN20" s="72">
        <f t="shared" si="56"/>
        <v>6.7564680133562871E-2</v>
      </c>
      <c r="FO20" s="72">
        <f t="shared" si="56"/>
        <v>6.7564680133562871E-2</v>
      </c>
      <c r="FP20" s="72">
        <f t="shared" si="56"/>
        <v>6.7564680133562871E-2</v>
      </c>
      <c r="FQ20" s="72">
        <f t="shared" si="56"/>
        <v>6.7564680133562871E-2</v>
      </c>
      <c r="FR20" s="72">
        <f t="shared" si="56"/>
        <v>6.7564680133562871E-2</v>
      </c>
      <c r="FS20" s="108">
        <f t="shared" si="56"/>
        <v>6.7564680133562871E-2</v>
      </c>
    </row>
    <row r="21" spans="2:175" ht="15" thickBot="1" x14ac:dyDescent="0.4">
      <c r="B21" s="9" t="s">
        <v>357</v>
      </c>
      <c r="C21" s="620">
        <f>SUM(P9:Q9)</f>
        <v>494924.52</v>
      </c>
      <c r="E21" s="515">
        <f t="shared" si="7"/>
        <v>17</v>
      </c>
      <c r="F21" s="331">
        <f t="shared" si="8"/>
        <v>46538</v>
      </c>
      <c r="G21" s="616">
        <f t="shared" si="9"/>
        <v>7542348.0492413677</v>
      </c>
      <c r="H21" s="616">
        <f t="shared" si="3"/>
        <v>41243.71</v>
      </c>
      <c r="I21" s="616">
        <f t="shared" si="4"/>
        <v>9906.5905826361595</v>
      </c>
      <c r="J21" s="616">
        <f t="shared" si="5"/>
        <v>31337.11941736384</v>
      </c>
      <c r="K21" s="616">
        <f t="shared" si="10"/>
        <v>162951.10022065215</v>
      </c>
      <c r="L21" s="616">
        <f t="shared" si="11"/>
        <v>538191.96977934788</v>
      </c>
      <c r="M21" s="617">
        <f t="shared" si="6"/>
        <v>7532441.4586587315</v>
      </c>
      <c r="S21" s="9" t="s">
        <v>358</v>
      </c>
      <c r="T21" s="627">
        <v>0.09</v>
      </c>
      <c r="W21" s="71" t="s">
        <v>362</v>
      </c>
      <c r="X21" s="632">
        <f>X19/X20</f>
        <v>8200560.7536959434</v>
      </c>
      <c r="Y21" s="632">
        <f t="shared" ref="Y21:CJ21" si="57">Y19/Y20</f>
        <v>8214228.3549521016</v>
      </c>
      <c r="Z21" s="632">
        <f t="shared" si="57"/>
        <v>8227895.9562082607</v>
      </c>
      <c r="AA21" s="632">
        <f t="shared" si="57"/>
        <v>8241563.5574644199</v>
      </c>
      <c r="AB21" s="632">
        <f t="shared" si="57"/>
        <v>8255231.1587205809</v>
      </c>
      <c r="AC21" s="632">
        <f t="shared" si="57"/>
        <v>8268898.75997674</v>
      </c>
      <c r="AD21" s="632">
        <f t="shared" si="57"/>
        <v>8282566.361232901</v>
      </c>
      <c r="AE21" s="632">
        <f t="shared" si="57"/>
        <v>8296233.9624890601</v>
      </c>
      <c r="AF21" s="632">
        <f t="shared" si="57"/>
        <v>8309901.5637452202</v>
      </c>
      <c r="AG21" s="632">
        <f t="shared" si="57"/>
        <v>8323569.1650013793</v>
      </c>
      <c r="AH21" s="632">
        <f t="shared" si="57"/>
        <v>8337236.7662575403</v>
      </c>
      <c r="AI21" s="632">
        <f t="shared" si="57"/>
        <v>8350904.3675136995</v>
      </c>
      <c r="AJ21" s="632">
        <f t="shared" si="57"/>
        <v>8364571.9687698586</v>
      </c>
      <c r="AK21" s="632">
        <f t="shared" si="57"/>
        <v>8378512.922051142</v>
      </c>
      <c r="AL21" s="632">
        <f t="shared" si="57"/>
        <v>8392453.8753324263</v>
      </c>
      <c r="AM21" s="632">
        <f t="shared" si="57"/>
        <v>8406394.8286137078</v>
      </c>
      <c r="AN21" s="632">
        <f t="shared" si="57"/>
        <v>8420335.7818949912</v>
      </c>
      <c r="AO21" s="632">
        <f t="shared" si="57"/>
        <v>8434276.7351762746</v>
      </c>
      <c r="AP21" s="632">
        <f t="shared" si="57"/>
        <v>8448217.6884575579</v>
      </c>
      <c r="AQ21" s="632">
        <f t="shared" si="57"/>
        <v>8462158.6417388413</v>
      </c>
      <c r="AR21" s="632">
        <f t="shared" si="57"/>
        <v>8476099.5950201247</v>
      </c>
      <c r="AS21" s="632">
        <f t="shared" si="57"/>
        <v>8490040.5483014062</v>
      </c>
      <c r="AT21" s="632">
        <f t="shared" si="57"/>
        <v>8503981.5015826896</v>
      </c>
      <c r="AU21" s="632">
        <f t="shared" si="57"/>
        <v>8517922.454863973</v>
      </c>
      <c r="AV21" s="632">
        <f t="shared" si="57"/>
        <v>8531863.4081452563</v>
      </c>
      <c r="AW21" s="632">
        <f t="shared" si="57"/>
        <v>8546083.1804921664</v>
      </c>
      <c r="AX21" s="632">
        <f t="shared" si="57"/>
        <v>8560302.9528390765</v>
      </c>
      <c r="AY21" s="632">
        <f t="shared" si="57"/>
        <v>8574522.7251859866</v>
      </c>
      <c r="AZ21" s="632">
        <f t="shared" si="57"/>
        <v>8588742.4975328948</v>
      </c>
      <c r="BA21" s="632">
        <f t="shared" si="57"/>
        <v>8602962.2698798031</v>
      </c>
      <c r="BB21" s="632">
        <f t="shared" si="57"/>
        <v>8617182.0422267113</v>
      </c>
      <c r="BC21" s="632">
        <f t="shared" si="57"/>
        <v>8631401.8145736195</v>
      </c>
      <c r="BD21" s="632">
        <f t="shared" si="57"/>
        <v>8645621.5869205296</v>
      </c>
      <c r="BE21" s="632">
        <f t="shared" si="57"/>
        <v>8659841.3592674378</v>
      </c>
      <c r="BF21" s="632">
        <f t="shared" si="57"/>
        <v>8674061.1316143461</v>
      </c>
      <c r="BG21" s="632">
        <f t="shared" si="57"/>
        <v>8688280.9039612561</v>
      </c>
      <c r="BH21" s="632">
        <f t="shared" si="57"/>
        <v>8702500.6763081644</v>
      </c>
      <c r="BI21" s="632">
        <f t="shared" si="57"/>
        <v>8717004.844102012</v>
      </c>
      <c r="BJ21" s="632">
        <f t="shared" si="57"/>
        <v>8731509.0118958578</v>
      </c>
      <c r="BK21" s="632">
        <f t="shared" si="57"/>
        <v>8746013.1796897035</v>
      </c>
      <c r="BL21" s="632">
        <f t="shared" si="57"/>
        <v>8760517.3474835511</v>
      </c>
      <c r="BM21" s="632">
        <f t="shared" si="57"/>
        <v>8775021.5152773988</v>
      </c>
      <c r="BN21" s="632">
        <f t="shared" si="57"/>
        <v>8789525.6830712445</v>
      </c>
      <c r="BO21" s="632">
        <f t="shared" si="57"/>
        <v>8804029.8508650921</v>
      </c>
      <c r="BP21" s="632">
        <f t="shared" si="57"/>
        <v>8818534.0186589397</v>
      </c>
      <c r="BQ21" s="632">
        <f t="shared" si="57"/>
        <v>8833038.1864527874</v>
      </c>
      <c r="BR21" s="632">
        <f t="shared" si="57"/>
        <v>8847542.3542466331</v>
      </c>
      <c r="BS21" s="632">
        <f t="shared" si="57"/>
        <v>8862046.5220404789</v>
      </c>
      <c r="BT21" s="632">
        <f t="shared" si="57"/>
        <v>8876550.6898343265</v>
      </c>
      <c r="BU21" s="632">
        <f t="shared" si="57"/>
        <v>8891344.9409840498</v>
      </c>
      <c r="BV21" s="632">
        <f t="shared" si="57"/>
        <v>8906139.192133775</v>
      </c>
      <c r="BW21" s="632">
        <f t="shared" si="57"/>
        <v>8920933.4432835001</v>
      </c>
      <c r="BX21" s="632">
        <f t="shared" si="57"/>
        <v>8935727.6944332253</v>
      </c>
      <c r="BY21" s="632">
        <f t="shared" si="57"/>
        <v>8950521.9455829486</v>
      </c>
      <c r="BZ21" s="632">
        <f t="shared" si="57"/>
        <v>8965316.1967326701</v>
      </c>
      <c r="CA21" s="632">
        <f t="shared" si="57"/>
        <v>8980110.4478823971</v>
      </c>
      <c r="CB21" s="632">
        <f t="shared" si="57"/>
        <v>8994904.6990321204</v>
      </c>
      <c r="CC21" s="632">
        <f t="shared" si="57"/>
        <v>9009698.9501818419</v>
      </c>
      <c r="CD21" s="632">
        <f t="shared" si="57"/>
        <v>9024493.201331567</v>
      </c>
      <c r="CE21" s="632">
        <f t="shared" si="57"/>
        <v>9039287.4524812903</v>
      </c>
      <c r="CF21" s="632">
        <f t="shared" si="57"/>
        <v>9054081.7036310155</v>
      </c>
      <c r="CG21" s="632">
        <f t="shared" si="57"/>
        <v>9069171.8398037329</v>
      </c>
      <c r="CH21" s="632">
        <f t="shared" si="57"/>
        <v>9084261.9759764504</v>
      </c>
      <c r="CI21" s="632">
        <f t="shared" si="57"/>
        <v>9099352.1121491678</v>
      </c>
      <c r="CJ21" s="632">
        <f t="shared" si="57"/>
        <v>9114442.2483218871</v>
      </c>
      <c r="CK21" s="632">
        <f t="shared" ref="CK21:EV21" si="58">CK19/CK20</f>
        <v>9129532.3844946045</v>
      </c>
      <c r="CL21" s="632">
        <f t="shared" si="58"/>
        <v>9144622.520667322</v>
      </c>
      <c r="CM21" s="632">
        <f t="shared" si="58"/>
        <v>9159712.6568400413</v>
      </c>
      <c r="CN21" s="632">
        <f t="shared" si="58"/>
        <v>9174802.7930127587</v>
      </c>
      <c r="CO21" s="632">
        <f t="shared" si="58"/>
        <v>9189892.9291854799</v>
      </c>
      <c r="CP21" s="632">
        <f t="shared" si="58"/>
        <v>9204983.0653581955</v>
      </c>
      <c r="CQ21" s="632">
        <f t="shared" si="58"/>
        <v>9220073.2015309166</v>
      </c>
      <c r="CR21" s="632">
        <f t="shared" si="58"/>
        <v>9235163.3377036322</v>
      </c>
      <c r="CS21" s="632">
        <f t="shared" si="58"/>
        <v>9250555.2765998058</v>
      </c>
      <c r="CT21" s="632">
        <f t="shared" si="58"/>
        <v>9265947.2154959794</v>
      </c>
      <c r="CU21" s="632">
        <f t="shared" si="58"/>
        <v>9281339.1543921512</v>
      </c>
      <c r="CV21" s="632">
        <f t="shared" si="58"/>
        <v>9296731.0932883248</v>
      </c>
      <c r="CW21" s="632">
        <f t="shared" si="58"/>
        <v>9312123.0321844965</v>
      </c>
      <c r="CX21" s="632">
        <f t="shared" si="58"/>
        <v>9327514.9710806683</v>
      </c>
      <c r="CY21" s="632">
        <f t="shared" si="58"/>
        <v>9342906.9099768437</v>
      </c>
      <c r="CZ21" s="632">
        <f t="shared" si="58"/>
        <v>9358298.8488730136</v>
      </c>
      <c r="DA21" s="632">
        <f t="shared" si="58"/>
        <v>9373690.7877691872</v>
      </c>
      <c r="DB21" s="632">
        <f t="shared" si="58"/>
        <v>9389082.7266653609</v>
      </c>
      <c r="DC21" s="632">
        <f t="shared" si="58"/>
        <v>9404474.6655615326</v>
      </c>
      <c r="DD21" s="632">
        <f t="shared" si="58"/>
        <v>9419866.6044577044</v>
      </c>
      <c r="DE21" s="632">
        <f t="shared" si="58"/>
        <v>9435566.3821318019</v>
      </c>
      <c r="DF21" s="632">
        <f t="shared" si="58"/>
        <v>9451266.1598058976</v>
      </c>
      <c r="DG21" s="632">
        <f t="shared" si="58"/>
        <v>9466965.9374799933</v>
      </c>
      <c r="DH21" s="632">
        <f t="shared" si="58"/>
        <v>9482665.7151540909</v>
      </c>
      <c r="DI21" s="632">
        <f t="shared" si="58"/>
        <v>9498365.4928281847</v>
      </c>
      <c r="DJ21" s="632">
        <f t="shared" si="58"/>
        <v>9514065.2705022823</v>
      </c>
      <c r="DK21" s="632">
        <f t="shared" si="58"/>
        <v>9529765.048176378</v>
      </c>
      <c r="DL21" s="632">
        <f t="shared" si="58"/>
        <v>9545464.8258504737</v>
      </c>
      <c r="DM21" s="632">
        <f t="shared" si="58"/>
        <v>9561164.6035245713</v>
      </c>
      <c r="DN21" s="632">
        <f t="shared" si="58"/>
        <v>9576864.3811986651</v>
      </c>
      <c r="DO21" s="632">
        <f t="shared" si="58"/>
        <v>9592564.1588727627</v>
      </c>
      <c r="DP21" s="632">
        <f t="shared" si="58"/>
        <v>9608263.9365468584</v>
      </c>
      <c r="DQ21" s="632">
        <f t="shared" si="58"/>
        <v>9624277.7097744364</v>
      </c>
      <c r="DR21" s="632">
        <f t="shared" si="58"/>
        <v>9640291.4830020182</v>
      </c>
      <c r="DS21" s="632">
        <f t="shared" si="58"/>
        <v>9656305.2562295962</v>
      </c>
      <c r="DT21" s="632">
        <f t="shared" si="58"/>
        <v>9672319.0294571761</v>
      </c>
      <c r="DU21" s="632">
        <f t="shared" si="58"/>
        <v>9688332.8026847523</v>
      </c>
      <c r="DV21" s="632">
        <f t="shared" si="58"/>
        <v>9704346.5759123322</v>
      </c>
      <c r="DW21" s="632">
        <f t="shared" si="58"/>
        <v>9720360.3491399083</v>
      </c>
      <c r="DX21" s="632">
        <f t="shared" si="58"/>
        <v>9736374.1223674864</v>
      </c>
      <c r="DY21" s="632">
        <f t="shared" si="58"/>
        <v>9752387.8955950662</v>
      </c>
      <c r="DZ21" s="632">
        <f t="shared" si="58"/>
        <v>9768401.6688226424</v>
      </c>
      <c r="EA21" s="632">
        <f t="shared" si="58"/>
        <v>9784415.4420502204</v>
      </c>
      <c r="EB21" s="632">
        <f t="shared" si="58"/>
        <v>9800429.2152778003</v>
      </c>
      <c r="EC21" s="632">
        <f t="shared" si="58"/>
        <v>9816763.263969928</v>
      </c>
      <c r="ED21" s="632">
        <f t="shared" si="58"/>
        <v>9833097.3126620594</v>
      </c>
      <c r="EE21" s="632">
        <f t="shared" si="58"/>
        <v>9849431.361354189</v>
      </c>
      <c r="EF21" s="632">
        <f t="shared" si="58"/>
        <v>9865765.4100463185</v>
      </c>
      <c r="EG21" s="632">
        <f t="shared" si="58"/>
        <v>9882099.4587384462</v>
      </c>
      <c r="EH21" s="632">
        <f t="shared" si="58"/>
        <v>9898433.5074305758</v>
      </c>
      <c r="EI21" s="632">
        <f t="shared" si="58"/>
        <v>9914767.5561227072</v>
      </c>
      <c r="EJ21" s="632">
        <f t="shared" si="58"/>
        <v>9931101.6048148386</v>
      </c>
      <c r="EK21" s="632">
        <f t="shared" si="58"/>
        <v>9947435.6535069682</v>
      </c>
      <c r="EL21" s="632">
        <f t="shared" si="58"/>
        <v>9963769.7021990977</v>
      </c>
      <c r="EM21" s="632">
        <f t="shared" si="58"/>
        <v>9980103.7508912273</v>
      </c>
      <c r="EN21" s="632">
        <f t="shared" si="58"/>
        <v>9996437.7995833568</v>
      </c>
      <c r="EO21" s="632">
        <f t="shared" si="58"/>
        <v>10013098.529249329</v>
      </c>
      <c r="EP21" s="632">
        <f t="shared" si="58"/>
        <v>10029759.2589153</v>
      </c>
      <c r="EQ21" s="632">
        <f t="shared" si="58"/>
        <v>10046419.988581272</v>
      </c>
      <c r="ER21" s="632">
        <f t="shared" si="58"/>
        <v>10063080.718247244</v>
      </c>
      <c r="ES21" s="632">
        <f t="shared" si="58"/>
        <v>10079741.447913216</v>
      </c>
      <c r="ET21" s="632">
        <f t="shared" si="58"/>
        <v>10096402.177579189</v>
      </c>
      <c r="EU21" s="632">
        <f t="shared" si="58"/>
        <v>10113062.907245159</v>
      </c>
      <c r="EV21" s="632">
        <f t="shared" si="58"/>
        <v>10129723.636911131</v>
      </c>
      <c r="EW21" s="632">
        <f t="shared" ref="EW21:FH21" si="59">EW19/EW20</f>
        <v>10146384.366577104</v>
      </c>
      <c r="EX21" s="632">
        <f t="shared" si="59"/>
        <v>10163045.096243076</v>
      </c>
      <c r="EY21" s="632">
        <f t="shared" si="59"/>
        <v>10179705.825909048</v>
      </c>
      <c r="EZ21" s="632">
        <f t="shared" si="59"/>
        <v>10196366.555575021</v>
      </c>
      <c r="FA21" s="632">
        <f t="shared" si="59"/>
        <v>10213360.499834312</v>
      </c>
      <c r="FB21" s="632">
        <f t="shared" si="59"/>
        <v>10230354.444093606</v>
      </c>
      <c r="FC21" s="632">
        <f t="shared" si="59"/>
        <v>10247348.388352897</v>
      </c>
      <c r="FD21" s="632">
        <f t="shared" si="59"/>
        <v>10264342.33261219</v>
      </c>
      <c r="FE21" s="632">
        <f t="shared" si="59"/>
        <v>10281336.27687148</v>
      </c>
      <c r="FF21" s="632">
        <f t="shared" si="59"/>
        <v>10298330.221130772</v>
      </c>
      <c r="FG21" s="632">
        <f t="shared" si="59"/>
        <v>10315324.165390065</v>
      </c>
      <c r="FH21" s="632">
        <f t="shared" si="59"/>
        <v>10332318.109649356</v>
      </c>
      <c r="FI21" s="633" t="s">
        <v>77</v>
      </c>
      <c r="FJ21" s="634" t="str">
        <f t="shared" ref="FJ21:FS21" si="60">FI21</f>
        <v>--</v>
      </c>
      <c r="FK21" s="634" t="str">
        <f t="shared" si="60"/>
        <v>--</v>
      </c>
      <c r="FL21" s="634" t="str">
        <f t="shared" si="60"/>
        <v>--</v>
      </c>
      <c r="FM21" s="634" t="str">
        <f t="shared" si="60"/>
        <v>--</v>
      </c>
      <c r="FN21" s="634" t="str">
        <f t="shared" si="60"/>
        <v>--</v>
      </c>
      <c r="FO21" s="634" t="str">
        <f t="shared" si="60"/>
        <v>--</v>
      </c>
      <c r="FP21" s="634" t="str">
        <f t="shared" si="60"/>
        <v>--</v>
      </c>
      <c r="FQ21" s="634" t="str">
        <f t="shared" si="60"/>
        <v>--</v>
      </c>
      <c r="FR21" s="634" t="str">
        <f t="shared" si="60"/>
        <v>--</v>
      </c>
      <c r="FS21" s="635" t="str">
        <f t="shared" si="60"/>
        <v>--</v>
      </c>
    </row>
    <row r="22" spans="2:175" x14ac:dyDescent="0.35">
      <c r="B22" s="9" t="s">
        <v>360</v>
      </c>
      <c r="C22" s="108">
        <f>(Q9)/(P9+Q9)</f>
        <v>0.70505261023687849</v>
      </c>
      <c r="E22" s="515">
        <f t="shared" si="7"/>
        <v>18</v>
      </c>
      <c r="F22" s="331">
        <f t="shared" si="8"/>
        <v>46568</v>
      </c>
      <c r="G22" s="616">
        <f t="shared" si="9"/>
        <v>7532441.4586587315</v>
      </c>
      <c r="H22" s="616">
        <f t="shared" si="3"/>
        <v>41243.71</v>
      </c>
      <c r="I22" s="616">
        <f t="shared" si="4"/>
        <v>9947.7507107660495</v>
      </c>
      <c r="J22" s="616">
        <f t="shared" si="5"/>
        <v>31295.95928923395</v>
      </c>
      <c r="K22" s="616">
        <f t="shared" si="10"/>
        <v>172898.85093141819</v>
      </c>
      <c r="L22" s="616">
        <f t="shared" si="11"/>
        <v>569487.92906858178</v>
      </c>
      <c r="M22" s="617">
        <f t="shared" si="6"/>
        <v>7522493.7079479657</v>
      </c>
      <c r="P22" s="482"/>
      <c r="S22" s="9" t="s">
        <v>361</v>
      </c>
      <c r="T22" s="598">
        <f>'Property CF'!AW12</f>
        <v>692585.33029914449</v>
      </c>
    </row>
    <row r="23" spans="2:175" x14ac:dyDescent="0.35">
      <c r="B23" s="9" t="s">
        <v>363</v>
      </c>
      <c r="C23" s="108">
        <f>P9/(P9+Q9)</f>
        <v>0.29494738976312157</v>
      </c>
      <c r="E23" s="515">
        <f t="shared" si="7"/>
        <v>19</v>
      </c>
      <c r="F23" s="331">
        <f t="shared" si="8"/>
        <v>46599</v>
      </c>
      <c r="G23" s="616">
        <f t="shared" si="9"/>
        <v>7522493.7079479657</v>
      </c>
      <c r="H23" s="616">
        <f t="shared" si="3"/>
        <v>41243.71</v>
      </c>
      <c r="I23" s="616">
        <f t="shared" si="4"/>
        <v>9989.0818519335262</v>
      </c>
      <c r="J23" s="616">
        <f t="shared" si="5"/>
        <v>31254.628148066473</v>
      </c>
      <c r="K23" s="616">
        <f t="shared" si="10"/>
        <v>182887.93278335172</v>
      </c>
      <c r="L23" s="616">
        <f t="shared" si="11"/>
        <v>600742.55721664825</v>
      </c>
      <c r="M23" s="617">
        <f t="shared" si="6"/>
        <v>7512504.6260960326</v>
      </c>
      <c r="S23" s="9" t="s">
        <v>352</v>
      </c>
      <c r="T23" s="142">
        <f>T22/T21</f>
        <v>7695392.5588793838</v>
      </c>
      <c r="W23" s="1" t="s">
        <v>364</v>
      </c>
      <c r="X23" s="484" cm="1">
        <f t="array" ref="X23:FS23">TRANSPOSE(M5:M156)+$C$38</f>
        <v>10478115.543280896</v>
      </c>
      <c r="Y23" s="484">
        <v>10468806.307322504</v>
      </c>
      <c r="Z23" s="484">
        <v>10459458.393138578</v>
      </c>
      <c r="AA23" s="484">
        <v>10450071.640027944</v>
      </c>
      <c r="AB23" s="484">
        <v>10440645.886621747</v>
      </c>
      <c r="AC23" s="484">
        <v>10431180.97088067</v>
      </c>
      <c r="AD23" s="484">
        <v>10421676.730092153</v>
      </c>
      <c r="AE23" s="484">
        <v>10412133.00086759</v>
      </c>
      <c r="AF23" s="484">
        <v>10402549.61913953</v>
      </c>
      <c r="AG23" s="484">
        <v>10392926.420158848</v>
      </c>
      <c r="AH23" s="484">
        <v>10383263.238491919</v>
      </c>
      <c r="AI23" s="484">
        <v>10373559.908017766</v>
      </c>
      <c r="AJ23" s="484">
        <v>10363816.261925209</v>
      </c>
      <c r="AK23" s="484">
        <v>10354032.132710001</v>
      </c>
      <c r="AL23" s="484">
        <v>10344207.352171939</v>
      </c>
      <c r="AM23" s="484">
        <v>10334341.751411986</v>
      </c>
      <c r="AN23" s="484">
        <v>10324435.160829348</v>
      </c>
      <c r="AO23" s="484">
        <v>10314487.410118584</v>
      </c>
      <c r="AP23" s="484">
        <v>10304498.32826665</v>
      </c>
      <c r="AQ23" s="484">
        <v>10294467.743549982</v>
      </c>
      <c r="AR23" s="484">
        <v>10284395.483531533</v>
      </c>
      <c r="AS23" s="484">
        <v>10274281.375057809</v>
      </c>
      <c r="AT23" s="484">
        <v>10264125.244255897</v>
      </c>
      <c r="AU23" s="484">
        <v>10253926.916530471</v>
      </c>
      <c r="AV23" s="484">
        <v>10243686.216560788</v>
      </c>
      <c r="AW23" s="484">
        <v>10233402.96829769</v>
      </c>
      <c r="AX23" s="484">
        <v>10223076.994960552</v>
      </c>
      <c r="AY23" s="484">
        <v>10212708.119034268</v>
      </c>
      <c r="AZ23" s="484">
        <v>10202296.16226618</v>
      </c>
      <c r="BA23" s="484">
        <v>10191840.945663027</v>
      </c>
      <c r="BB23" s="484">
        <v>10181342.289487865</v>
      </c>
      <c r="BC23" s="484">
        <v>10170800.013256963</v>
      </c>
      <c r="BD23" s="484">
        <v>10160213.935736729</v>
      </c>
      <c r="BE23" s="484">
        <v>10149583.874940563</v>
      </c>
      <c r="BF23" s="484">
        <v>10138909.648125749</v>
      </c>
      <c r="BG23" s="484">
        <v>10128191.071790311</v>
      </c>
      <c r="BH23" s="484">
        <v>10117427.961669847</v>
      </c>
      <c r="BI23" s="484">
        <v>10106620.132734373</v>
      </c>
      <c r="BJ23" s="484">
        <v>10095767.39918514</v>
      </c>
      <c r="BK23" s="484">
        <v>10084869.574451435</v>
      </c>
      <c r="BL23" s="484">
        <v>10073926.471187379</v>
      </c>
      <c r="BM23" s="484">
        <v>10062937.901268702</v>
      </c>
      <c r="BN23" s="484">
        <v>10051903.675789513</v>
      </c>
      <c r="BO23" s="484">
        <v>10040823.60505905</v>
      </c>
      <c r="BP23" s="484">
        <v>10029697.498598417</v>
      </c>
      <c r="BQ23" s="484">
        <v>10018525.165137317</v>
      </c>
      <c r="BR23" s="484">
        <v>10007306.412610751</v>
      </c>
      <c r="BS23" s="484">
        <v>9996041.0481557343</v>
      </c>
      <c r="BT23" s="484">
        <v>9984728.8781079613</v>
      </c>
      <c r="BU23" s="484">
        <v>9973369.7079984918</v>
      </c>
      <c r="BV23" s="484">
        <v>9961963.3425504006</v>
      </c>
      <c r="BW23" s="484">
        <v>9950509.5856754147</v>
      </c>
      <c r="BX23" s="484">
        <v>9939008.2404705603</v>
      </c>
      <c r="BY23" s="484">
        <v>9927459.1092147566</v>
      </c>
      <c r="BZ23" s="484">
        <v>9915861.9933654349</v>
      </c>
      <c r="CA23" s="484">
        <v>9904216.6935551092</v>
      </c>
      <c r="CB23" s="484">
        <v>9892523.0095879659</v>
      </c>
      <c r="CC23" s="484">
        <v>9880780.7404364031</v>
      </c>
      <c r="CD23" s="484">
        <v>9868989.6842375956</v>
      </c>
      <c r="CE23" s="484">
        <v>9857149.6382900029</v>
      </c>
      <c r="CF23" s="484">
        <v>9845260.3990499079</v>
      </c>
      <c r="CG23" s="484">
        <v>9833321.762127893</v>
      </c>
      <c r="CH23" s="484">
        <v>9821333.5222853478</v>
      </c>
      <c r="CI23" s="484">
        <v>9809295.4734309278</v>
      </c>
      <c r="CJ23" s="484">
        <v>9797207.4086170159</v>
      </c>
      <c r="CK23" s="484">
        <v>9785069.1200361624</v>
      </c>
      <c r="CL23" s="484">
        <v>9772880.399017524</v>
      </c>
      <c r="CM23" s="484">
        <v>9760641.0360232517</v>
      </c>
      <c r="CN23" s="484">
        <v>9748350.820644917</v>
      </c>
      <c r="CO23" s="484">
        <v>9736009.5415998735</v>
      </c>
      <c r="CP23" s="484">
        <v>9723616.98672764</v>
      </c>
      <c r="CQ23" s="484">
        <v>9711172.9429862387</v>
      </c>
      <c r="CR23" s="484">
        <v>9698677.1964485459</v>
      </c>
      <c r="CS23" s="484">
        <v>9686129.5322986022</v>
      </c>
      <c r="CT23" s="484">
        <v>9673529.7348279338</v>
      </c>
      <c r="CU23" s="484">
        <v>9660877.5874318331</v>
      </c>
      <c r="CV23" s="484">
        <v>9648172.8726056349</v>
      </c>
      <c r="CW23" s="484">
        <v>9635415.3719409853</v>
      </c>
      <c r="CX23" s="484">
        <v>9622604.8661220819</v>
      </c>
      <c r="CY23" s="484">
        <v>9609741.1349219009</v>
      </c>
      <c r="CZ23" s="484">
        <v>9596823.957198415</v>
      </c>
      <c r="DA23" s="484">
        <v>9583853.1108907964</v>
      </c>
      <c r="DB23" s="484">
        <v>9570828.3730155863</v>
      </c>
      <c r="DC23" s="484">
        <v>9557749.5196628757</v>
      </c>
      <c r="DD23" s="484">
        <v>9544616.3259924427</v>
      </c>
      <c r="DE23" s="484">
        <v>9531428.5662298985</v>
      </c>
      <c r="DF23" s="484">
        <v>9518186.0136628039</v>
      </c>
      <c r="DG23" s="484">
        <v>9504888.4406367633</v>
      </c>
      <c r="DH23" s="484">
        <v>9491535.6185515244</v>
      </c>
      <c r="DI23" s="484">
        <v>9478127.3178570364</v>
      </c>
      <c r="DJ23" s="484">
        <v>9464663.3080495112</v>
      </c>
      <c r="DK23" s="484">
        <v>9451143.3576674536</v>
      </c>
      <c r="DL23" s="484">
        <v>9437567.2342876978</v>
      </c>
      <c r="DM23" s="484">
        <v>9423934.7045213878</v>
      </c>
      <c r="DN23" s="484">
        <v>9410245.5340099856</v>
      </c>
      <c r="DO23" s="484">
        <v>9396499.4874212369</v>
      </c>
      <c r="DP23" s="484">
        <v>9382696.3284451161</v>
      </c>
      <c r="DQ23" s="484">
        <v>9368835.8197897784</v>
      </c>
      <c r="DR23" s="484">
        <v>9354917.7231774703</v>
      </c>
      <c r="DS23" s="484">
        <v>9340941.7993404362</v>
      </c>
      <c r="DT23" s="484">
        <v>9326907.8080168068</v>
      </c>
      <c r="DU23" s="484">
        <v>9312815.5079464652</v>
      </c>
      <c r="DV23" s="484">
        <v>9298664.6568669043</v>
      </c>
      <c r="DW23" s="484">
        <v>9284455.011509059</v>
      </c>
      <c r="DX23" s="484">
        <v>9270186.3275931198</v>
      </c>
      <c r="DY23" s="484">
        <v>9255858.3598243445</v>
      </c>
      <c r="DZ23" s="484">
        <v>9241470.8618888278</v>
      </c>
      <c r="EA23" s="484">
        <v>9227023.5864492804</v>
      </c>
      <c r="EB23" s="484">
        <v>9212516.285140764</v>
      </c>
      <c r="EC23" s="484">
        <v>9197948.7085664365</v>
      </c>
      <c r="ED23" s="484">
        <v>9183320.6062932462</v>
      </c>
      <c r="EE23" s="484">
        <v>9168631.7268476449</v>
      </c>
      <c r="EF23" s="484">
        <v>9153881.8177112527</v>
      </c>
      <c r="EG23" s="484">
        <v>9139070.6253165156</v>
      </c>
      <c r="EH23" s="484">
        <v>9124197.8950423636</v>
      </c>
      <c r="EI23" s="484">
        <v>9109263.3712098077</v>
      </c>
      <c r="EJ23" s="484">
        <v>9094266.7970775664</v>
      </c>
      <c r="EK23" s="484">
        <v>9079207.9148376435</v>
      </c>
      <c r="EL23" s="484">
        <v>9064086.4656108953</v>
      </c>
      <c r="EM23" s="484">
        <v>9048902.189442575</v>
      </c>
      <c r="EN23" s="484">
        <v>9033654.8252978791</v>
      </c>
      <c r="EO23" s="484">
        <v>9018344.1110574454</v>
      </c>
      <c r="EP23" s="484">
        <v>9002969.7835128568</v>
      </c>
      <c r="EQ23" s="484">
        <v>8987531.5783621036</v>
      </c>
      <c r="ER23" s="484">
        <v>8972029.2302050553</v>
      </c>
      <c r="ES23" s="484">
        <v>8956462.4725388922</v>
      </c>
      <c r="ET23" s="484">
        <v>8940831.0377535149</v>
      </c>
      <c r="EU23" s="484">
        <v>8925134.6571269557</v>
      </c>
      <c r="EV23" s="484">
        <v>8909373.0608207583</v>
      </c>
      <c r="EW23" s="484">
        <v>8893545.9778753277</v>
      </c>
      <c r="EX23" s="484">
        <v>8877653.1362052877</v>
      </c>
      <c r="EY23" s="484">
        <v>8861694.2625947893</v>
      </c>
      <c r="EZ23" s="484">
        <v>8845669.0826928243</v>
      </c>
      <c r="FA23" s="484">
        <v>8829577.3210085034</v>
      </c>
      <c r="FB23" s="484">
        <v>8813418.7009063214</v>
      </c>
      <c r="FC23" s="484">
        <v>8797192.944601398</v>
      </c>
      <c r="FD23" s="484">
        <v>8780899.7731547132</v>
      </c>
      <c r="FE23" s="484">
        <v>8764538.9064683001</v>
      </c>
      <c r="FF23" s="484">
        <v>8748110.0632804334</v>
      </c>
      <c r="FG23" s="484">
        <v>8731612.9611607976</v>
      </c>
      <c r="FH23" s="484">
        <v>8715047.3165056314</v>
      </c>
      <c r="FI23" s="484">
        <v>8698412.8445328437</v>
      </c>
      <c r="FJ23" s="484">
        <v>8681709.2592771314</v>
      </c>
      <c r="FK23" s="484">
        <v>8664936.2735850513</v>
      </c>
      <c r="FL23" s="484">
        <v>8648093.5991100874</v>
      </c>
      <c r="FM23" s="484">
        <v>8631180.9463077001</v>
      </c>
      <c r="FN23" s="484">
        <v>8614198.0244303439</v>
      </c>
      <c r="FO23" s="484">
        <v>8597144.5415224619</v>
      </c>
      <c r="FP23" s="484">
        <v>8580020.2044154797</v>
      </c>
      <c r="FQ23" s="484">
        <v>8562824.718722757</v>
      </c>
      <c r="FR23" s="484">
        <v>8545557.7888345309</v>
      </c>
      <c r="FS23" s="484">
        <v>8528219.1179128289</v>
      </c>
    </row>
    <row r="24" spans="2:175" x14ac:dyDescent="0.35">
      <c r="B24" s="9"/>
      <c r="C24" s="30"/>
      <c r="E24" s="515">
        <f t="shared" si="7"/>
        <v>20</v>
      </c>
      <c r="F24" s="331">
        <f t="shared" si="8"/>
        <v>46630</v>
      </c>
      <c r="G24" s="616">
        <f t="shared" si="9"/>
        <v>7512504.6260960326</v>
      </c>
      <c r="H24" s="616">
        <f t="shared" si="3"/>
        <v>41243.71</v>
      </c>
      <c r="I24" s="616">
        <f t="shared" si="4"/>
        <v>10030.584716667454</v>
      </c>
      <c r="J24" s="616">
        <f t="shared" si="5"/>
        <v>31213.125283332545</v>
      </c>
      <c r="K24" s="616">
        <f t="shared" si="10"/>
        <v>192918.51750001917</v>
      </c>
      <c r="L24" s="616">
        <f t="shared" si="11"/>
        <v>631955.68249998079</v>
      </c>
      <c r="M24" s="617">
        <f t="shared" si="6"/>
        <v>7502474.0413793651</v>
      </c>
      <c r="S24" s="9"/>
      <c r="T24" s="30"/>
    </row>
    <row r="25" spans="2:175" ht="15" thickBot="1" x14ac:dyDescent="0.4">
      <c r="B25" s="71" t="s">
        <v>365</v>
      </c>
      <c r="C25" s="636">
        <f>VLOOKUP(C4,E5:M364,9)</f>
        <v>2.9038193503802177</v>
      </c>
      <c r="E25" s="515">
        <f t="shared" si="7"/>
        <v>21</v>
      </c>
      <c r="F25" s="331">
        <f t="shared" si="8"/>
        <v>46660</v>
      </c>
      <c r="G25" s="616">
        <f t="shared" si="9"/>
        <v>7502474.0413793651</v>
      </c>
      <c r="H25" s="616">
        <f t="shared" si="3"/>
        <v>41243.71</v>
      </c>
      <c r="I25" s="616">
        <f t="shared" si="4"/>
        <v>10072.260018448815</v>
      </c>
      <c r="J25" s="616">
        <f t="shared" si="5"/>
        <v>31171.449981551184</v>
      </c>
      <c r="K25" s="616">
        <f t="shared" si="10"/>
        <v>202990.77751846798</v>
      </c>
      <c r="L25" s="616">
        <f t="shared" si="11"/>
        <v>663127.13248153194</v>
      </c>
      <c r="M25" s="617">
        <f t="shared" si="6"/>
        <v>7492401.7813609159</v>
      </c>
      <c r="S25" s="374" t="s">
        <v>366</v>
      </c>
      <c r="T25" s="30"/>
    </row>
    <row r="26" spans="2:175" ht="15" thickBot="1" x14ac:dyDescent="0.4">
      <c r="E26" s="515">
        <f t="shared" si="7"/>
        <v>22</v>
      </c>
      <c r="F26" s="331">
        <f t="shared" si="8"/>
        <v>46691</v>
      </c>
      <c r="G26" s="616">
        <f t="shared" si="9"/>
        <v>7492401.7813609159</v>
      </c>
      <c r="H26" s="616">
        <f t="shared" si="3"/>
        <v>41243.71</v>
      </c>
      <c r="I26" s="616">
        <f t="shared" si="4"/>
        <v>10114.108473722983</v>
      </c>
      <c r="J26" s="616">
        <f t="shared" si="5"/>
        <v>31129.601526277016</v>
      </c>
      <c r="K26" s="616">
        <f t="shared" si="10"/>
        <v>213104.88599219098</v>
      </c>
      <c r="L26" s="616">
        <f t="shared" si="11"/>
        <v>694256.73400780896</v>
      </c>
      <c r="M26" s="617">
        <f t="shared" si="6"/>
        <v>7482287.672887193</v>
      </c>
      <c r="S26" s="9" t="s">
        <v>353</v>
      </c>
      <c r="T26" s="614">
        <v>1.25</v>
      </c>
    </row>
    <row r="27" spans="2:175" ht="15" thickBot="1" x14ac:dyDescent="0.4">
      <c r="B27" s="637" t="s">
        <v>367</v>
      </c>
      <c r="C27" s="638"/>
      <c r="E27" s="515">
        <f t="shared" si="7"/>
        <v>23</v>
      </c>
      <c r="F27" s="331">
        <f t="shared" si="8"/>
        <v>46721</v>
      </c>
      <c r="G27" s="616">
        <f t="shared" si="9"/>
        <v>7482287.672887193</v>
      </c>
      <c r="H27" s="616">
        <f t="shared" si="3"/>
        <v>41243.71</v>
      </c>
      <c r="I27" s="616">
        <f t="shared" si="4"/>
        <v>10156.130801912026</v>
      </c>
      <c r="J27" s="616">
        <f t="shared" si="5"/>
        <v>31087.579198087973</v>
      </c>
      <c r="K27" s="616">
        <f t="shared" si="10"/>
        <v>223261.01679410299</v>
      </c>
      <c r="L27" s="616">
        <f t="shared" si="11"/>
        <v>725344.31320589688</v>
      </c>
      <c r="M27" s="617">
        <f t="shared" si="6"/>
        <v>7472131.5420852806</v>
      </c>
      <c r="S27" s="9" t="s">
        <v>330</v>
      </c>
      <c r="T27" s="627">
        <f>2%+'Offering Memorandum'!BF39</f>
        <v>4.9857873244949211E-2</v>
      </c>
    </row>
    <row r="28" spans="2:175" ht="15" thickBot="1" x14ac:dyDescent="0.4">
      <c r="B28" s="556" t="s">
        <v>368</v>
      </c>
      <c r="C28" s="639"/>
      <c r="E28" s="515">
        <f t="shared" si="7"/>
        <v>24</v>
      </c>
      <c r="F28" s="331">
        <f t="shared" si="8"/>
        <v>46752</v>
      </c>
      <c r="G28" s="616">
        <f t="shared" si="9"/>
        <v>7472131.5420852806</v>
      </c>
      <c r="H28" s="616">
        <f t="shared" si="3"/>
        <v>41243.71</v>
      </c>
      <c r="I28" s="616">
        <f t="shared" si="4"/>
        <v>10198.327725427098</v>
      </c>
      <c r="J28" s="616">
        <f t="shared" si="5"/>
        <v>31045.382274572901</v>
      </c>
      <c r="K28" s="616">
        <f t="shared" si="10"/>
        <v>233459.3445195301</v>
      </c>
      <c r="L28" s="616">
        <f t="shared" si="11"/>
        <v>756389.69548046973</v>
      </c>
      <c r="M28" s="617">
        <f t="shared" si="6"/>
        <v>7461933.2143598534</v>
      </c>
      <c r="S28" s="9" t="s">
        <v>324</v>
      </c>
      <c r="T28" s="614">
        <v>324</v>
      </c>
    </row>
    <row r="29" spans="2:175" x14ac:dyDescent="0.35">
      <c r="B29" s="103" t="s">
        <v>275</v>
      </c>
      <c r="C29" s="37">
        <f>Budget!E31</f>
        <v>10395210.210000001</v>
      </c>
      <c r="E29" s="515">
        <f t="shared" si="7"/>
        <v>25</v>
      </c>
      <c r="F29" s="331">
        <f t="shared" si="8"/>
        <v>46783</v>
      </c>
      <c r="G29" s="616">
        <f t="shared" si="9"/>
        <v>7461933.2143598534</v>
      </c>
      <c r="H29" s="616">
        <f t="shared" si="3"/>
        <v>41243.71</v>
      </c>
      <c r="I29" s="616">
        <f t="shared" si="4"/>
        <v>10240.699969680834</v>
      </c>
      <c r="J29" s="616">
        <f t="shared" si="5"/>
        <v>31003.010030319165</v>
      </c>
      <c r="K29" s="616">
        <f t="shared" si="10"/>
        <v>243700.04448921094</v>
      </c>
      <c r="L29" s="616">
        <f t="shared" si="11"/>
        <v>787392.70551078895</v>
      </c>
      <c r="M29" s="617">
        <f t="shared" si="6"/>
        <v>7451692.5143901724</v>
      </c>
      <c r="S29" s="9" t="s">
        <v>370</v>
      </c>
      <c r="T29" s="104">
        <f>SUM(X7:AI7)</f>
        <v>692585.33029914461</v>
      </c>
    </row>
    <row r="30" spans="2:175" x14ac:dyDescent="0.35">
      <c r="B30" s="9" t="s">
        <v>290</v>
      </c>
      <c r="C30" s="142">
        <f>'Property CF'!AN132</f>
        <v>0</v>
      </c>
      <c r="E30" s="515">
        <f t="shared" si="7"/>
        <v>26</v>
      </c>
      <c r="F30" s="331">
        <f t="shared" si="8"/>
        <v>46812</v>
      </c>
      <c r="G30" s="616">
        <f t="shared" si="9"/>
        <v>7451692.5143901724</v>
      </c>
      <c r="H30" s="616">
        <f t="shared" si="3"/>
        <v>41243.71</v>
      </c>
      <c r="I30" s="616">
        <f t="shared" si="4"/>
        <v>10283.248263099824</v>
      </c>
      <c r="J30" s="616">
        <f t="shared" si="5"/>
        <v>30960.461736900175</v>
      </c>
      <c r="K30" s="616">
        <f t="shared" si="10"/>
        <v>253983.29275231075</v>
      </c>
      <c r="L30" s="616">
        <f t="shared" si="11"/>
        <v>818353.1672476891</v>
      </c>
      <c r="M30" s="617">
        <f t="shared" si="6"/>
        <v>7441409.2661270723</v>
      </c>
      <c r="S30" s="9" t="s">
        <v>356</v>
      </c>
      <c r="T30" s="142">
        <f>T29/T26</f>
        <v>554068.26423931564</v>
      </c>
    </row>
    <row r="31" spans="2:175" x14ac:dyDescent="0.35">
      <c r="B31" s="9" t="s">
        <v>369</v>
      </c>
      <c r="C31" s="640">
        <v>40000</v>
      </c>
      <c r="E31" s="515">
        <f t="shared" si="7"/>
        <v>27</v>
      </c>
      <c r="F31" s="331">
        <f t="shared" si="8"/>
        <v>46843</v>
      </c>
      <c r="G31" s="616">
        <f t="shared" si="9"/>
        <v>7441409.2661270723</v>
      </c>
      <c r="H31" s="616">
        <f t="shared" si="3"/>
        <v>41243.71</v>
      </c>
      <c r="I31" s="616">
        <f t="shared" si="4"/>
        <v>10325.973337137159</v>
      </c>
      <c r="J31" s="616">
        <f t="shared" si="5"/>
        <v>30917.736662862841</v>
      </c>
      <c r="K31" s="616">
        <f t="shared" si="10"/>
        <v>264309.26608944789</v>
      </c>
      <c r="L31" s="616">
        <f t="shared" si="11"/>
        <v>849270.90391055192</v>
      </c>
      <c r="M31" s="617">
        <f t="shared" si="6"/>
        <v>7431083.2927899351</v>
      </c>
      <c r="S31" s="9" t="s">
        <v>372</v>
      </c>
      <c r="T31" s="643">
        <f>(T27/12)/(1 - (1 / (1 + T27/12))^T28)*12</f>
        <v>6.7463366399155109E-2</v>
      </c>
    </row>
    <row r="32" spans="2:175" ht="15" thickBot="1" x14ac:dyDescent="0.4">
      <c r="B32" s="641" t="s">
        <v>239</v>
      </c>
      <c r="C32" s="142">
        <f>SUM(C29:C31)*Budget!S28</f>
        <v>52176.051050000009</v>
      </c>
      <c r="E32" s="515">
        <f t="shared" si="7"/>
        <v>28</v>
      </c>
      <c r="F32" s="331">
        <f t="shared" si="8"/>
        <v>46873</v>
      </c>
      <c r="G32" s="616">
        <f t="shared" si="9"/>
        <v>7431083.2927899351</v>
      </c>
      <c r="H32" s="616">
        <f t="shared" si="3"/>
        <v>41243.71</v>
      </c>
      <c r="I32" s="616">
        <f t="shared" si="4"/>
        <v>10368.875926284967</v>
      </c>
      <c r="J32" s="616">
        <f t="shared" si="5"/>
        <v>30874.834073715032</v>
      </c>
      <c r="K32" s="616">
        <f t="shared" si="10"/>
        <v>274678.14201573288</v>
      </c>
      <c r="L32" s="616">
        <f t="shared" si="11"/>
        <v>880145.73798426695</v>
      </c>
      <c r="M32" s="617">
        <f t="shared" si="6"/>
        <v>7420714.4168636501</v>
      </c>
      <c r="S32" s="71" t="s">
        <v>352</v>
      </c>
      <c r="T32" s="393">
        <f>T30/T31</f>
        <v>8212876.0216486119</v>
      </c>
    </row>
    <row r="33" spans="2:22" x14ac:dyDescent="0.35">
      <c r="B33" s="642" t="s">
        <v>371</v>
      </c>
      <c r="C33" s="625">
        <f>C34-SUM(C29:C32)</f>
        <v>-2791993.7021706169</v>
      </c>
      <c r="E33" s="515">
        <f t="shared" si="7"/>
        <v>29</v>
      </c>
      <c r="F33" s="331">
        <f t="shared" si="8"/>
        <v>46904</v>
      </c>
      <c r="G33" s="616">
        <f t="shared" si="9"/>
        <v>7420714.4168636501</v>
      </c>
      <c r="H33" s="616">
        <f t="shared" si="3"/>
        <v>41243.71</v>
      </c>
      <c r="I33" s="616">
        <f t="shared" si="4"/>
        <v>10411.956768087079</v>
      </c>
      <c r="J33" s="616">
        <f t="shared" si="5"/>
        <v>30831.75323191292</v>
      </c>
      <c r="K33" s="616">
        <f t="shared" si="10"/>
        <v>285090.09878381994</v>
      </c>
      <c r="L33" s="616">
        <f t="shared" si="11"/>
        <v>910977.49121617991</v>
      </c>
      <c r="M33" s="617">
        <f t="shared" si="6"/>
        <v>7410302.460095563</v>
      </c>
      <c r="T33" s="367"/>
      <c r="V33" s="644"/>
    </row>
    <row r="34" spans="2:22" ht="15" thickBot="1" x14ac:dyDescent="0.4">
      <c r="B34" s="328" t="s">
        <v>14</v>
      </c>
      <c r="C34" s="630">
        <f>C8</f>
        <v>7695392.5588793838</v>
      </c>
      <c r="E34" s="515">
        <f t="shared" si="7"/>
        <v>30</v>
      </c>
      <c r="F34" s="331">
        <f t="shared" si="8"/>
        <v>46934</v>
      </c>
      <c r="G34" s="616">
        <f t="shared" si="9"/>
        <v>7410302.460095563</v>
      </c>
      <c r="H34" s="616">
        <f t="shared" si="3"/>
        <v>41243.71</v>
      </c>
      <c r="I34" s="616">
        <f t="shared" si="4"/>
        <v>10455.216603151675</v>
      </c>
      <c r="J34" s="616">
        <f t="shared" si="5"/>
        <v>30788.493396848324</v>
      </c>
      <c r="K34" s="616">
        <f t="shared" si="10"/>
        <v>295545.31538697163</v>
      </c>
      <c r="L34" s="616">
        <f t="shared" si="11"/>
        <v>941765.98461302824</v>
      </c>
      <c r="M34" s="617">
        <f t="shared" si="6"/>
        <v>7399847.2434924114</v>
      </c>
    </row>
    <row r="35" spans="2:22" ht="15" thickBot="1" x14ac:dyDescent="0.4">
      <c r="E35" s="515">
        <f t="shared" si="7"/>
        <v>31</v>
      </c>
      <c r="F35" s="331">
        <f t="shared" si="8"/>
        <v>46965</v>
      </c>
      <c r="G35" s="616">
        <f t="shared" si="9"/>
        <v>7399847.2434924114</v>
      </c>
      <c r="H35" s="616">
        <f t="shared" si="3"/>
        <v>41243.71</v>
      </c>
      <c r="I35" s="616">
        <f t="shared" si="4"/>
        <v>10498.656175164044</v>
      </c>
      <c r="J35" s="616">
        <f t="shared" si="5"/>
        <v>30745.053824835955</v>
      </c>
      <c r="K35" s="616">
        <f t="shared" si="10"/>
        <v>306043.97156213567</v>
      </c>
      <c r="L35" s="616">
        <f t="shared" si="11"/>
        <v>972511.03843786416</v>
      </c>
      <c r="M35" s="617">
        <f t="shared" si="6"/>
        <v>7389348.5873172469</v>
      </c>
    </row>
    <row r="36" spans="2:22" ht="15" thickBot="1" x14ac:dyDescent="0.4">
      <c r="B36" s="637" t="s">
        <v>290</v>
      </c>
      <c r="C36" s="638"/>
      <c r="E36" s="515">
        <f t="shared" si="7"/>
        <v>32</v>
      </c>
      <c r="F36" s="331">
        <f t="shared" si="8"/>
        <v>46996</v>
      </c>
      <c r="G36" s="616">
        <f t="shared" si="9"/>
        <v>7389348.5873172469</v>
      </c>
      <c r="H36" s="616">
        <f t="shared" si="3"/>
        <v>41243.71</v>
      </c>
      <c r="I36" s="616">
        <f t="shared" si="4"/>
        <v>10542.276230899348</v>
      </c>
      <c r="J36" s="616">
        <f t="shared" si="5"/>
        <v>30701.433769100651</v>
      </c>
      <c r="K36" s="616">
        <f t="shared" si="10"/>
        <v>316586.247793035</v>
      </c>
      <c r="L36" s="616">
        <f t="shared" si="11"/>
        <v>1003212.4722069649</v>
      </c>
      <c r="M36" s="617">
        <f t="shared" si="6"/>
        <v>7378806.3110863473</v>
      </c>
      <c r="U36" s="645"/>
    </row>
    <row r="37" spans="2:22" ht="15" thickBot="1" x14ac:dyDescent="0.4">
      <c r="B37" s="556" t="s">
        <v>373</v>
      </c>
      <c r="C37" s="639"/>
      <c r="E37" s="515">
        <f t="shared" si="7"/>
        <v>33</v>
      </c>
      <c r="F37" s="331">
        <f t="shared" si="8"/>
        <v>47026</v>
      </c>
      <c r="G37" s="616">
        <f t="shared" si="9"/>
        <v>7378806.3110863473</v>
      </c>
      <c r="H37" s="616">
        <f t="shared" si="3"/>
        <v>41243.71</v>
      </c>
      <c r="I37" s="616">
        <f t="shared" si="4"/>
        <v>10586.077520235467</v>
      </c>
      <c r="J37" s="616">
        <f t="shared" si="5"/>
        <v>30657.632479764532</v>
      </c>
      <c r="K37" s="616">
        <f t="shared" si="10"/>
        <v>327172.32531327044</v>
      </c>
      <c r="L37" s="616">
        <f t="shared" si="11"/>
        <v>1033870.1046867294</v>
      </c>
      <c r="M37" s="617">
        <f t="shared" si="6"/>
        <v>7368220.2335661119</v>
      </c>
    </row>
    <row r="38" spans="2:22" x14ac:dyDescent="0.35">
      <c r="B38" s="646" t="s">
        <v>371</v>
      </c>
      <c r="C38" s="392">
        <f>-C33</f>
        <v>2791993.7021706169</v>
      </c>
      <c r="E38" s="515">
        <f t="shared" si="7"/>
        <v>34</v>
      </c>
      <c r="F38" s="331">
        <f t="shared" si="8"/>
        <v>47057</v>
      </c>
      <c r="G38" s="616">
        <f t="shared" si="9"/>
        <v>7368220.2335661119</v>
      </c>
      <c r="H38" s="616">
        <f t="shared" si="3"/>
        <v>41243.71</v>
      </c>
      <c r="I38" s="616">
        <f t="shared" si="4"/>
        <v>10630.060796165893</v>
      </c>
      <c r="J38" s="616">
        <f t="shared" si="5"/>
        <v>30613.649203834106</v>
      </c>
      <c r="K38" s="616">
        <f t="shared" si="10"/>
        <v>337802.38610943634</v>
      </c>
      <c r="L38" s="616">
        <f t="shared" si="11"/>
        <v>1064483.7538905635</v>
      </c>
      <c r="M38" s="617">
        <f t="shared" si="6"/>
        <v>7357590.172769946</v>
      </c>
    </row>
    <row r="39" spans="2:22" x14ac:dyDescent="0.35">
      <c r="B39" s="374" t="s">
        <v>374</v>
      </c>
      <c r="C39" s="99">
        <f>SUM(C38:C38)</f>
        <v>2791993.7021706169</v>
      </c>
      <c r="E39" s="515">
        <f t="shared" si="7"/>
        <v>35</v>
      </c>
      <c r="F39" s="331">
        <f t="shared" si="8"/>
        <v>47087</v>
      </c>
      <c r="G39" s="616">
        <f t="shared" si="9"/>
        <v>7357590.172769946</v>
      </c>
      <c r="H39" s="616">
        <f t="shared" si="3"/>
        <v>41243.71</v>
      </c>
      <c r="I39" s="616">
        <f t="shared" si="4"/>
        <v>10674.226814812671</v>
      </c>
      <c r="J39" s="616">
        <f t="shared" si="5"/>
        <v>30569.483185187328</v>
      </c>
      <c r="K39" s="616">
        <f t="shared" si="10"/>
        <v>348476.61292424903</v>
      </c>
      <c r="L39" s="616">
        <f t="shared" si="11"/>
        <v>1095053.2370757507</v>
      </c>
      <c r="M39" s="617">
        <f t="shared" si="6"/>
        <v>7346915.9459551331</v>
      </c>
    </row>
    <row r="40" spans="2:22" ht="15" thickBot="1" x14ac:dyDescent="0.4">
      <c r="B40" s="647" t="s">
        <v>159</v>
      </c>
      <c r="C40" s="648">
        <f>C39*'Property CF'!$C$28</f>
        <v>307119.30723876785</v>
      </c>
      <c r="E40" s="515">
        <f t="shared" si="7"/>
        <v>36</v>
      </c>
      <c r="F40" s="331">
        <f t="shared" si="8"/>
        <v>47118</v>
      </c>
      <c r="G40" s="616">
        <f t="shared" si="9"/>
        <v>7346915.9459551331</v>
      </c>
      <c r="H40" s="616">
        <f t="shared" si="3"/>
        <v>41243.71</v>
      </c>
      <c r="I40" s="616">
        <f t="shared" si="4"/>
        <v>10718.576335439404</v>
      </c>
      <c r="J40" s="616">
        <f t="shared" si="5"/>
        <v>30525.133664560595</v>
      </c>
      <c r="K40" s="616">
        <f t="shared" si="10"/>
        <v>359195.18925968843</v>
      </c>
      <c r="L40" s="616">
        <f t="shared" si="11"/>
        <v>1125578.3707403112</v>
      </c>
      <c r="M40" s="617">
        <f t="shared" si="6"/>
        <v>7336197.3696196936</v>
      </c>
    </row>
    <row r="41" spans="2:22" x14ac:dyDescent="0.35">
      <c r="E41" s="515">
        <f t="shared" si="7"/>
        <v>37</v>
      </c>
      <c r="F41" s="331">
        <f t="shared" si="8"/>
        <v>47149</v>
      </c>
      <c r="G41" s="616">
        <f t="shared" si="9"/>
        <v>7336197.3696196936</v>
      </c>
      <c r="H41" s="616">
        <f t="shared" si="3"/>
        <v>41243.71</v>
      </c>
      <c r="I41" s="616">
        <f t="shared" si="4"/>
        <v>10763.110120464291</v>
      </c>
      <c r="J41" s="616">
        <f t="shared" si="5"/>
        <v>30480.599879535708</v>
      </c>
      <c r="K41" s="616">
        <f t="shared" si="10"/>
        <v>369958.29938015272</v>
      </c>
      <c r="L41" s="616">
        <f t="shared" si="11"/>
        <v>1156058.9706198468</v>
      </c>
      <c r="M41" s="617">
        <f t="shared" si="6"/>
        <v>7325434.2594992295</v>
      </c>
    </row>
    <row r="42" spans="2:22" x14ac:dyDescent="0.35">
      <c r="C42" s="10"/>
      <c r="E42" s="515">
        <f t="shared" si="7"/>
        <v>38</v>
      </c>
      <c r="F42" s="331">
        <f t="shared" si="8"/>
        <v>47177</v>
      </c>
      <c r="G42" s="616">
        <f t="shared" si="9"/>
        <v>7325434.2594992295</v>
      </c>
      <c r="H42" s="616">
        <f t="shared" si="3"/>
        <v>41243.71</v>
      </c>
      <c r="I42" s="616">
        <f t="shared" si="4"/>
        <v>10807.828935473251</v>
      </c>
      <c r="J42" s="616">
        <f t="shared" si="5"/>
        <v>30435.881064526748</v>
      </c>
      <c r="K42" s="616">
        <f t="shared" si="10"/>
        <v>380766.12831562595</v>
      </c>
      <c r="L42" s="616">
        <f t="shared" si="11"/>
        <v>1186494.8516843736</v>
      </c>
      <c r="M42" s="617">
        <f t="shared" si="6"/>
        <v>7314626.4305637563</v>
      </c>
    </row>
    <row r="43" spans="2:22" x14ac:dyDescent="0.35">
      <c r="C43" s="12"/>
      <c r="E43" s="515">
        <f t="shared" si="7"/>
        <v>39</v>
      </c>
      <c r="F43" s="331">
        <f t="shared" si="8"/>
        <v>47208</v>
      </c>
      <c r="G43" s="616">
        <f t="shared" si="9"/>
        <v>7314626.4305637563</v>
      </c>
      <c r="H43" s="616">
        <f t="shared" si="3"/>
        <v>41243.71</v>
      </c>
      <c r="I43" s="616">
        <f t="shared" si="4"/>
        <v>10852.733549233079</v>
      </c>
      <c r="J43" s="616">
        <f t="shared" si="5"/>
        <v>30390.976450766921</v>
      </c>
      <c r="K43" s="616">
        <f t="shared" si="10"/>
        <v>391618.86186485901</v>
      </c>
      <c r="L43" s="616">
        <f t="shared" si="11"/>
        <v>1216885.8281351405</v>
      </c>
      <c r="M43" s="617">
        <f t="shared" si="6"/>
        <v>7303773.6970145227</v>
      </c>
    </row>
    <row r="44" spans="2:22" x14ac:dyDescent="0.35">
      <c r="C44" s="366"/>
      <c r="E44" s="515">
        <f t="shared" si="7"/>
        <v>40</v>
      </c>
      <c r="F44" s="331">
        <f t="shared" si="8"/>
        <v>47238</v>
      </c>
      <c r="G44" s="616">
        <f t="shared" si="9"/>
        <v>7303773.6970145227</v>
      </c>
      <c r="H44" s="616">
        <f t="shared" si="3"/>
        <v>41243.71</v>
      </c>
      <c r="I44" s="616">
        <f t="shared" si="4"/>
        <v>10897.824733704652</v>
      </c>
      <c r="J44" s="616">
        <f t="shared" si="5"/>
        <v>30345.885266295347</v>
      </c>
      <c r="K44" s="616">
        <f t="shared" si="10"/>
        <v>402516.68659856368</v>
      </c>
      <c r="L44" s="616">
        <f t="shared" si="11"/>
        <v>1247231.7134014359</v>
      </c>
      <c r="M44" s="617">
        <f t="shared" si="6"/>
        <v>7292875.8722808184</v>
      </c>
    </row>
    <row r="45" spans="2:22" x14ac:dyDescent="0.35">
      <c r="C45" s="128"/>
      <c r="E45" s="515">
        <f t="shared" si="7"/>
        <v>41</v>
      </c>
      <c r="F45" s="331">
        <f t="shared" si="8"/>
        <v>47269</v>
      </c>
      <c r="G45" s="616">
        <f t="shared" si="9"/>
        <v>7292875.8722808184</v>
      </c>
      <c r="H45" s="616">
        <f t="shared" si="3"/>
        <v>41243.71</v>
      </c>
      <c r="I45" s="616">
        <f t="shared" si="4"/>
        <v>10943.103264056212</v>
      </c>
      <c r="J45" s="616">
        <f t="shared" si="5"/>
        <v>30300.606735943787</v>
      </c>
      <c r="K45" s="616">
        <f t="shared" si="10"/>
        <v>413459.78986261989</v>
      </c>
      <c r="L45" s="616">
        <f t="shared" si="11"/>
        <v>1277532.3201373797</v>
      </c>
      <c r="M45" s="617">
        <f t="shared" si="6"/>
        <v>7281932.7690167623</v>
      </c>
    </row>
    <row r="46" spans="2:22" x14ac:dyDescent="0.35">
      <c r="C46" s="128"/>
      <c r="E46" s="515">
        <f t="shared" si="7"/>
        <v>42</v>
      </c>
      <c r="F46" s="331">
        <f t="shared" si="8"/>
        <v>47299</v>
      </c>
      <c r="G46" s="616">
        <f t="shared" si="9"/>
        <v>7281932.7690167623</v>
      </c>
      <c r="H46" s="616">
        <f t="shared" si="3"/>
        <v>41243.71</v>
      </c>
      <c r="I46" s="616">
        <f t="shared" si="4"/>
        <v>10988.569918676687</v>
      </c>
      <c r="J46" s="616">
        <f t="shared" si="5"/>
        <v>30255.140081323312</v>
      </c>
      <c r="K46" s="616">
        <f t="shared" si="10"/>
        <v>424448.35978129657</v>
      </c>
      <c r="L46" s="616">
        <f t="shared" si="11"/>
        <v>1307787.4602187029</v>
      </c>
      <c r="M46" s="617">
        <f t="shared" si="6"/>
        <v>7270944.199098086</v>
      </c>
    </row>
    <row r="47" spans="2:22" x14ac:dyDescent="0.35">
      <c r="C47" s="12"/>
      <c r="E47" s="515">
        <f t="shared" si="7"/>
        <v>43</v>
      </c>
      <c r="F47" s="331">
        <f t="shared" si="8"/>
        <v>47330</v>
      </c>
      <c r="G47" s="616">
        <f t="shared" si="9"/>
        <v>7270944.199098086</v>
      </c>
      <c r="H47" s="616">
        <f t="shared" si="3"/>
        <v>41243.71</v>
      </c>
      <c r="I47" s="616">
        <f t="shared" si="4"/>
        <v>11034.22547918907</v>
      </c>
      <c r="J47" s="616">
        <f t="shared" si="5"/>
        <v>30209.484520810929</v>
      </c>
      <c r="K47" s="616">
        <f t="shared" si="10"/>
        <v>435482.58526048565</v>
      </c>
      <c r="L47" s="616">
        <f t="shared" si="11"/>
        <v>1337996.9447395138</v>
      </c>
      <c r="M47" s="617">
        <f t="shared" si="6"/>
        <v>7259909.9736188967</v>
      </c>
    </row>
    <row r="48" spans="2:22" x14ac:dyDescent="0.35">
      <c r="E48" s="515">
        <f t="shared" si="7"/>
        <v>44</v>
      </c>
      <c r="F48" s="331">
        <f t="shared" si="8"/>
        <v>47361</v>
      </c>
      <c r="G48" s="616">
        <f t="shared" si="9"/>
        <v>7259909.9736188967</v>
      </c>
      <c r="H48" s="616">
        <f t="shared" si="3"/>
        <v>41243.71</v>
      </c>
      <c r="I48" s="616">
        <f t="shared" si="4"/>
        <v>11080.070730463871</v>
      </c>
      <c r="J48" s="616">
        <f t="shared" si="5"/>
        <v>30163.639269536128</v>
      </c>
      <c r="K48" s="616">
        <f t="shared" si="10"/>
        <v>446562.65599094954</v>
      </c>
      <c r="L48" s="616">
        <f t="shared" si="11"/>
        <v>1368160.5840090499</v>
      </c>
      <c r="M48" s="617">
        <f t="shared" si="6"/>
        <v>7248829.9028884331</v>
      </c>
    </row>
    <row r="49" spans="3:13" x14ac:dyDescent="0.35">
      <c r="C49" s="128"/>
      <c r="E49" s="515">
        <f t="shared" si="7"/>
        <v>45</v>
      </c>
      <c r="F49" s="331">
        <f t="shared" si="8"/>
        <v>47391</v>
      </c>
      <c r="G49" s="616">
        <f t="shared" si="9"/>
        <v>7248829.9028884331</v>
      </c>
      <c r="H49" s="616">
        <f t="shared" si="3"/>
        <v>41243.71</v>
      </c>
      <c r="I49" s="616">
        <f t="shared" si="4"/>
        <v>11126.106460632582</v>
      </c>
      <c r="J49" s="616">
        <f t="shared" si="5"/>
        <v>30117.603539367417</v>
      </c>
      <c r="K49" s="616">
        <f t="shared" si="10"/>
        <v>457688.76245158212</v>
      </c>
      <c r="L49" s="616">
        <f t="shared" si="11"/>
        <v>1398278.1875484174</v>
      </c>
      <c r="M49" s="617">
        <f t="shared" si="6"/>
        <v>7237703.7964278003</v>
      </c>
    </row>
    <row r="50" spans="3:13" x14ac:dyDescent="0.35">
      <c r="E50" s="515">
        <f t="shared" si="7"/>
        <v>46</v>
      </c>
      <c r="F50" s="331">
        <f t="shared" si="8"/>
        <v>47422</v>
      </c>
      <c r="G50" s="616">
        <f t="shared" si="9"/>
        <v>7237703.7964278003</v>
      </c>
      <c r="H50" s="616">
        <f t="shared" si="3"/>
        <v>41243.71</v>
      </c>
      <c r="I50" s="616">
        <f t="shared" si="4"/>
        <v>11172.333461101254</v>
      </c>
      <c r="J50" s="616">
        <f t="shared" si="5"/>
        <v>30071.376538898745</v>
      </c>
      <c r="K50" s="616">
        <f t="shared" si="10"/>
        <v>468861.09591268341</v>
      </c>
      <c r="L50" s="616">
        <f t="shared" si="11"/>
        <v>1428349.5640873162</v>
      </c>
      <c r="M50" s="617">
        <f t="shared" si="6"/>
        <v>7226531.4629666992</v>
      </c>
    </row>
    <row r="51" spans="3:13" x14ac:dyDescent="0.35">
      <c r="E51" s="515">
        <f t="shared" si="7"/>
        <v>47</v>
      </c>
      <c r="F51" s="331">
        <f t="shared" si="8"/>
        <v>47452</v>
      </c>
      <c r="G51" s="616">
        <f t="shared" si="9"/>
        <v>7226531.4629666992</v>
      </c>
      <c r="H51" s="616">
        <f t="shared" si="3"/>
        <v>41243.71</v>
      </c>
      <c r="I51" s="616">
        <f t="shared" si="4"/>
        <v>11218.752526564076</v>
      </c>
      <c r="J51" s="616">
        <f t="shared" si="5"/>
        <v>30024.957473435923</v>
      </c>
      <c r="K51" s="616">
        <f t="shared" si="10"/>
        <v>480079.84843924746</v>
      </c>
      <c r="L51" s="616">
        <f t="shared" si="11"/>
        <v>1458374.5215607521</v>
      </c>
      <c r="M51" s="617">
        <f t="shared" si="6"/>
        <v>7215312.7104401346</v>
      </c>
    </row>
    <row r="52" spans="3:13" x14ac:dyDescent="0.35">
      <c r="E52" s="515">
        <f t="shared" si="7"/>
        <v>48</v>
      </c>
      <c r="F52" s="331">
        <f t="shared" si="8"/>
        <v>47483</v>
      </c>
      <c r="G52" s="616">
        <f t="shared" si="9"/>
        <v>7215312.7104401346</v>
      </c>
      <c r="H52" s="616">
        <f t="shared" si="3"/>
        <v>41243.71</v>
      </c>
      <c r="I52" s="616">
        <f t="shared" si="4"/>
        <v>11265.364455017068</v>
      </c>
      <c r="J52" s="616">
        <f t="shared" si="5"/>
        <v>29978.345544982931</v>
      </c>
      <c r="K52" s="616">
        <f t="shared" si="10"/>
        <v>491345.21289426455</v>
      </c>
      <c r="L52" s="616">
        <f t="shared" si="11"/>
        <v>1488352.867105735</v>
      </c>
      <c r="M52" s="617">
        <f t="shared" si="6"/>
        <v>7204047.3459851174</v>
      </c>
    </row>
    <row r="53" spans="3:13" x14ac:dyDescent="0.35">
      <c r="E53" s="515">
        <f t="shared" si="7"/>
        <v>49</v>
      </c>
      <c r="F53" s="331">
        <f t="shared" si="8"/>
        <v>47514</v>
      </c>
      <c r="G53" s="616">
        <f t="shared" si="9"/>
        <v>7204047.3459851174</v>
      </c>
      <c r="H53" s="616">
        <f t="shared" si="3"/>
        <v>41243.71</v>
      </c>
      <c r="I53" s="616">
        <f t="shared" si="4"/>
        <v>11312.170047771771</v>
      </c>
      <c r="J53" s="616">
        <f t="shared" si="5"/>
        <v>29931.539952228228</v>
      </c>
      <c r="K53" s="616">
        <f t="shared" si="10"/>
        <v>502657.38294203632</v>
      </c>
      <c r="L53" s="616">
        <f t="shared" si="11"/>
        <v>1518284.4070579633</v>
      </c>
      <c r="M53" s="617">
        <f t="shared" si="6"/>
        <v>7192735.1759373453</v>
      </c>
    </row>
    <row r="54" spans="3:13" x14ac:dyDescent="0.35">
      <c r="E54" s="515">
        <f t="shared" si="7"/>
        <v>50</v>
      </c>
      <c r="F54" s="331">
        <f t="shared" si="8"/>
        <v>47542</v>
      </c>
      <c r="G54" s="616">
        <f t="shared" si="9"/>
        <v>7192735.1759373453</v>
      </c>
      <c r="H54" s="616">
        <f t="shared" si="3"/>
        <v>41243.71</v>
      </c>
      <c r="I54" s="616">
        <f t="shared" si="4"/>
        <v>11359.170109469032</v>
      </c>
      <c r="J54" s="616">
        <f t="shared" si="5"/>
        <v>29884.539890530967</v>
      </c>
      <c r="K54" s="616">
        <f t="shared" si="10"/>
        <v>514016.55305150535</v>
      </c>
      <c r="L54" s="616">
        <f t="shared" si="11"/>
        <v>1548168.9469484943</v>
      </c>
      <c r="M54" s="617">
        <f t="shared" si="6"/>
        <v>7181376.0058278758</v>
      </c>
    </row>
    <row r="55" spans="3:13" x14ac:dyDescent="0.35">
      <c r="E55" s="515">
        <f t="shared" si="7"/>
        <v>51</v>
      </c>
      <c r="F55" s="331">
        <f t="shared" si="8"/>
        <v>47573</v>
      </c>
      <c r="G55" s="616">
        <f t="shared" si="9"/>
        <v>7181376.0058278758</v>
      </c>
      <c r="H55" s="616">
        <f t="shared" si="3"/>
        <v>41243.71</v>
      </c>
      <c r="I55" s="616">
        <f t="shared" si="4"/>
        <v>11406.365448092842</v>
      </c>
      <c r="J55" s="616">
        <f t="shared" si="5"/>
        <v>29837.344551907157</v>
      </c>
      <c r="K55" s="616">
        <f t="shared" si="10"/>
        <v>525422.91849959816</v>
      </c>
      <c r="L55" s="616">
        <f t="shared" si="11"/>
        <v>1578006.2915004015</v>
      </c>
      <c r="M55" s="617">
        <f t="shared" si="6"/>
        <v>7169969.6403797828</v>
      </c>
    </row>
    <row r="56" spans="3:13" x14ac:dyDescent="0.35">
      <c r="E56" s="515">
        <f t="shared" si="7"/>
        <v>52</v>
      </c>
      <c r="F56" s="331">
        <f t="shared" si="8"/>
        <v>47603</v>
      </c>
      <c r="G56" s="616">
        <f t="shared" si="9"/>
        <v>7169969.6403797828</v>
      </c>
      <c r="H56" s="616">
        <f t="shared" si="3"/>
        <v>41243.71</v>
      </c>
      <c r="I56" s="616">
        <f t="shared" si="4"/>
        <v>11453.756874984225</v>
      </c>
      <c r="J56" s="616">
        <f t="shared" si="5"/>
        <v>29789.953125015774</v>
      </c>
      <c r="K56" s="616">
        <f t="shared" si="10"/>
        <v>536876.67537458241</v>
      </c>
      <c r="L56" s="616">
        <f t="shared" si="11"/>
        <v>1607796.2446254173</v>
      </c>
      <c r="M56" s="617">
        <f t="shared" si="6"/>
        <v>7158515.8835047986</v>
      </c>
    </row>
    <row r="57" spans="3:13" x14ac:dyDescent="0.35">
      <c r="E57" s="515">
        <f t="shared" si="7"/>
        <v>53</v>
      </c>
      <c r="F57" s="331">
        <f t="shared" si="8"/>
        <v>47634</v>
      </c>
      <c r="G57" s="616">
        <f t="shared" si="9"/>
        <v>7158515.8835047986</v>
      </c>
      <c r="H57" s="616">
        <f t="shared" si="3"/>
        <v>41243.71</v>
      </c>
      <c r="I57" s="616">
        <f t="shared" si="4"/>
        <v>11501.345204855177</v>
      </c>
      <c r="J57" s="616">
        <f t="shared" si="5"/>
        <v>29742.364795144822</v>
      </c>
      <c r="K57" s="616">
        <f t="shared" si="10"/>
        <v>548378.02057943761</v>
      </c>
      <c r="L57" s="616">
        <f t="shared" si="11"/>
        <v>1637538.6094205622</v>
      </c>
      <c r="M57" s="617">
        <f t="shared" si="6"/>
        <v>7147014.5382999433</v>
      </c>
    </row>
    <row r="58" spans="3:13" x14ac:dyDescent="0.35">
      <c r="E58" s="515">
        <f t="shared" si="7"/>
        <v>54</v>
      </c>
      <c r="F58" s="331">
        <f t="shared" si="8"/>
        <v>47664</v>
      </c>
      <c r="G58" s="616">
        <f t="shared" si="9"/>
        <v>7147014.5382999433</v>
      </c>
      <c r="H58" s="616">
        <f t="shared" si="3"/>
        <v>41243.71</v>
      </c>
      <c r="I58" s="616">
        <f t="shared" si="4"/>
        <v>11549.131255802684</v>
      </c>
      <c r="J58" s="616">
        <f t="shared" si="5"/>
        <v>29694.578744197315</v>
      </c>
      <c r="K58" s="616">
        <f t="shared" si="10"/>
        <v>559927.15183524031</v>
      </c>
      <c r="L58" s="616">
        <f t="shared" si="11"/>
        <v>1667233.1881647594</v>
      </c>
      <c r="M58" s="617">
        <f t="shared" si="6"/>
        <v>7135465.4070441406</v>
      </c>
    </row>
    <row r="59" spans="3:13" x14ac:dyDescent="0.35">
      <c r="E59" s="515">
        <f t="shared" si="7"/>
        <v>55</v>
      </c>
      <c r="F59" s="331">
        <f t="shared" si="8"/>
        <v>47695</v>
      </c>
      <c r="G59" s="616">
        <f t="shared" si="9"/>
        <v>7135465.4070441406</v>
      </c>
      <c r="H59" s="616">
        <f t="shared" si="3"/>
        <v>41243.71</v>
      </c>
      <c r="I59" s="616">
        <f t="shared" si="4"/>
        <v>11597.115849322774</v>
      </c>
      <c r="J59" s="616">
        <f t="shared" si="5"/>
        <v>29646.594150677225</v>
      </c>
      <c r="K59" s="616">
        <f t="shared" si="10"/>
        <v>571524.26768456306</v>
      </c>
      <c r="L59" s="616">
        <f t="shared" si="11"/>
        <v>1696879.7823154368</v>
      </c>
      <c r="M59" s="617">
        <f t="shared" si="6"/>
        <v>7123868.291194818</v>
      </c>
    </row>
    <row r="60" spans="3:13" x14ac:dyDescent="0.35">
      <c r="E60" s="515">
        <f t="shared" si="7"/>
        <v>56</v>
      </c>
      <c r="F60" s="331">
        <f t="shared" si="8"/>
        <v>47726</v>
      </c>
      <c r="G60" s="616">
        <f t="shared" si="9"/>
        <v>7123868.291194818</v>
      </c>
      <c r="H60" s="616">
        <f t="shared" si="3"/>
        <v>41243.71</v>
      </c>
      <c r="I60" s="616">
        <f t="shared" si="4"/>
        <v>11645.29981032465</v>
      </c>
      <c r="J60" s="616">
        <f t="shared" si="5"/>
        <v>29598.410189675349</v>
      </c>
      <c r="K60" s="616">
        <f t="shared" si="10"/>
        <v>583169.56749488774</v>
      </c>
      <c r="L60" s="616">
        <f t="shared" si="11"/>
        <v>1726478.1925051122</v>
      </c>
      <c r="M60" s="617">
        <f t="shared" si="6"/>
        <v>7112222.9913844932</v>
      </c>
    </row>
    <row r="61" spans="3:13" x14ac:dyDescent="0.35">
      <c r="E61" s="515">
        <f t="shared" si="7"/>
        <v>57</v>
      </c>
      <c r="F61" s="331">
        <f t="shared" si="8"/>
        <v>47756</v>
      </c>
      <c r="G61" s="616">
        <f t="shared" si="9"/>
        <v>7112222.9913844932</v>
      </c>
      <c r="H61" s="616">
        <f t="shared" si="3"/>
        <v>41243.71</v>
      </c>
      <c r="I61" s="616">
        <f t="shared" si="4"/>
        <v>11693.683967144869</v>
      </c>
      <c r="J61" s="616">
        <f t="shared" si="5"/>
        <v>29550.02603285513</v>
      </c>
      <c r="K61" s="616">
        <f t="shared" si="10"/>
        <v>594863.25146203255</v>
      </c>
      <c r="L61" s="616">
        <f t="shared" si="11"/>
        <v>1756028.2185379672</v>
      </c>
      <c r="M61" s="617">
        <f t="shared" si="6"/>
        <v>7100529.307417348</v>
      </c>
    </row>
    <row r="62" spans="3:13" x14ac:dyDescent="0.35">
      <c r="E62" s="515">
        <f t="shared" si="7"/>
        <v>58</v>
      </c>
      <c r="F62" s="331">
        <f t="shared" si="8"/>
        <v>47787</v>
      </c>
      <c r="G62" s="616">
        <f t="shared" si="9"/>
        <v>7100529.307417348</v>
      </c>
      <c r="H62" s="616">
        <f t="shared" si="3"/>
        <v>41243.71</v>
      </c>
      <c r="I62" s="616">
        <f t="shared" si="4"/>
        <v>11742.26915156157</v>
      </c>
      <c r="J62" s="616">
        <f t="shared" si="5"/>
        <v>29501.440848438429</v>
      </c>
      <c r="K62" s="616">
        <f t="shared" si="10"/>
        <v>606605.5206135941</v>
      </c>
      <c r="L62" s="616">
        <f t="shared" si="11"/>
        <v>1785529.6593864057</v>
      </c>
      <c r="M62" s="617">
        <f t="shared" si="6"/>
        <v>7088787.0382657861</v>
      </c>
    </row>
    <row r="63" spans="3:13" x14ac:dyDescent="0.35">
      <c r="E63" s="515">
        <f t="shared" si="7"/>
        <v>59</v>
      </c>
      <c r="F63" s="331">
        <f t="shared" si="8"/>
        <v>47817</v>
      </c>
      <c r="G63" s="616">
        <f t="shared" si="9"/>
        <v>7088787.0382657861</v>
      </c>
      <c r="H63" s="616">
        <f t="shared" si="3"/>
        <v>41243.71</v>
      </c>
      <c r="I63" s="616">
        <f t="shared" si="4"/>
        <v>11791.05619880879</v>
      </c>
      <c r="J63" s="616">
        <f t="shared" si="5"/>
        <v>29452.653801191209</v>
      </c>
      <c r="K63" s="616">
        <f t="shared" si="10"/>
        <v>618396.57681240293</v>
      </c>
      <c r="L63" s="616">
        <f t="shared" si="11"/>
        <v>1814982.3131875969</v>
      </c>
      <c r="M63" s="617">
        <f t="shared" si="6"/>
        <v>7076995.9820669778</v>
      </c>
    </row>
    <row r="64" spans="3:13" x14ac:dyDescent="0.35">
      <c r="E64" s="515">
        <f t="shared" si="7"/>
        <v>60</v>
      </c>
      <c r="F64" s="331">
        <f t="shared" si="8"/>
        <v>47848</v>
      </c>
      <c r="G64" s="616">
        <f t="shared" si="9"/>
        <v>7076995.9820669778</v>
      </c>
      <c r="H64" s="616">
        <f t="shared" si="3"/>
        <v>41243.71</v>
      </c>
      <c r="I64" s="616">
        <f t="shared" si="4"/>
        <v>11840.045947590814</v>
      </c>
      <c r="J64" s="616">
        <f t="shared" si="5"/>
        <v>29403.664052409185</v>
      </c>
      <c r="K64" s="616">
        <f t="shared" si="10"/>
        <v>630236.62275999377</v>
      </c>
      <c r="L64" s="616">
        <f t="shared" si="11"/>
        <v>1844385.977240006</v>
      </c>
      <c r="M64" s="617">
        <f t="shared" si="6"/>
        <v>7065155.9361193869</v>
      </c>
    </row>
    <row r="65" spans="5:13" x14ac:dyDescent="0.35">
      <c r="E65" s="515">
        <f t="shared" si="7"/>
        <v>61</v>
      </c>
      <c r="F65" s="331">
        <f t="shared" si="8"/>
        <v>47879</v>
      </c>
      <c r="G65" s="616">
        <f t="shared" si="9"/>
        <v>7065155.9361193869</v>
      </c>
      <c r="H65" s="616">
        <f t="shared" si="3"/>
        <v>41243.71</v>
      </c>
      <c r="I65" s="616">
        <f t="shared" si="4"/>
        <v>11889.239240096595</v>
      </c>
      <c r="J65" s="616">
        <f t="shared" si="5"/>
        <v>29354.470759903405</v>
      </c>
      <c r="K65" s="616">
        <f t="shared" si="10"/>
        <v>642125.86200009042</v>
      </c>
      <c r="L65" s="616">
        <f t="shared" si="11"/>
        <v>1873740.4479999093</v>
      </c>
      <c r="M65" s="617">
        <f t="shared" si="6"/>
        <v>7053266.69687929</v>
      </c>
    </row>
    <row r="66" spans="5:13" x14ac:dyDescent="0.35">
      <c r="E66" s="515">
        <f t="shared" si="7"/>
        <v>62</v>
      </c>
      <c r="F66" s="331">
        <f t="shared" si="8"/>
        <v>47907</v>
      </c>
      <c r="G66" s="616">
        <f t="shared" si="9"/>
        <v>7053266.69687929</v>
      </c>
      <c r="H66" s="616">
        <f t="shared" si="3"/>
        <v>41243.71</v>
      </c>
      <c r="I66" s="616">
        <f t="shared" si="4"/>
        <v>11938.63692201423</v>
      </c>
      <c r="J66" s="616">
        <f t="shared" si="5"/>
        <v>29305.073077985769</v>
      </c>
      <c r="K66" s="616">
        <f t="shared" si="10"/>
        <v>654064.4989221046</v>
      </c>
      <c r="L66" s="616">
        <f t="shared" si="11"/>
        <v>1903045.5210778951</v>
      </c>
      <c r="M66" s="617">
        <f t="shared" si="6"/>
        <v>7041328.0599572761</v>
      </c>
    </row>
    <row r="67" spans="5:13" x14ac:dyDescent="0.35">
      <c r="E67" s="515">
        <f t="shared" si="7"/>
        <v>63</v>
      </c>
      <c r="F67" s="331">
        <f t="shared" si="8"/>
        <v>47938</v>
      </c>
      <c r="G67" s="616">
        <f t="shared" si="9"/>
        <v>7041328.0599572761</v>
      </c>
      <c r="H67" s="616">
        <f t="shared" si="3"/>
        <v>41243.71</v>
      </c>
      <c r="I67" s="616">
        <f t="shared" si="4"/>
        <v>11988.239842545499</v>
      </c>
      <c r="J67" s="616">
        <f t="shared" si="5"/>
        <v>29255.4701574545</v>
      </c>
      <c r="K67" s="616">
        <f t="shared" si="10"/>
        <v>666052.73876465007</v>
      </c>
      <c r="L67" s="616">
        <f t="shared" si="11"/>
        <v>1932300.9912353496</v>
      </c>
      <c r="M67" s="617">
        <f t="shared" si="6"/>
        <v>7029339.8201147309</v>
      </c>
    </row>
    <row r="68" spans="5:13" x14ac:dyDescent="0.35">
      <c r="E68" s="515">
        <f t="shared" si="7"/>
        <v>64</v>
      </c>
      <c r="F68" s="331">
        <f t="shared" si="8"/>
        <v>47968</v>
      </c>
      <c r="G68" s="616">
        <f t="shared" si="9"/>
        <v>7029339.8201147309</v>
      </c>
      <c r="H68" s="616">
        <f t="shared" si="3"/>
        <v>41243.71</v>
      </c>
      <c r="I68" s="616">
        <f t="shared" si="4"/>
        <v>12038.048854420471</v>
      </c>
      <c r="J68" s="616">
        <f t="shared" si="5"/>
        <v>29205.661145579528</v>
      </c>
      <c r="K68" s="616">
        <f t="shared" si="10"/>
        <v>678090.7876190705</v>
      </c>
      <c r="L68" s="616">
        <f t="shared" si="11"/>
        <v>1961506.6523809291</v>
      </c>
      <c r="M68" s="617">
        <f t="shared" si="6"/>
        <v>7017301.77126031</v>
      </c>
    </row>
    <row r="69" spans="5:13" x14ac:dyDescent="0.35">
      <c r="E69" s="515">
        <f t="shared" si="7"/>
        <v>65</v>
      </c>
      <c r="F69" s="331">
        <f t="shared" si="8"/>
        <v>47999</v>
      </c>
      <c r="G69" s="616">
        <f t="shared" si="9"/>
        <v>7017301.77126031</v>
      </c>
      <c r="H69" s="616">
        <f t="shared" ref="H69:H132" si="61">J69+I69</f>
        <v>41243.71</v>
      </c>
      <c r="I69" s="616">
        <f t="shared" ref="I69:I132" si="62">IF(E69&lt;=$C$6,0,$C$12-J69)</f>
        <v>12088.064813912155</v>
      </c>
      <c r="J69" s="616">
        <f t="shared" ref="J69:J132" si="63">G69*($C$9/12)</f>
        <v>29155.645186087844</v>
      </c>
      <c r="K69" s="616">
        <f t="shared" si="10"/>
        <v>690178.85243298265</v>
      </c>
      <c r="L69" s="616">
        <f t="shared" si="11"/>
        <v>1990662.2975670169</v>
      </c>
      <c r="M69" s="617">
        <f t="shared" ref="M69:M132" si="64">G69-I69</f>
        <v>7005213.706446398</v>
      </c>
    </row>
    <row r="70" spans="5:13" x14ac:dyDescent="0.35">
      <c r="E70" s="515">
        <f t="shared" ref="E70:E133" si="65">1+E69</f>
        <v>66</v>
      </c>
      <c r="F70" s="331">
        <f t="shared" ref="F70:F133" si="66">EOMONTH(F69,1)</f>
        <v>48029</v>
      </c>
      <c r="G70" s="616">
        <f t="shared" ref="G70:G133" si="67">M69</f>
        <v>7005213.706446398</v>
      </c>
      <c r="H70" s="616">
        <f t="shared" si="61"/>
        <v>41243.71</v>
      </c>
      <c r="I70" s="616">
        <f t="shared" si="62"/>
        <v>12138.288580851218</v>
      </c>
      <c r="J70" s="616">
        <f t="shared" si="63"/>
        <v>29105.421419148781</v>
      </c>
      <c r="K70" s="616">
        <f t="shared" ref="K70:K133" si="68">I70+K69</f>
        <v>702317.14101383381</v>
      </c>
      <c r="L70" s="616">
        <f t="shared" ref="L70:L133" si="69">L69+J70</f>
        <v>2019767.7189861657</v>
      </c>
      <c r="M70" s="617">
        <f t="shared" si="64"/>
        <v>6993075.4178655464</v>
      </c>
    </row>
    <row r="71" spans="5:13" x14ac:dyDescent="0.35">
      <c r="E71" s="515">
        <f t="shared" si="65"/>
        <v>67</v>
      </c>
      <c r="F71" s="331">
        <f t="shared" si="66"/>
        <v>48060</v>
      </c>
      <c r="G71" s="616">
        <f t="shared" si="67"/>
        <v>6993075.4178655464</v>
      </c>
      <c r="H71" s="616">
        <f t="shared" si="61"/>
        <v>41243.71</v>
      </c>
      <c r="I71" s="616">
        <f t="shared" si="62"/>
        <v>12188.721018640779</v>
      </c>
      <c r="J71" s="616">
        <f t="shared" si="63"/>
        <v>29054.98898135922</v>
      </c>
      <c r="K71" s="616">
        <f t="shared" si="68"/>
        <v>714505.8620324746</v>
      </c>
      <c r="L71" s="616">
        <f t="shared" si="69"/>
        <v>2048822.7079675249</v>
      </c>
      <c r="M71" s="617">
        <f t="shared" si="64"/>
        <v>6980886.6968469061</v>
      </c>
    </row>
    <row r="72" spans="5:13" x14ac:dyDescent="0.35">
      <c r="E72" s="515">
        <f t="shared" si="65"/>
        <v>68</v>
      </c>
      <c r="F72" s="331">
        <f t="shared" si="66"/>
        <v>48091</v>
      </c>
      <c r="G72" s="616">
        <f t="shared" si="67"/>
        <v>6980886.6968469061</v>
      </c>
      <c r="H72" s="616">
        <f t="shared" si="61"/>
        <v>41243.71</v>
      </c>
      <c r="I72" s="616">
        <f t="shared" si="62"/>
        <v>12239.362994271229</v>
      </c>
      <c r="J72" s="616">
        <f t="shared" si="63"/>
        <v>29004.34700572877</v>
      </c>
      <c r="K72" s="616">
        <f t="shared" si="68"/>
        <v>726745.22502674581</v>
      </c>
      <c r="L72" s="616">
        <f t="shared" si="69"/>
        <v>2077827.0549732537</v>
      </c>
      <c r="M72" s="617">
        <f t="shared" si="64"/>
        <v>6968647.3338526348</v>
      </c>
    </row>
    <row r="73" spans="5:13" x14ac:dyDescent="0.35">
      <c r="E73" s="515">
        <f t="shared" si="65"/>
        <v>69</v>
      </c>
      <c r="F73" s="331">
        <f t="shared" si="66"/>
        <v>48121</v>
      </c>
      <c r="G73" s="616">
        <f t="shared" si="67"/>
        <v>6968647.3338526348</v>
      </c>
      <c r="H73" s="616">
        <f t="shared" si="61"/>
        <v>41243.71</v>
      </c>
      <c r="I73" s="616">
        <f t="shared" si="62"/>
        <v>12290.215378335171</v>
      </c>
      <c r="J73" s="616">
        <f t="shared" si="63"/>
        <v>28953.494621664828</v>
      </c>
      <c r="K73" s="616">
        <f t="shared" si="68"/>
        <v>739035.44040508103</v>
      </c>
      <c r="L73" s="616">
        <f t="shared" si="69"/>
        <v>2106780.5495949187</v>
      </c>
      <c r="M73" s="617">
        <f t="shared" si="64"/>
        <v>6956357.1184743</v>
      </c>
    </row>
    <row r="74" spans="5:13" x14ac:dyDescent="0.35">
      <c r="E74" s="515">
        <f t="shared" si="65"/>
        <v>70</v>
      </c>
      <c r="F74" s="331">
        <f t="shared" si="66"/>
        <v>48152</v>
      </c>
      <c r="G74" s="616">
        <f t="shared" si="67"/>
        <v>6956357.1184743</v>
      </c>
      <c r="H74" s="616">
        <f t="shared" si="61"/>
        <v>41243.71</v>
      </c>
      <c r="I74" s="616">
        <f t="shared" si="62"/>
        <v>12341.279045042349</v>
      </c>
      <c r="J74" s="616">
        <f t="shared" si="63"/>
        <v>28902.43095495765</v>
      </c>
      <c r="K74" s="616">
        <f t="shared" si="68"/>
        <v>751376.71945012338</v>
      </c>
      <c r="L74" s="616">
        <f t="shared" si="69"/>
        <v>2135682.9805498766</v>
      </c>
      <c r="M74" s="617">
        <f t="shared" si="64"/>
        <v>6944015.8394292574</v>
      </c>
    </row>
    <row r="75" spans="5:13" x14ac:dyDescent="0.35">
      <c r="E75" s="515">
        <f t="shared" si="65"/>
        <v>71</v>
      </c>
      <c r="F75" s="331">
        <f t="shared" si="66"/>
        <v>48182</v>
      </c>
      <c r="G75" s="616">
        <f t="shared" si="67"/>
        <v>6944015.8394292574</v>
      </c>
      <c r="H75" s="616">
        <f t="shared" si="61"/>
        <v>41243.71</v>
      </c>
      <c r="I75" s="616">
        <f t="shared" si="62"/>
        <v>12392.554872234708</v>
      </c>
      <c r="J75" s="616">
        <f t="shared" si="63"/>
        <v>28851.155127765291</v>
      </c>
      <c r="K75" s="616">
        <f t="shared" si="68"/>
        <v>763769.27432235808</v>
      </c>
      <c r="L75" s="616">
        <f t="shared" si="69"/>
        <v>2164534.1356776417</v>
      </c>
      <c r="M75" s="617">
        <f t="shared" si="64"/>
        <v>6931623.2845570231</v>
      </c>
    </row>
    <row r="76" spans="5:13" x14ac:dyDescent="0.35">
      <c r="E76" s="515">
        <f t="shared" si="65"/>
        <v>72</v>
      </c>
      <c r="F76" s="331">
        <f t="shared" si="66"/>
        <v>48213</v>
      </c>
      <c r="G76" s="616">
        <f t="shared" si="67"/>
        <v>6931623.2845570231</v>
      </c>
      <c r="H76" s="616">
        <f t="shared" si="61"/>
        <v>41243.71</v>
      </c>
      <c r="I76" s="616">
        <f t="shared" si="62"/>
        <v>12444.043741401452</v>
      </c>
      <c r="J76" s="616">
        <f t="shared" si="63"/>
        <v>28799.666258598547</v>
      </c>
      <c r="K76" s="616">
        <f t="shared" si="68"/>
        <v>776213.31806375948</v>
      </c>
      <c r="L76" s="616">
        <f t="shared" si="69"/>
        <v>2193333.8019362404</v>
      </c>
      <c r="M76" s="617">
        <f t="shared" si="64"/>
        <v>6919179.2408156218</v>
      </c>
    </row>
    <row r="77" spans="5:13" x14ac:dyDescent="0.35">
      <c r="E77" s="515">
        <f t="shared" si="65"/>
        <v>73</v>
      </c>
      <c r="F77" s="331">
        <f t="shared" si="66"/>
        <v>48244</v>
      </c>
      <c r="G77" s="616">
        <f t="shared" si="67"/>
        <v>6919179.2408156218</v>
      </c>
      <c r="H77" s="616">
        <f t="shared" si="61"/>
        <v>41243.71</v>
      </c>
      <c r="I77" s="616">
        <f t="shared" si="62"/>
        <v>12495.746537694235</v>
      </c>
      <c r="J77" s="616">
        <f t="shared" si="63"/>
        <v>28747.963462305765</v>
      </c>
      <c r="K77" s="616">
        <f t="shared" si="68"/>
        <v>788709.06460145372</v>
      </c>
      <c r="L77" s="616">
        <f t="shared" si="69"/>
        <v>2222081.7653985461</v>
      </c>
      <c r="M77" s="617">
        <f t="shared" si="64"/>
        <v>6906683.494277928</v>
      </c>
    </row>
    <row r="78" spans="5:13" x14ac:dyDescent="0.35">
      <c r="E78" s="515">
        <f t="shared" si="65"/>
        <v>74</v>
      </c>
      <c r="F78" s="331">
        <f t="shared" si="66"/>
        <v>48273</v>
      </c>
      <c r="G78" s="616">
        <f t="shared" si="67"/>
        <v>6906683.494277928</v>
      </c>
      <c r="H78" s="616">
        <f t="shared" si="61"/>
        <v>41243.71</v>
      </c>
      <c r="I78" s="616">
        <f t="shared" si="62"/>
        <v>12547.664149942346</v>
      </c>
      <c r="J78" s="616">
        <f t="shared" si="63"/>
        <v>28696.045850057653</v>
      </c>
      <c r="K78" s="616">
        <f t="shared" si="68"/>
        <v>801256.72875139606</v>
      </c>
      <c r="L78" s="616">
        <f t="shared" si="69"/>
        <v>2250777.8112486037</v>
      </c>
      <c r="M78" s="617">
        <f t="shared" si="64"/>
        <v>6894135.8301279852</v>
      </c>
    </row>
    <row r="79" spans="5:13" x14ac:dyDescent="0.35">
      <c r="E79" s="515">
        <f t="shared" si="65"/>
        <v>75</v>
      </c>
      <c r="F79" s="331">
        <f t="shared" si="66"/>
        <v>48304</v>
      </c>
      <c r="G79" s="616">
        <f t="shared" si="67"/>
        <v>6894135.8301279852</v>
      </c>
      <c r="H79" s="616">
        <f t="shared" si="61"/>
        <v>41243.71</v>
      </c>
      <c r="I79" s="616">
        <f t="shared" si="62"/>
        <v>12599.797470668018</v>
      </c>
      <c r="J79" s="616">
        <f t="shared" si="63"/>
        <v>28643.912529331981</v>
      </c>
      <c r="K79" s="616">
        <f t="shared" si="68"/>
        <v>813856.52622206404</v>
      </c>
      <c r="L79" s="616">
        <f t="shared" si="69"/>
        <v>2279421.7237779358</v>
      </c>
      <c r="M79" s="617">
        <f t="shared" si="64"/>
        <v>6881536.0326573169</v>
      </c>
    </row>
    <row r="80" spans="5:13" x14ac:dyDescent="0.35">
      <c r="E80" s="515">
        <f t="shared" si="65"/>
        <v>76</v>
      </c>
      <c r="F80" s="331">
        <f t="shared" si="66"/>
        <v>48334</v>
      </c>
      <c r="G80" s="616">
        <f t="shared" si="67"/>
        <v>6881536.0326573169</v>
      </c>
      <c r="H80" s="616">
        <f t="shared" si="61"/>
        <v>41243.71</v>
      </c>
      <c r="I80" s="616">
        <f t="shared" si="62"/>
        <v>12652.147396101733</v>
      </c>
      <c r="J80" s="616">
        <f t="shared" si="63"/>
        <v>28591.562603898266</v>
      </c>
      <c r="K80" s="616">
        <f t="shared" si="68"/>
        <v>826508.67361816578</v>
      </c>
      <c r="L80" s="616">
        <f t="shared" si="69"/>
        <v>2308013.2863818342</v>
      </c>
      <c r="M80" s="617">
        <f t="shared" si="64"/>
        <v>6868883.8852612153</v>
      </c>
    </row>
    <row r="81" spans="5:13" x14ac:dyDescent="0.35">
      <c r="E81" s="515">
        <f t="shared" si="65"/>
        <v>77</v>
      </c>
      <c r="F81" s="331">
        <f t="shared" si="66"/>
        <v>48365</v>
      </c>
      <c r="G81" s="616">
        <f t="shared" si="67"/>
        <v>6868883.8852612153</v>
      </c>
      <c r="H81" s="616">
        <f t="shared" si="61"/>
        <v>41243.71</v>
      </c>
      <c r="I81" s="616">
        <f t="shared" si="62"/>
        <v>12704.714826197673</v>
      </c>
      <c r="J81" s="616">
        <f t="shared" si="63"/>
        <v>28538.995173802326</v>
      </c>
      <c r="K81" s="616">
        <f t="shared" si="68"/>
        <v>839213.38844436349</v>
      </c>
      <c r="L81" s="616">
        <f t="shared" si="69"/>
        <v>2336552.2815556363</v>
      </c>
      <c r="M81" s="617">
        <f t="shared" si="64"/>
        <v>6856179.1704350179</v>
      </c>
    </row>
    <row r="82" spans="5:13" x14ac:dyDescent="0.35">
      <c r="E82" s="515">
        <f t="shared" si="65"/>
        <v>78</v>
      </c>
      <c r="F82" s="331">
        <f t="shared" si="66"/>
        <v>48395</v>
      </c>
      <c r="G82" s="616">
        <f t="shared" si="67"/>
        <v>6856179.1704350179</v>
      </c>
      <c r="H82" s="616">
        <f t="shared" si="61"/>
        <v>41243.71</v>
      </c>
      <c r="I82" s="616">
        <f t="shared" si="62"/>
        <v>12757.500664649153</v>
      </c>
      <c r="J82" s="616">
        <f t="shared" si="63"/>
        <v>28486.209335350846</v>
      </c>
      <c r="K82" s="616">
        <f t="shared" si="68"/>
        <v>851970.88910901267</v>
      </c>
      <c r="L82" s="616">
        <f t="shared" si="69"/>
        <v>2365038.4908909872</v>
      </c>
      <c r="M82" s="617">
        <f t="shared" si="64"/>
        <v>6843421.6697703684</v>
      </c>
    </row>
    <row r="83" spans="5:13" x14ac:dyDescent="0.35">
      <c r="E83" s="515">
        <f t="shared" si="65"/>
        <v>79</v>
      </c>
      <c r="F83" s="331">
        <f t="shared" si="66"/>
        <v>48426</v>
      </c>
      <c r="G83" s="616">
        <f t="shared" si="67"/>
        <v>6843421.6697703684</v>
      </c>
      <c r="H83" s="616">
        <f t="shared" si="61"/>
        <v>41243.71</v>
      </c>
      <c r="I83" s="616">
        <f t="shared" si="62"/>
        <v>12810.505818904192</v>
      </c>
      <c r="J83" s="616">
        <f t="shared" si="63"/>
        <v>28433.204181095807</v>
      </c>
      <c r="K83" s="616">
        <f t="shared" si="68"/>
        <v>864781.39492791682</v>
      </c>
      <c r="L83" s="616">
        <f t="shared" si="69"/>
        <v>2393471.6950720828</v>
      </c>
      <c r="M83" s="617">
        <f t="shared" si="64"/>
        <v>6830611.163951464</v>
      </c>
    </row>
    <row r="84" spans="5:13" x14ac:dyDescent="0.35">
      <c r="E84" s="515">
        <f t="shared" si="65"/>
        <v>80</v>
      </c>
      <c r="F84" s="331">
        <f t="shared" si="66"/>
        <v>48457</v>
      </c>
      <c r="G84" s="616">
        <f t="shared" si="67"/>
        <v>6830611.163951464</v>
      </c>
      <c r="H84" s="616">
        <f t="shared" si="61"/>
        <v>41243.71</v>
      </c>
      <c r="I84" s="616">
        <f t="shared" si="62"/>
        <v>12863.731200181075</v>
      </c>
      <c r="J84" s="616">
        <f t="shared" si="63"/>
        <v>28379.978799818924</v>
      </c>
      <c r="K84" s="616">
        <f t="shared" si="68"/>
        <v>877645.12612809788</v>
      </c>
      <c r="L84" s="616">
        <f t="shared" si="69"/>
        <v>2421851.6738719018</v>
      </c>
      <c r="M84" s="617">
        <f t="shared" si="64"/>
        <v>6817747.432751283</v>
      </c>
    </row>
    <row r="85" spans="5:13" x14ac:dyDescent="0.35">
      <c r="E85" s="515">
        <f t="shared" si="65"/>
        <v>81</v>
      </c>
      <c r="F85" s="331">
        <f t="shared" si="66"/>
        <v>48487</v>
      </c>
      <c r="G85" s="616">
        <f t="shared" si="67"/>
        <v>6817747.432751283</v>
      </c>
      <c r="H85" s="616">
        <f t="shared" si="61"/>
        <v>41243.71</v>
      </c>
      <c r="I85" s="616">
        <f t="shared" si="62"/>
        <v>12917.177723484052</v>
      </c>
      <c r="J85" s="616">
        <f t="shared" si="63"/>
        <v>28326.532276515947</v>
      </c>
      <c r="K85" s="616">
        <f t="shared" si="68"/>
        <v>890562.30385158188</v>
      </c>
      <c r="L85" s="616">
        <f t="shared" si="69"/>
        <v>2450178.2061484177</v>
      </c>
      <c r="M85" s="617">
        <f t="shared" si="64"/>
        <v>6804830.2550277989</v>
      </c>
    </row>
    <row r="86" spans="5:13" x14ac:dyDescent="0.35">
      <c r="E86" s="515">
        <f t="shared" si="65"/>
        <v>82</v>
      </c>
      <c r="F86" s="331">
        <f t="shared" si="66"/>
        <v>48518</v>
      </c>
      <c r="G86" s="616">
        <f t="shared" si="67"/>
        <v>6804830.2550277989</v>
      </c>
      <c r="H86" s="616">
        <f t="shared" si="61"/>
        <v>41243.71</v>
      </c>
      <c r="I86" s="616">
        <f t="shared" si="62"/>
        <v>12970.846307619049</v>
      </c>
      <c r="J86" s="616">
        <f t="shared" si="63"/>
        <v>28272.86369238095</v>
      </c>
      <c r="K86" s="616">
        <f t="shared" si="68"/>
        <v>903533.15015920089</v>
      </c>
      <c r="L86" s="616">
        <f t="shared" si="69"/>
        <v>2478451.0698407986</v>
      </c>
      <c r="M86" s="617">
        <f t="shared" si="64"/>
        <v>6791859.4087201795</v>
      </c>
    </row>
    <row r="87" spans="5:13" x14ac:dyDescent="0.35">
      <c r="E87" s="515">
        <f t="shared" si="65"/>
        <v>83</v>
      </c>
      <c r="F87" s="331">
        <f t="shared" si="66"/>
        <v>48548</v>
      </c>
      <c r="G87" s="616">
        <f t="shared" si="67"/>
        <v>6791859.4087201795</v>
      </c>
      <c r="H87" s="616">
        <f t="shared" si="61"/>
        <v>41243.71</v>
      </c>
      <c r="I87" s="616">
        <f t="shared" si="62"/>
        <v>13024.737875209466</v>
      </c>
      <c r="J87" s="616">
        <f t="shared" si="63"/>
        <v>28218.972124790533</v>
      </c>
      <c r="K87" s="616">
        <f t="shared" si="68"/>
        <v>916557.88803441031</v>
      </c>
      <c r="L87" s="616">
        <f t="shared" si="69"/>
        <v>2506670.0419655889</v>
      </c>
      <c r="M87" s="617">
        <f t="shared" si="64"/>
        <v>6778834.6708449703</v>
      </c>
    </row>
    <row r="88" spans="5:13" x14ac:dyDescent="0.35">
      <c r="E88" s="515">
        <f t="shared" si="65"/>
        <v>84</v>
      </c>
      <c r="F88" s="331">
        <f t="shared" si="66"/>
        <v>48579</v>
      </c>
      <c r="G88" s="616">
        <f t="shared" si="67"/>
        <v>6778834.6708449703</v>
      </c>
      <c r="H88" s="616">
        <f t="shared" si="61"/>
        <v>41243.71</v>
      </c>
      <c r="I88" s="616">
        <f t="shared" si="62"/>
        <v>13078.853352712038</v>
      </c>
      <c r="J88" s="616">
        <f t="shared" si="63"/>
        <v>28164.856647287961</v>
      </c>
      <c r="K88" s="616">
        <f t="shared" si="68"/>
        <v>929636.74138712231</v>
      </c>
      <c r="L88" s="616">
        <f t="shared" si="69"/>
        <v>2534834.8986128769</v>
      </c>
      <c r="M88" s="617">
        <f t="shared" si="64"/>
        <v>6765755.8174922578</v>
      </c>
    </row>
    <row r="89" spans="5:13" x14ac:dyDescent="0.35">
      <c r="E89" s="515">
        <f t="shared" si="65"/>
        <v>85</v>
      </c>
      <c r="F89" s="331">
        <f t="shared" si="66"/>
        <v>48610</v>
      </c>
      <c r="G89" s="616">
        <f t="shared" si="67"/>
        <v>6765755.8174922578</v>
      </c>
      <c r="H89" s="616">
        <f t="shared" si="61"/>
        <v>41243.71</v>
      </c>
      <c r="I89" s="616">
        <f t="shared" si="62"/>
        <v>13133.193670432775</v>
      </c>
      <c r="J89" s="616">
        <f t="shared" si="63"/>
        <v>28110.516329567225</v>
      </c>
      <c r="K89" s="616">
        <f t="shared" si="68"/>
        <v>942769.93505755509</v>
      </c>
      <c r="L89" s="616">
        <f t="shared" si="69"/>
        <v>2562945.4149424443</v>
      </c>
      <c r="M89" s="617">
        <f t="shared" si="64"/>
        <v>6752622.6238218248</v>
      </c>
    </row>
    <row r="90" spans="5:13" x14ac:dyDescent="0.35">
      <c r="E90" s="515">
        <f t="shared" si="65"/>
        <v>86</v>
      </c>
      <c r="F90" s="331">
        <f t="shared" si="66"/>
        <v>48638</v>
      </c>
      <c r="G90" s="616">
        <f t="shared" si="67"/>
        <v>6752622.6238218248</v>
      </c>
      <c r="H90" s="616">
        <f t="shared" si="61"/>
        <v>41243.71</v>
      </c>
      <c r="I90" s="616">
        <f t="shared" si="62"/>
        <v>13187.759762542926</v>
      </c>
      <c r="J90" s="616">
        <f t="shared" si="63"/>
        <v>28055.950237457073</v>
      </c>
      <c r="K90" s="616">
        <f t="shared" si="68"/>
        <v>955957.694820098</v>
      </c>
      <c r="L90" s="616">
        <f t="shared" si="69"/>
        <v>2591001.3651799015</v>
      </c>
      <c r="M90" s="617">
        <f t="shared" si="64"/>
        <v>6739434.8640592815</v>
      </c>
    </row>
    <row r="91" spans="5:13" x14ac:dyDescent="0.35">
      <c r="E91" s="515">
        <f t="shared" si="65"/>
        <v>87</v>
      </c>
      <c r="F91" s="331">
        <f t="shared" si="66"/>
        <v>48669</v>
      </c>
      <c r="G91" s="616">
        <f t="shared" si="67"/>
        <v>6739434.8640592815</v>
      </c>
      <c r="H91" s="616">
        <f t="shared" si="61"/>
        <v>41243.71</v>
      </c>
      <c r="I91" s="616">
        <f t="shared" si="62"/>
        <v>13242.552567095066</v>
      </c>
      <c r="J91" s="616">
        <f t="shared" si="63"/>
        <v>28001.157432904933</v>
      </c>
      <c r="K91" s="616">
        <f t="shared" si="68"/>
        <v>969200.24738719303</v>
      </c>
      <c r="L91" s="616">
        <f t="shared" si="69"/>
        <v>2619002.5226128064</v>
      </c>
      <c r="M91" s="617">
        <f t="shared" si="64"/>
        <v>6726192.311492186</v>
      </c>
    </row>
    <row r="92" spans="5:13" x14ac:dyDescent="0.35">
      <c r="E92" s="515">
        <f t="shared" si="65"/>
        <v>88</v>
      </c>
      <c r="F92" s="331">
        <f t="shared" si="66"/>
        <v>48699</v>
      </c>
      <c r="G92" s="616">
        <f t="shared" si="67"/>
        <v>6726192.311492186</v>
      </c>
      <c r="H92" s="616">
        <f t="shared" si="61"/>
        <v>41243.71</v>
      </c>
      <c r="I92" s="616">
        <f t="shared" si="62"/>
        <v>13297.573026039219</v>
      </c>
      <c r="J92" s="616">
        <f t="shared" si="63"/>
        <v>27946.13697396078</v>
      </c>
      <c r="K92" s="616">
        <f t="shared" si="68"/>
        <v>982497.8204132322</v>
      </c>
      <c r="L92" s="616">
        <f t="shared" si="69"/>
        <v>2646948.6595867672</v>
      </c>
      <c r="M92" s="617">
        <f t="shared" si="64"/>
        <v>6712894.7384661464</v>
      </c>
    </row>
    <row r="93" spans="5:13" x14ac:dyDescent="0.35">
      <c r="E93" s="515">
        <f t="shared" si="65"/>
        <v>89</v>
      </c>
      <c r="F93" s="331">
        <f t="shared" si="66"/>
        <v>48730</v>
      </c>
      <c r="G93" s="616">
        <f t="shared" si="67"/>
        <v>6712894.7384661464</v>
      </c>
      <c r="H93" s="616">
        <f t="shared" si="61"/>
        <v>41243.71</v>
      </c>
      <c r="I93" s="616">
        <f t="shared" si="62"/>
        <v>13352.822085239033</v>
      </c>
      <c r="J93" s="616">
        <f t="shared" si="63"/>
        <v>27890.887914760966</v>
      </c>
      <c r="K93" s="616">
        <f t="shared" si="68"/>
        <v>995850.64249847119</v>
      </c>
      <c r="L93" s="616">
        <f t="shared" si="69"/>
        <v>2674839.5475015282</v>
      </c>
      <c r="M93" s="617">
        <f t="shared" si="64"/>
        <v>6699541.9163809074</v>
      </c>
    </row>
    <row r="94" spans="5:13" x14ac:dyDescent="0.35">
      <c r="E94" s="515">
        <f t="shared" si="65"/>
        <v>90</v>
      </c>
      <c r="F94" s="331">
        <f t="shared" si="66"/>
        <v>48760</v>
      </c>
      <c r="G94" s="616">
        <f t="shared" si="67"/>
        <v>6699541.9163809074</v>
      </c>
      <c r="H94" s="616">
        <f t="shared" si="61"/>
        <v>41243.71</v>
      </c>
      <c r="I94" s="616">
        <f t="shared" si="62"/>
        <v>13408.300694488047</v>
      </c>
      <c r="J94" s="616">
        <f t="shared" si="63"/>
        <v>27835.409305511952</v>
      </c>
      <c r="K94" s="616">
        <f t="shared" si="68"/>
        <v>1009258.9431929593</v>
      </c>
      <c r="L94" s="616">
        <f t="shared" si="69"/>
        <v>2702674.9568070401</v>
      </c>
      <c r="M94" s="617">
        <f t="shared" si="64"/>
        <v>6686133.6156864194</v>
      </c>
    </row>
    <row r="95" spans="5:13" x14ac:dyDescent="0.35">
      <c r="E95" s="515">
        <f t="shared" si="65"/>
        <v>91</v>
      </c>
      <c r="F95" s="331">
        <f t="shared" si="66"/>
        <v>48791</v>
      </c>
      <c r="G95" s="616">
        <f t="shared" si="67"/>
        <v>6686133.6156864194</v>
      </c>
      <c r="H95" s="616">
        <f t="shared" si="61"/>
        <v>41243.71</v>
      </c>
      <c r="I95" s="616">
        <f t="shared" si="62"/>
        <v>13464.009807526043</v>
      </c>
      <c r="J95" s="616">
        <f t="shared" si="63"/>
        <v>27779.700192473956</v>
      </c>
      <c r="K95" s="616">
        <f t="shared" si="68"/>
        <v>1022722.9530004853</v>
      </c>
      <c r="L95" s="616">
        <f t="shared" si="69"/>
        <v>2730454.656999514</v>
      </c>
      <c r="M95" s="617">
        <f t="shared" si="64"/>
        <v>6672669.6058788933</v>
      </c>
    </row>
    <row r="96" spans="5:13" x14ac:dyDescent="0.35">
      <c r="E96" s="515">
        <f t="shared" si="65"/>
        <v>92</v>
      </c>
      <c r="F96" s="331">
        <f t="shared" si="66"/>
        <v>48822</v>
      </c>
      <c r="G96" s="616">
        <f t="shared" si="67"/>
        <v>6672669.6058788933</v>
      </c>
      <c r="H96" s="616">
        <f t="shared" si="61"/>
        <v>41243.71</v>
      </c>
      <c r="I96" s="616">
        <f t="shared" si="62"/>
        <v>13519.950382055409</v>
      </c>
      <c r="J96" s="616">
        <f t="shared" si="63"/>
        <v>27723.75961794459</v>
      </c>
      <c r="K96" s="616">
        <f t="shared" si="68"/>
        <v>1036242.9033825407</v>
      </c>
      <c r="L96" s="616">
        <f t="shared" si="69"/>
        <v>2758178.4166174587</v>
      </c>
      <c r="M96" s="617">
        <f t="shared" si="64"/>
        <v>6659149.6554968376</v>
      </c>
    </row>
    <row r="97" spans="5:13" x14ac:dyDescent="0.35">
      <c r="E97" s="515">
        <f t="shared" si="65"/>
        <v>93</v>
      </c>
      <c r="F97" s="331">
        <f t="shared" si="66"/>
        <v>48852</v>
      </c>
      <c r="G97" s="616">
        <f t="shared" si="67"/>
        <v>6659149.6554968376</v>
      </c>
      <c r="H97" s="616">
        <f t="shared" si="61"/>
        <v>41243.71</v>
      </c>
      <c r="I97" s="616">
        <f t="shared" si="62"/>
        <v>13576.123379757621</v>
      </c>
      <c r="J97" s="616">
        <f t="shared" si="63"/>
        <v>27667.586620242379</v>
      </c>
      <c r="K97" s="616">
        <f t="shared" si="68"/>
        <v>1049819.0267622983</v>
      </c>
      <c r="L97" s="616">
        <f t="shared" si="69"/>
        <v>2785846.003237701</v>
      </c>
      <c r="M97" s="617">
        <f t="shared" si="64"/>
        <v>6645573.5321170799</v>
      </c>
    </row>
    <row r="98" spans="5:13" x14ac:dyDescent="0.35">
      <c r="E98" s="515">
        <f t="shared" si="65"/>
        <v>94</v>
      </c>
      <c r="F98" s="331">
        <f t="shared" si="66"/>
        <v>48883</v>
      </c>
      <c r="G98" s="616">
        <f t="shared" si="67"/>
        <v>6645573.5321170799</v>
      </c>
      <c r="H98" s="616">
        <f t="shared" si="61"/>
        <v>41243.71</v>
      </c>
      <c r="I98" s="616">
        <f t="shared" si="62"/>
        <v>13632.529766309766</v>
      </c>
      <c r="J98" s="616">
        <f t="shared" si="63"/>
        <v>27611.180233690233</v>
      </c>
      <c r="K98" s="616">
        <f t="shared" si="68"/>
        <v>1063451.5565286081</v>
      </c>
      <c r="L98" s="616">
        <f t="shared" si="69"/>
        <v>2813457.1834713914</v>
      </c>
      <c r="M98" s="617">
        <f t="shared" si="64"/>
        <v>6631941.0023507699</v>
      </c>
    </row>
    <row r="99" spans="5:13" x14ac:dyDescent="0.35">
      <c r="E99" s="515">
        <f t="shared" si="65"/>
        <v>95</v>
      </c>
      <c r="F99" s="331">
        <f t="shared" si="66"/>
        <v>48913</v>
      </c>
      <c r="G99" s="616">
        <f t="shared" si="67"/>
        <v>6631941.0023507699</v>
      </c>
      <c r="H99" s="616">
        <f t="shared" si="61"/>
        <v>41243.71</v>
      </c>
      <c r="I99" s="616">
        <f t="shared" si="62"/>
        <v>13689.170511401157</v>
      </c>
      <c r="J99" s="616">
        <f t="shared" si="63"/>
        <v>27554.539488598843</v>
      </c>
      <c r="K99" s="616">
        <f t="shared" si="68"/>
        <v>1077140.7270400093</v>
      </c>
      <c r="L99" s="616">
        <f t="shared" si="69"/>
        <v>2841011.7229599901</v>
      </c>
      <c r="M99" s="617">
        <f t="shared" si="64"/>
        <v>6618251.8318393687</v>
      </c>
    </row>
    <row r="100" spans="5:13" x14ac:dyDescent="0.35">
      <c r="E100" s="515">
        <f t="shared" si="65"/>
        <v>96</v>
      </c>
      <c r="F100" s="331">
        <f t="shared" si="66"/>
        <v>48944</v>
      </c>
      <c r="G100" s="616">
        <f t="shared" si="67"/>
        <v>6618251.8318393687</v>
      </c>
      <c r="H100" s="616">
        <f t="shared" si="61"/>
        <v>41243.71</v>
      </c>
      <c r="I100" s="616">
        <f t="shared" si="62"/>
        <v>13746.046588749985</v>
      </c>
      <c r="J100" s="616">
        <f t="shared" si="63"/>
        <v>27497.663411250014</v>
      </c>
      <c r="K100" s="616">
        <f t="shared" si="68"/>
        <v>1090886.7736287594</v>
      </c>
      <c r="L100" s="616">
        <f t="shared" si="69"/>
        <v>2868509.38637124</v>
      </c>
      <c r="M100" s="617">
        <f t="shared" si="64"/>
        <v>6604505.7852506191</v>
      </c>
    </row>
    <row r="101" spans="5:13" x14ac:dyDescent="0.35">
      <c r="E101" s="515">
        <f t="shared" si="65"/>
        <v>97</v>
      </c>
      <c r="F101" s="331">
        <f t="shared" si="66"/>
        <v>48975</v>
      </c>
      <c r="G101" s="616">
        <f t="shared" si="67"/>
        <v>6604505.7852506191</v>
      </c>
      <c r="H101" s="616">
        <f t="shared" si="61"/>
        <v>41243.71</v>
      </c>
      <c r="I101" s="616">
        <f t="shared" si="62"/>
        <v>13803.158976120074</v>
      </c>
      <c r="J101" s="616">
        <f t="shared" si="63"/>
        <v>27440.551023879925</v>
      </c>
      <c r="K101" s="616">
        <f t="shared" si="68"/>
        <v>1104689.9326048796</v>
      </c>
      <c r="L101" s="616">
        <f t="shared" si="69"/>
        <v>2895949.93739512</v>
      </c>
      <c r="M101" s="617">
        <f t="shared" si="64"/>
        <v>6590702.6262744991</v>
      </c>
    </row>
    <row r="102" spans="5:13" x14ac:dyDescent="0.35">
      <c r="E102" s="515">
        <f t="shared" si="65"/>
        <v>98</v>
      </c>
      <c r="F102" s="331">
        <f t="shared" si="66"/>
        <v>49003</v>
      </c>
      <c r="G102" s="616">
        <f t="shared" si="67"/>
        <v>6590702.6262744991</v>
      </c>
      <c r="H102" s="616">
        <f t="shared" si="61"/>
        <v>41243.71</v>
      </c>
      <c r="I102" s="616">
        <f t="shared" si="62"/>
        <v>13860.508655337679</v>
      </c>
      <c r="J102" s="616">
        <f t="shared" si="63"/>
        <v>27383.20134466232</v>
      </c>
      <c r="K102" s="616">
        <f t="shared" si="68"/>
        <v>1118550.4412602172</v>
      </c>
      <c r="L102" s="616">
        <f t="shared" si="69"/>
        <v>2923333.1387397824</v>
      </c>
      <c r="M102" s="617">
        <f t="shared" si="64"/>
        <v>6576842.1176191615</v>
      </c>
    </row>
    <row r="103" spans="5:13" x14ac:dyDescent="0.35">
      <c r="E103" s="515">
        <f t="shared" si="65"/>
        <v>99</v>
      </c>
      <c r="F103" s="331">
        <f t="shared" si="66"/>
        <v>49034</v>
      </c>
      <c r="G103" s="616">
        <f t="shared" si="67"/>
        <v>6576842.1176191615</v>
      </c>
      <c r="H103" s="616">
        <f t="shared" si="61"/>
        <v>41243.71</v>
      </c>
      <c r="I103" s="616">
        <f t="shared" si="62"/>
        <v>13918.096612308374</v>
      </c>
      <c r="J103" s="616">
        <f t="shared" si="63"/>
        <v>27325.613387691625</v>
      </c>
      <c r="K103" s="616">
        <f t="shared" si="68"/>
        <v>1132468.5378725256</v>
      </c>
      <c r="L103" s="616">
        <f t="shared" si="69"/>
        <v>2950658.7521274742</v>
      </c>
      <c r="M103" s="617">
        <f t="shared" si="64"/>
        <v>6562924.0210068533</v>
      </c>
    </row>
    <row r="104" spans="5:13" x14ac:dyDescent="0.35">
      <c r="E104" s="515">
        <f t="shared" si="65"/>
        <v>100</v>
      </c>
      <c r="F104" s="331">
        <f t="shared" si="66"/>
        <v>49064</v>
      </c>
      <c r="G104" s="616">
        <f t="shared" si="67"/>
        <v>6562924.0210068533</v>
      </c>
      <c r="H104" s="616">
        <f t="shared" si="61"/>
        <v>41243.71</v>
      </c>
      <c r="I104" s="616">
        <f t="shared" si="62"/>
        <v>13975.923837033992</v>
      </c>
      <c r="J104" s="616">
        <f t="shared" si="63"/>
        <v>27267.786162966007</v>
      </c>
      <c r="K104" s="616">
        <f t="shared" si="68"/>
        <v>1146444.4617095597</v>
      </c>
      <c r="L104" s="616">
        <f t="shared" si="69"/>
        <v>2977926.5382904401</v>
      </c>
      <c r="M104" s="617">
        <f t="shared" si="64"/>
        <v>6548948.0971698193</v>
      </c>
    </row>
    <row r="105" spans="5:13" x14ac:dyDescent="0.35">
      <c r="E105" s="515">
        <f t="shared" si="65"/>
        <v>101</v>
      </c>
      <c r="F105" s="331">
        <f t="shared" si="66"/>
        <v>49095</v>
      </c>
      <c r="G105" s="616">
        <f t="shared" si="67"/>
        <v>6548948.0971698193</v>
      </c>
      <c r="H105" s="616">
        <f t="shared" si="61"/>
        <v>41243.71</v>
      </c>
      <c r="I105" s="616">
        <f t="shared" si="62"/>
        <v>14033.991323629652</v>
      </c>
      <c r="J105" s="616">
        <f t="shared" si="63"/>
        <v>27209.718676370347</v>
      </c>
      <c r="K105" s="616">
        <f t="shared" si="68"/>
        <v>1160478.4530331893</v>
      </c>
      <c r="L105" s="616">
        <f t="shared" si="69"/>
        <v>3005136.2569668107</v>
      </c>
      <c r="M105" s="617">
        <f t="shared" si="64"/>
        <v>6534914.1058461899</v>
      </c>
    </row>
    <row r="106" spans="5:13" x14ac:dyDescent="0.35">
      <c r="E106" s="515">
        <f t="shared" si="65"/>
        <v>102</v>
      </c>
      <c r="F106" s="331">
        <f t="shared" si="66"/>
        <v>49125</v>
      </c>
      <c r="G106" s="616">
        <f t="shared" si="67"/>
        <v>6534914.1058461899</v>
      </c>
      <c r="H106" s="616">
        <f t="shared" si="61"/>
        <v>41243.71</v>
      </c>
      <c r="I106" s="616">
        <f t="shared" si="62"/>
        <v>14092.300070340836</v>
      </c>
      <c r="J106" s="616">
        <f t="shared" si="63"/>
        <v>27151.409929659163</v>
      </c>
      <c r="K106" s="616">
        <f t="shared" si="68"/>
        <v>1174570.75310353</v>
      </c>
      <c r="L106" s="616">
        <f t="shared" si="69"/>
        <v>3032287.6668964699</v>
      </c>
      <c r="M106" s="617">
        <f t="shared" si="64"/>
        <v>6520821.8057758491</v>
      </c>
    </row>
    <row r="107" spans="5:13" x14ac:dyDescent="0.35">
      <c r="E107" s="515">
        <f t="shared" si="65"/>
        <v>103</v>
      </c>
      <c r="F107" s="331">
        <f t="shared" si="66"/>
        <v>49156</v>
      </c>
      <c r="G107" s="616">
        <f t="shared" si="67"/>
        <v>6520821.8057758491</v>
      </c>
      <c r="H107" s="616">
        <f t="shared" si="61"/>
        <v>41243.71</v>
      </c>
      <c r="I107" s="616">
        <f t="shared" si="62"/>
        <v>14150.851079560573</v>
      </c>
      <c r="J107" s="616">
        <f t="shared" si="63"/>
        <v>27092.858920439427</v>
      </c>
      <c r="K107" s="616">
        <f t="shared" si="68"/>
        <v>1188721.6041830906</v>
      </c>
      <c r="L107" s="616">
        <f t="shared" si="69"/>
        <v>3059380.5258169095</v>
      </c>
      <c r="M107" s="617">
        <f t="shared" si="64"/>
        <v>6506670.9546962883</v>
      </c>
    </row>
    <row r="108" spans="5:13" x14ac:dyDescent="0.35">
      <c r="E108" s="515">
        <f t="shared" si="65"/>
        <v>104</v>
      </c>
      <c r="F108" s="331">
        <f t="shared" si="66"/>
        <v>49187</v>
      </c>
      <c r="G108" s="616">
        <f t="shared" si="67"/>
        <v>6506670.9546962883</v>
      </c>
      <c r="H108" s="616">
        <f t="shared" si="61"/>
        <v>41243.71</v>
      </c>
      <c r="I108" s="616">
        <f t="shared" si="62"/>
        <v>14209.64535784665</v>
      </c>
      <c r="J108" s="616">
        <f t="shared" si="63"/>
        <v>27034.064642153349</v>
      </c>
      <c r="K108" s="616">
        <f t="shared" si="68"/>
        <v>1202931.2495409374</v>
      </c>
      <c r="L108" s="616">
        <f t="shared" si="69"/>
        <v>3086414.5904590627</v>
      </c>
      <c r="M108" s="617">
        <f t="shared" si="64"/>
        <v>6492461.309338442</v>
      </c>
    </row>
    <row r="109" spans="5:13" x14ac:dyDescent="0.35">
      <c r="E109" s="515">
        <f t="shared" si="65"/>
        <v>105</v>
      </c>
      <c r="F109" s="331">
        <f t="shared" si="66"/>
        <v>49217</v>
      </c>
      <c r="G109" s="616">
        <f t="shared" si="67"/>
        <v>6492461.309338442</v>
      </c>
      <c r="H109" s="616">
        <f t="shared" si="61"/>
        <v>41243.71</v>
      </c>
      <c r="I109" s="616">
        <f t="shared" si="62"/>
        <v>14268.683915938913</v>
      </c>
      <c r="J109" s="616">
        <f t="shared" si="63"/>
        <v>26975.026084061086</v>
      </c>
      <c r="K109" s="616">
        <f t="shared" si="68"/>
        <v>1217199.9334568763</v>
      </c>
      <c r="L109" s="616">
        <f t="shared" si="69"/>
        <v>3113389.616543124</v>
      </c>
      <c r="M109" s="617">
        <f t="shared" si="64"/>
        <v>6478192.6254225029</v>
      </c>
    </row>
    <row r="110" spans="5:13" x14ac:dyDescent="0.35">
      <c r="E110" s="515">
        <f t="shared" si="65"/>
        <v>106</v>
      </c>
      <c r="F110" s="331">
        <f t="shared" si="66"/>
        <v>49248</v>
      </c>
      <c r="G110" s="616">
        <f t="shared" si="67"/>
        <v>6478192.6254225029</v>
      </c>
      <c r="H110" s="616">
        <f t="shared" si="61"/>
        <v>41243.71</v>
      </c>
      <c r="I110" s="616">
        <f t="shared" si="62"/>
        <v>14327.967768776674</v>
      </c>
      <c r="J110" s="616">
        <f t="shared" si="63"/>
        <v>26915.742231223325</v>
      </c>
      <c r="K110" s="616">
        <f t="shared" si="68"/>
        <v>1231527.901225653</v>
      </c>
      <c r="L110" s="616">
        <f t="shared" si="69"/>
        <v>3140305.3587743472</v>
      </c>
      <c r="M110" s="617">
        <f t="shared" si="64"/>
        <v>6463864.6576537266</v>
      </c>
    </row>
    <row r="111" spans="5:13" x14ac:dyDescent="0.35">
      <c r="E111" s="515">
        <f t="shared" si="65"/>
        <v>107</v>
      </c>
      <c r="F111" s="331">
        <f t="shared" si="66"/>
        <v>49278</v>
      </c>
      <c r="G111" s="616">
        <f t="shared" si="67"/>
        <v>6463864.6576537266</v>
      </c>
      <c r="H111" s="616">
        <f t="shared" si="61"/>
        <v>41243.71</v>
      </c>
      <c r="I111" s="616">
        <f t="shared" si="62"/>
        <v>14387.497935516123</v>
      </c>
      <c r="J111" s="616">
        <f t="shared" si="63"/>
        <v>26856.212064483876</v>
      </c>
      <c r="K111" s="616">
        <f t="shared" si="68"/>
        <v>1245915.3991611691</v>
      </c>
      <c r="L111" s="616">
        <f t="shared" si="69"/>
        <v>3167161.5708388309</v>
      </c>
      <c r="M111" s="617">
        <f t="shared" si="64"/>
        <v>6449477.1597182108</v>
      </c>
    </row>
    <row r="112" spans="5:13" x14ac:dyDescent="0.35">
      <c r="E112" s="515">
        <f t="shared" si="65"/>
        <v>108</v>
      </c>
      <c r="F112" s="331">
        <f t="shared" si="66"/>
        <v>49309</v>
      </c>
      <c r="G112" s="616">
        <f t="shared" si="67"/>
        <v>6449477.1597182108</v>
      </c>
      <c r="H112" s="616">
        <f t="shared" si="61"/>
        <v>41243.71</v>
      </c>
      <c r="I112" s="616">
        <f t="shared" si="62"/>
        <v>14447.275439547866</v>
      </c>
      <c r="J112" s="616">
        <f t="shared" si="63"/>
        <v>26796.434560452133</v>
      </c>
      <c r="K112" s="616">
        <f t="shared" si="68"/>
        <v>1260362.6746007169</v>
      </c>
      <c r="L112" s="616">
        <f t="shared" si="69"/>
        <v>3193958.005399283</v>
      </c>
      <c r="M112" s="617">
        <f t="shared" si="64"/>
        <v>6435029.8842786625</v>
      </c>
    </row>
    <row r="113" spans="5:13" x14ac:dyDescent="0.35">
      <c r="E113" s="515">
        <f t="shared" si="65"/>
        <v>109</v>
      </c>
      <c r="F113" s="331">
        <f t="shared" si="66"/>
        <v>49340</v>
      </c>
      <c r="G113" s="616">
        <f t="shared" si="67"/>
        <v>6435029.8842786625</v>
      </c>
      <c r="H113" s="616">
        <f t="shared" si="61"/>
        <v>41243.71</v>
      </c>
      <c r="I113" s="616">
        <f t="shared" si="62"/>
        <v>14507.301308514521</v>
      </c>
      <c r="J113" s="616">
        <f t="shared" si="63"/>
        <v>26736.408691485478</v>
      </c>
      <c r="K113" s="616">
        <f t="shared" si="68"/>
        <v>1274869.9759092315</v>
      </c>
      <c r="L113" s="616">
        <f t="shared" si="69"/>
        <v>3220694.4140907684</v>
      </c>
      <c r="M113" s="617">
        <f t="shared" si="64"/>
        <v>6420522.582970148</v>
      </c>
    </row>
    <row r="114" spans="5:13" x14ac:dyDescent="0.35">
      <c r="E114" s="515">
        <f t="shared" si="65"/>
        <v>110</v>
      </c>
      <c r="F114" s="331">
        <f t="shared" si="66"/>
        <v>49368</v>
      </c>
      <c r="G114" s="616">
        <f t="shared" si="67"/>
        <v>6420522.582970148</v>
      </c>
      <c r="H114" s="616">
        <f t="shared" si="61"/>
        <v>41243.71</v>
      </c>
      <c r="I114" s="616">
        <f t="shared" si="62"/>
        <v>14567.57657432837</v>
      </c>
      <c r="J114" s="616">
        <f t="shared" si="63"/>
        <v>26676.133425671629</v>
      </c>
      <c r="K114" s="616">
        <f t="shared" si="68"/>
        <v>1289437.5524835598</v>
      </c>
      <c r="L114" s="616">
        <f t="shared" si="69"/>
        <v>3247370.54751644</v>
      </c>
      <c r="M114" s="617">
        <f t="shared" si="64"/>
        <v>6405955.0063958196</v>
      </c>
    </row>
    <row r="115" spans="5:13" x14ac:dyDescent="0.35">
      <c r="E115" s="515">
        <f t="shared" si="65"/>
        <v>111</v>
      </c>
      <c r="F115" s="331">
        <f t="shared" si="66"/>
        <v>49399</v>
      </c>
      <c r="G115" s="616">
        <f t="shared" si="67"/>
        <v>6405955.0063958196</v>
      </c>
      <c r="H115" s="616">
        <f t="shared" si="61"/>
        <v>41243.71</v>
      </c>
      <c r="I115" s="616">
        <f t="shared" si="62"/>
        <v>14628.102273189117</v>
      </c>
      <c r="J115" s="616">
        <f t="shared" si="63"/>
        <v>26615.607726810882</v>
      </c>
      <c r="K115" s="616">
        <f t="shared" si="68"/>
        <v>1304065.654756749</v>
      </c>
      <c r="L115" s="616">
        <f t="shared" si="69"/>
        <v>3273986.155243251</v>
      </c>
      <c r="M115" s="617">
        <f t="shared" si="64"/>
        <v>6391326.9041226301</v>
      </c>
    </row>
    <row r="116" spans="5:13" x14ac:dyDescent="0.35">
      <c r="E116" s="515">
        <f t="shared" si="65"/>
        <v>112</v>
      </c>
      <c r="F116" s="331">
        <f t="shared" si="66"/>
        <v>49429</v>
      </c>
      <c r="G116" s="616">
        <f t="shared" si="67"/>
        <v>6391326.9041226301</v>
      </c>
      <c r="H116" s="616">
        <f t="shared" si="61"/>
        <v>41243.71</v>
      </c>
      <c r="I116" s="616">
        <f t="shared" si="62"/>
        <v>14688.879445601688</v>
      </c>
      <c r="J116" s="616">
        <f t="shared" si="63"/>
        <v>26554.830554398312</v>
      </c>
      <c r="K116" s="616">
        <f t="shared" si="68"/>
        <v>1318754.5342023508</v>
      </c>
      <c r="L116" s="616">
        <f t="shared" si="69"/>
        <v>3300540.9857976492</v>
      </c>
      <c r="M116" s="617">
        <f t="shared" si="64"/>
        <v>6376638.0246770289</v>
      </c>
    </row>
    <row r="117" spans="5:13" x14ac:dyDescent="0.35">
      <c r="E117" s="515">
        <f t="shared" si="65"/>
        <v>113</v>
      </c>
      <c r="F117" s="331">
        <f t="shared" si="66"/>
        <v>49460</v>
      </c>
      <c r="G117" s="616">
        <f t="shared" si="67"/>
        <v>6376638.0246770289</v>
      </c>
      <c r="H117" s="616">
        <f t="shared" si="61"/>
        <v>41243.71</v>
      </c>
      <c r="I117" s="616">
        <f t="shared" si="62"/>
        <v>14749.909136394115</v>
      </c>
      <c r="J117" s="616">
        <f t="shared" si="63"/>
        <v>26493.800863605884</v>
      </c>
      <c r="K117" s="616">
        <f t="shared" si="68"/>
        <v>1333504.4433387448</v>
      </c>
      <c r="L117" s="616">
        <f t="shared" si="69"/>
        <v>3327034.7866612552</v>
      </c>
      <c r="M117" s="617">
        <f t="shared" si="64"/>
        <v>6361888.1155406348</v>
      </c>
    </row>
    <row r="118" spans="5:13" x14ac:dyDescent="0.35">
      <c r="E118" s="515">
        <f t="shared" si="65"/>
        <v>114</v>
      </c>
      <c r="F118" s="331">
        <f t="shared" si="66"/>
        <v>49490</v>
      </c>
      <c r="G118" s="616">
        <f t="shared" si="67"/>
        <v>6361888.1155406348</v>
      </c>
      <c r="H118" s="616">
        <f t="shared" si="61"/>
        <v>41243.71</v>
      </c>
      <c r="I118" s="616">
        <f t="shared" si="62"/>
        <v>14811.192394735517</v>
      </c>
      <c r="J118" s="616">
        <f t="shared" si="63"/>
        <v>26432.517605264482</v>
      </c>
      <c r="K118" s="616">
        <f t="shared" si="68"/>
        <v>1348315.6357334803</v>
      </c>
      <c r="L118" s="616">
        <f t="shared" si="69"/>
        <v>3353467.3042665198</v>
      </c>
      <c r="M118" s="617">
        <f t="shared" si="64"/>
        <v>6347076.9231458995</v>
      </c>
    </row>
    <row r="119" spans="5:13" x14ac:dyDescent="0.35">
      <c r="E119" s="515">
        <f t="shared" si="65"/>
        <v>115</v>
      </c>
      <c r="F119" s="331">
        <f t="shared" si="66"/>
        <v>49521</v>
      </c>
      <c r="G119" s="616">
        <f t="shared" si="67"/>
        <v>6347076.9231458995</v>
      </c>
      <c r="H119" s="616">
        <f t="shared" si="61"/>
        <v>41243.71</v>
      </c>
      <c r="I119" s="616">
        <f t="shared" si="62"/>
        <v>14872.730274154124</v>
      </c>
      <c r="J119" s="616">
        <f t="shared" si="63"/>
        <v>26370.979725845875</v>
      </c>
      <c r="K119" s="616">
        <f t="shared" si="68"/>
        <v>1363188.3660076344</v>
      </c>
      <c r="L119" s="616">
        <f t="shared" si="69"/>
        <v>3379838.2839923659</v>
      </c>
      <c r="M119" s="617">
        <f t="shared" si="64"/>
        <v>6332204.1928717457</v>
      </c>
    </row>
    <row r="120" spans="5:13" x14ac:dyDescent="0.35">
      <c r="E120" s="515">
        <f t="shared" si="65"/>
        <v>116</v>
      </c>
      <c r="F120" s="331">
        <f t="shared" si="66"/>
        <v>49552</v>
      </c>
      <c r="G120" s="616">
        <f t="shared" si="67"/>
        <v>6332204.1928717457</v>
      </c>
      <c r="H120" s="616">
        <f t="shared" si="61"/>
        <v>41243.71</v>
      </c>
      <c r="I120" s="616">
        <f t="shared" si="62"/>
        <v>14934.52383255538</v>
      </c>
      <c r="J120" s="616">
        <f t="shared" si="63"/>
        <v>26309.186167444619</v>
      </c>
      <c r="K120" s="616">
        <f t="shared" si="68"/>
        <v>1378122.8898401898</v>
      </c>
      <c r="L120" s="616">
        <f t="shared" si="69"/>
        <v>3406147.4701598105</v>
      </c>
      <c r="M120" s="617">
        <f t="shared" si="64"/>
        <v>6317269.6690391907</v>
      </c>
    </row>
    <row r="121" spans="5:13" x14ac:dyDescent="0.35">
      <c r="E121" s="515">
        <f t="shared" si="65"/>
        <v>117</v>
      </c>
      <c r="F121" s="331">
        <f t="shared" si="66"/>
        <v>49582</v>
      </c>
      <c r="G121" s="616">
        <f t="shared" si="67"/>
        <v>6317269.6690391907</v>
      </c>
      <c r="H121" s="616">
        <f t="shared" si="61"/>
        <v>41243.71</v>
      </c>
      <c r="I121" s="616">
        <f t="shared" si="62"/>
        <v>14996.574132240148</v>
      </c>
      <c r="J121" s="616">
        <f t="shared" si="63"/>
        <v>26247.135867759851</v>
      </c>
      <c r="K121" s="616">
        <f t="shared" si="68"/>
        <v>1393119.46397243</v>
      </c>
      <c r="L121" s="616">
        <f t="shared" si="69"/>
        <v>3432394.6060275706</v>
      </c>
      <c r="M121" s="617">
        <f t="shared" si="64"/>
        <v>6302273.0949069504</v>
      </c>
    </row>
    <row r="122" spans="5:13" x14ac:dyDescent="0.35">
      <c r="E122" s="515">
        <f t="shared" si="65"/>
        <v>118</v>
      </c>
      <c r="F122" s="331">
        <f t="shared" si="66"/>
        <v>49613</v>
      </c>
      <c r="G122" s="616">
        <f t="shared" si="67"/>
        <v>6302273.0949069504</v>
      </c>
      <c r="H122" s="616">
        <f t="shared" si="61"/>
        <v>41243.71</v>
      </c>
      <c r="I122" s="616">
        <f t="shared" si="62"/>
        <v>15058.882239922958</v>
      </c>
      <c r="J122" s="616">
        <f t="shared" si="63"/>
        <v>26184.827760077042</v>
      </c>
      <c r="K122" s="616">
        <f t="shared" si="68"/>
        <v>1408178.3462123529</v>
      </c>
      <c r="L122" s="616">
        <f t="shared" si="69"/>
        <v>3458579.4337876476</v>
      </c>
      <c r="M122" s="617">
        <f t="shared" si="64"/>
        <v>6287214.2126670275</v>
      </c>
    </row>
    <row r="123" spans="5:13" x14ac:dyDescent="0.35">
      <c r="E123" s="515">
        <f t="shared" si="65"/>
        <v>119</v>
      </c>
      <c r="F123" s="331">
        <f t="shared" si="66"/>
        <v>49643</v>
      </c>
      <c r="G123" s="616">
        <f t="shared" si="67"/>
        <v>6287214.2126670275</v>
      </c>
      <c r="H123" s="616">
        <f t="shared" si="61"/>
        <v>41243.71</v>
      </c>
      <c r="I123" s="616">
        <f t="shared" si="62"/>
        <v>15121.449226750348</v>
      </c>
      <c r="J123" s="616">
        <f t="shared" si="63"/>
        <v>26122.260773249651</v>
      </c>
      <c r="K123" s="616">
        <f t="shared" si="68"/>
        <v>1423299.7954391032</v>
      </c>
      <c r="L123" s="616">
        <f t="shared" si="69"/>
        <v>3484701.6945608971</v>
      </c>
      <c r="M123" s="617">
        <f t="shared" si="64"/>
        <v>6272092.7634402774</v>
      </c>
    </row>
    <row r="124" spans="5:13" x14ac:dyDescent="0.35">
      <c r="E124" s="515">
        <f t="shared" si="65"/>
        <v>120</v>
      </c>
      <c r="F124" s="331">
        <f t="shared" si="66"/>
        <v>49674</v>
      </c>
      <c r="G124" s="616">
        <f t="shared" si="67"/>
        <v>6272092.7634402774</v>
      </c>
      <c r="H124" s="616">
        <f t="shared" si="61"/>
        <v>41243.71</v>
      </c>
      <c r="I124" s="616">
        <f t="shared" si="62"/>
        <v>15184.276168319284</v>
      </c>
      <c r="J124" s="616">
        <f t="shared" si="63"/>
        <v>26059.433831680715</v>
      </c>
      <c r="K124" s="616">
        <f t="shared" si="68"/>
        <v>1438484.0716074225</v>
      </c>
      <c r="L124" s="616">
        <f t="shared" si="69"/>
        <v>3510761.1283925776</v>
      </c>
      <c r="M124" s="617">
        <f t="shared" si="64"/>
        <v>6256908.487271958</v>
      </c>
    </row>
    <row r="125" spans="5:13" x14ac:dyDescent="0.35">
      <c r="E125" s="515">
        <f t="shared" si="65"/>
        <v>121</v>
      </c>
      <c r="F125" s="331">
        <f t="shared" si="66"/>
        <v>49705</v>
      </c>
      <c r="G125" s="616">
        <f t="shared" si="67"/>
        <v>6256908.487271958</v>
      </c>
      <c r="H125" s="616">
        <f t="shared" si="61"/>
        <v>41243.71</v>
      </c>
      <c r="I125" s="616">
        <f t="shared" si="62"/>
        <v>15247.36414469565</v>
      </c>
      <c r="J125" s="616">
        <f t="shared" si="63"/>
        <v>25996.345855304349</v>
      </c>
      <c r="K125" s="616">
        <f t="shared" si="68"/>
        <v>1453731.4357521182</v>
      </c>
      <c r="L125" s="616">
        <f t="shared" si="69"/>
        <v>3536757.4742478821</v>
      </c>
      <c r="M125" s="617">
        <f t="shared" si="64"/>
        <v>6241661.1231272621</v>
      </c>
    </row>
    <row r="126" spans="5:13" x14ac:dyDescent="0.35">
      <c r="E126" s="515">
        <f t="shared" si="65"/>
        <v>122</v>
      </c>
      <c r="F126" s="331">
        <f t="shared" si="66"/>
        <v>49734</v>
      </c>
      <c r="G126" s="616">
        <f t="shared" si="67"/>
        <v>6241661.1231272621</v>
      </c>
      <c r="H126" s="616">
        <f t="shared" si="61"/>
        <v>41243.71</v>
      </c>
      <c r="I126" s="616">
        <f t="shared" si="62"/>
        <v>15310.714240432801</v>
      </c>
      <c r="J126" s="616">
        <f t="shared" si="63"/>
        <v>25932.995759567199</v>
      </c>
      <c r="K126" s="616">
        <f t="shared" si="68"/>
        <v>1469042.149992551</v>
      </c>
      <c r="L126" s="616">
        <f t="shared" si="69"/>
        <v>3562690.4700074494</v>
      </c>
      <c r="M126" s="617">
        <f t="shared" si="64"/>
        <v>6226350.4088868294</v>
      </c>
    </row>
    <row r="127" spans="5:13" x14ac:dyDescent="0.35">
      <c r="E127" s="515">
        <f t="shared" si="65"/>
        <v>123</v>
      </c>
      <c r="F127" s="331">
        <f t="shared" si="66"/>
        <v>49765</v>
      </c>
      <c r="G127" s="616">
        <f t="shared" si="67"/>
        <v>6226350.4088868294</v>
      </c>
      <c r="H127" s="616">
        <f t="shared" si="61"/>
        <v>41243.71</v>
      </c>
      <c r="I127" s="616">
        <f t="shared" si="62"/>
        <v>15374.327544590229</v>
      </c>
      <c r="J127" s="616">
        <f t="shared" si="63"/>
        <v>25869.38245540977</v>
      </c>
      <c r="K127" s="616">
        <f t="shared" si="68"/>
        <v>1484416.4775371412</v>
      </c>
      <c r="L127" s="616">
        <f t="shared" si="69"/>
        <v>3588559.8524628594</v>
      </c>
      <c r="M127" s="617">
        <f t="shared" si="64"/>
        <v>6210976.0813422389</v>
      </c>
    </row>
    <row r="128" spans="5:13" x14ac:dyDescent="0.35">
      <c r="E128" s="515">
        <f t="shared" si="65"/>
        <v>124</v>
      </c>
      <c r="F128" s="331">
        <f t="shared" si="66"/>
        <v>49795</v>
      </c>
      <c r="G128" s="616">
        <f t="shared" si="67"/>
        <v>6210976.0813422389</v>
      </c>
      <c r="H128" s="616">
        <f t="shared" si="61"/>
        <v>41243.71</v>
      </c>
      <c r="I128" s="616">
        <f t="shared" si="62"/>
        <v>15438.205150752274</v>
      </c>
      <c r="J128" s="616">
        <f t="shared" si="63"/>
        <v>25805.504849247725</v>
      </c>
      <c r="K128" s="616">
        <f t="shared" si="68"/>
        <v>1499854.6826878935</v>
      </c>
      <c r="L128" s="616">
        <f t="shared" si="69"/>
        <v>3614365.357312107</v>
      </c>
      <c r="M128" s="617">
        <f t="shared" si="64"/>
        <v>6195537.8761914866</v>
      </c>
    </row>
    <row r="129" spans="5:13" x14ac:dyDescent="0.35">
      <c r="E129" s="515">
        <f t="shared" si="65"/>
        <v>125</v>
      </c>
      <c r="F129" s="331">
        <f t="shared" si="66"/>
        <v>49826</v>
      </c>
      <c r="G129" s="616">
        <f t="shared" si="67"/>
        <v>6195537.8761914866</v>
      </c>
      <c r="H129" s="616">
        <f t="shared" si="61"/>
        <v>41243.71</v>
      </c>
      <c r="I129" s="616">
        <f t="shared" si="62"/>
        <v>15502.348157046919</v>
      </c>
      <c r="J129" s="616">
        <f t="shared" si="63"/>
        <v>25741.36184295308</v>
      </c>
      <c r="K129" s="616">
        <f t="shared" si="68"/>
        <v>1515357.0308449403</v>
      </c>
      <c r="L129" s="616">
        <f t="shared" si="69"/>
        <v>3640106.7191550601</v>
      </c>
      <c r="M129" s="617">
        <f t="shared" si="64"/>
        <v>6180035.5280344393</v>
      </c>
    </row>
    <row r="130" spans="5:13" x14ac:dyDescent="0.35">
      <c r="E130" s="515">
        <f t="shared" si="65"/>
        <v>126</v>
      </c>
      <c r="F130" s="331">
        <f t="shared" si="66"/>
        <v>49856</v>
      </c>
      <c r="G130" s="616">
        <f t="shared" si="67"/>
        <v>6180035.5280344393</v>
      </c>
      <c r="H130" s="616">
        <f t="shared" si="61"/>
        <v>41243.71</v>
      </c>
      <c r="I130" s="616">
        <f t="shared" si="62"/>
        <v>15566.757666164678</v>
      </c>
      <c r="J130" s="616">
        <f t="shared" si="63"/>
        <v>25676.952333835321</v>
      </c>
      <c r="K130" s="616">
        <f t="shared" si="68"/>
        <v>1530923.7885111051</v>
      </c>
      <c r="L130" s="616">
        <f t="shared" si="69"/>
        <v>3665783.6714888955</v>
      </c>
      <c r="M130" s="617">
        <f t="shared" si="64"/>
        <v>6164468.7703682743</v>
      </c>
    </row>
    <row r="131" spans="5:13" x14ac:dyDescent="0.35">
      <c r="E131" s="515">
        <f t="shared" si="65"/>
        <v>127</v>
      </c>
      <c r="F131" s="331">
        <f t="shared" si="66"/>
        <v>49887</v>
      </c>
      <c r="G131" s="616">
        <f t="shared" si="67"/>
        <v>6164468.7703682743</v>
      </c>
      <c r="H131" s="616">
        <f t="shared" si="61"/>
        <v>41243.71</v>
      </c>
      <c r="I131" s="616">
        <f t="shared" si="62"/>
        <v>15631.434785377554</v>
      </c>
      <c r="J131" s="616">
        <f t="shared" si="63"/>
        <v>25612.275214622445</v>
      </c>
      <c r="K131" s="616">
        <f t="shared" si="68"/>
        <v>1546555.2232964826</v>
      </c>
      <c r="L131" s="616">
        <f t="shared" si="69"/>
        <v>3691395.9467035178</v>
      </c>
      <c r="M131" s="617">
        <f t="shared" si="64"/>
        <v>6148837.3355828971</v>
      </c>
    </row>
    <row r="132" spans="5:13" x14ac:dyDescent="0.35">
      <c r="E132" s="515">
        <f t="shared" si="65"/>
        <v>128</v>
      </c>
      <c r="F132" s="331">
        <f t="shared" si="66"/>
        <v>49918</v>
      </c>
      <c r="G132" s="616">
        <f t="shared" si="67"/>
        <v>6148837.3355828971</v>
      </c>
      <c r="H132" s="616">
        <f t="shared" si="61"/>
        <v>41243.71</v>
      </c>
      <c r="I132" s="616">
        <f t="shared" si="62"/>
        <v>15696.380626558057</v>
      </c>
      <c r="J132" s="616">
        <f t="shared" si="63"/>
        <v>25547.329373441942</v>
      </c>
      <c r="K132" s="616">
        <f t="shared" si="68"/>
        <v>1562251.6039230407</v>
      </c>
      <c r="L132" s="616">
        <f t="shared" si="69"/>
        <v>3716943.2760769599</v>
      </c>
      <c r="M132" s="617">
        <f t="shared" si="64"/>
        <v>6133140.9549563387</v>
      </c>
    </row>
    <row r="133" spans="5:13" x14ac:dyDescent="0.35">
      <c r="E133" s="515">
        <f t="shared" si="65"/>
        <v>129</v>
      </c>
      <c r="F133" s="331">
        <f t="shared" si="66"/>
        <v>49948</v>
      </c>
      <c r="G133" s="616">
        <f t="shared" si="67"/>
        <v>6133140.9549563387</v>
      </c>
      <c r="H133" s="616">
        <f t="shared" ref="H133:H196" si="70">J133+I133</f>
        <v>41243.71</v>
      </c>
      <c r="I133" s="616">
        <f t="shared" ref="I133:I196" si="71">IF(E133&lt;=$C$6,0,$C$12-J133)</f>
        <v>15761.596306198342</v>
      </c>
      <c r="J133" s="616">
        <f t="shared" ref="J133:J196" si="72">G133*($C$9/12)</f>
        <v>25482.113693801657</v>
      </c>
      <c r="K133" s="616">
        <f t="shared" si="68"/>
        <v>1578013.200229239</v>
      </c>
      <c r="L133" s="616">
        <f t="shared" si="69"/>
        <v>3742425.3897707616</v>
      </c>
      <c r="M133" s="617">
        <f t="shared" ref="M133:M196" si="73">G133-I133</f>
        <v>6117379.3586501405</v>
      </c>
    </row>
    <row r="134" spans="5:13" x14ac:dyDescent="0.35">
      <c r="E134" s="515">
        <f t="shared" ref="E134:E197" si="74">1+E133</f>
        <v>130</v>
      </c>
      <c r="F134" s="331">
        <f t="shared" ref="F134:F197" si="75">EOMONTH(F133,1)</f>
        <v>49979</v>
      </c>
      <c r="G134" s="616">
        <f t="shared" ref="G134:G197" si="76">M133</f>
        <v>6117379.3586501405</v>
      </c>
      <c r="H134" s="616">
        <f t="shared" si="70"/>
        <v>41243.71</v>
      </c>
      <c r="I134" s="616">
        <f t="shared" si="71"/>
        <v>15827.082945429382</v>
      </c>
      <c r="J134" s="616">
        <f t="shared" si="72"/>
        <v>25416.627054570617</v>
      </c>
      <c r="K134" s="616">
        <f t="shared" ref="K134:K197" si="77">I134+K133</f>
        <v>1593840.2831746684</v>
      </c>
      <c r="L134" s="616">
        <f t="shared" ref="L134:L197" si="78">L133+J134</f>
        <v>3767842.0168253323</v>
      </c>
      <c r="M134" s="617">
        <f t="shared" si="73"/>
        <v>6101552.2757047107</v>
      </c>
    </row>
    <row r="135" spans="5:13" x14ac:dyDescent="0.35">
      <c r="E135" s="515">
        <f t="shared" si="74"/>
        <v>131</v>
      </c>
      <c r="F135" s="331">
        <f t="shared" si="75"/>
        <v>50009</v>
      </c>
      <c r="G135" s="616">
        <f t="shared" si="76"/>
        <v>6101552.2757047107</v>
      </c>
      <c r="H135" s="616">
        <f t="shared" si="70"/>
        <v>41243.71</v>
      </c>
      <c r="I135" s="616">
        <f t="shared" si="71"/>
        <v>15892.841670040259</v>
      </c>
      <c r="J135" s="616">
        <f t="shared" si="72"/>
        <v>25350.86832995974</v>
      </c>
      <c r="K135" s="616">
        <f t="shared" si="77"/>
        <v>1609733.1248447087</v>
      </c>
      <c r="L135" s="616">
        <f t="shared" si="78"/>
        <v>3793192.8851552922</v>
      </c>
      <c r="M135" s="617">
        <f t="shared" si="73"/>
        <v>6085659.4340346707</v>
      </c>
    </row>
    <row r="136" spans="5:13" x14ac:dyDescent="0.35">
      <c r="E136" s="515">
        <f t="shared" si="74"/>
        <v>132</v>
      </c>
      <c r="F136" s="331">
        <f t="shared" si="75"/>
        <v>50040</v>
      </c>
      <c r="G136" s="616">
        <f t="shared" si="76"/>
        <v>6085659.4340346707</v>
      </c>
      <c r="H136" s="616">
        <f t="shared" si="70"/>
        <v>41243.71</v>
      </c>
      <c r="I136" s="616">
        <f t="shared" si="71"/>
        <v>15958.873610497503</v>
      </c>
      <c r="J136" s="616">
        <f t="shared" si="72"/>
        <v>25284.836389502496</v>
      </c>
      <c r="K136" s="616">
        <f t="shared" si="77"/>
        <v>1625691.9984552062</v>
      </c>
      <c r="L136" s="616">
        <f t="shared" si="78"/>
        <v>3818477.7215447947</v>
      </c>
      <c r="M136" s="617">
        <f t="shared" si="73"/>
        <v>6069700.5604241733</v>
      </c>
    </row>
    <row r="137" spans="5:13" x14ac:dyDescent="0.35">
      <c r="E137" s="515">
        <f t="shared" si="74"/>
        <v>133</v>
      </c>
      <c r="F137" s="331">
        <f t="shared" si="75"/>
        <v>50071</v>
      </c>
      <c r="G137" s="616">
        <f t="shared" si="76"/>
        <v>6069700.5604241733</v>
      </c>
      <c r="H137" s="616">
        <f t="shared" si="70"/>
        <v>41243.71</v>
      </c>
      <c r="I137" s="616">
        <f t="shared" si="71"/>
        <v>16025.17990196453</v>
      </c>
      <c r="J137" s="616">
        <f t="shared" si="72"/>
        <v>25218.53009803547</v>
      </c>
      <c r="K137" s="616">
        <f t="shared" si="77"/>
        <v>1641717.1783571707</v>
      </c>
      <c r="L137" s="616">
        <f t="shared" si="78"/>
        <v>3843696.2516428302</v>
      </c>
      <c r="M137" s="617">
        <f t="shared" si="73"/>
        <v>6053675.3805222083</v>
      </c>
    </row>
    <row r="138" spans="5:13" x14ac:dyDescent="0.35">
      <c r="E138" s="515">
        <f t="shared" si="74"/>
        <v>134</v>
      </c>
      <c r="F138" s="331">
        <f t="shared" si="75"/>
        <v>50099</v>
      </c>
      <c r="G138" s="616">
        <f t="shared" si="76"/>
        <v>6053675.3805222083</v>
      </c>
      <c r="H138" s="616">
        <f t="shared" si="70"/>
        <v>41243.71</v>
      </c>
      <c r="I138" s="616">
        <f t="shared" si="71"/>
        <v>16091.761684321169</v>
      </c>
      <c r="J138" s="616">
        <f t="shared" si="72"/>
        <v>25151.94831567883</v>
      </c>
      <c r="K138" s="616">
        <f t="shared" si="77"/>
        <v>1657808.9400414918</v>
      </c>
      <c r="L138" s="616">
        <f t="shared" si="78"/>
        <v>3868848.1999585088</v>
      </c>
      <c r="M138" s="617">
        <f t="shared" si="73"/>
        <v>6037583.6188378874</v>
      </c>
    </row>
    <row r="139" spans="5:13" x14ac:dyDescent="0.35">
      <c r="E139" s="515">
        <f t="shared" si="74"/>
        <v>135</v>
      </c>
      <c r="F139" s="331">
        <f t="shared" si="75"/>
        <v>50130</v>
      </c>
      <c r="G139" s="616">
        <f t="shared" si="76"/>
        <v>6037583.6188378874</v>
      </c>
      <c r="H139" s="616">
        <f t="shared" si="70"/>
        <v>41243.71</v>
      </c>
      <c r="I139" s="616">
        <f t="shared" si="71"/>
        <v>16158.620102183238</v>
      </c>
      <c r="J139" s="616">
        <f t="shared" si="72"/>
        <v>25085.089897816761</v>
      </c>
      <c r="K139" s="616">
        <f t="shared" si="77"/>
        <v>1673967.560143675</v>
      </c>
      <c r="L139" s="616">
        <f t="shared" si="78"/>
        <v>3893933.2898563254</v>
      </c>
      <c r="M139" s="617">
        <f t="shared" si="73"/>
        <v>6021424.9987357045</v>
      </c>
    </row>
    <row r="140" spans="5:13" x14ac:dyDescent="0.35">
      <c r="E140" s="515">
        <f t="shared" si="74"/>
        <v>136</v>
      </c>
      <c r="F140" s="331">
        <f t="shared" si="75"/>
        <v>50160</v>
      </c>
      <c r="G140" s="616">
        <f t="shared" si="76"/>
        <v>6021424.9987357045</v>
      </c>
      <c r="H140" s="616">
        <f t="shared" si="70"/>
        <v>41243.71</v>
      </c>
      <c r="I140" s="616">
        <f t="shared" si="71"/>
        <v>16225.75630492223</v>
      </c>
      <c r="J140" s="616">
        <f t="shared" si="72"/>
        <v>25017.953695077769</v>
      </c>
      <c r="K140" s="616">
        <f t="shared" si="77"/>
        <v>1690193.3164485972</v>
      </c>
      <c r="L140" s="616">
        <f t="shared" si="78"/>
        <v>3918951.2435514033</v>
      </c>
      <c r="M140" s="617">
        <f t="shared" si="73"/>
        <v>6005199.2424307819</v>
      </c>
    </row>
    <row r="141" spans="5:13" x14ac:dyDescent="0.35">
      <c r="E141" s="515">
        <f t="shared" si="74"/>
        <v>137</v>
      </c>
      <c r="F141" s="331">
        <f t="shared" si="75"/>
        <v>50191</v>
      </c>
      <c r="G141" s="616">
        <f t="shared" si="76"/>
        <v>6005199.2424307819</v>
      </c>
      <c r="H141" s="616">
        <f t="shared" si="70"/>
        <v>41243.71</v>
      </c>
      <c r="I141" s="616">
        <f t="shared" si="71"/>
        <v>16293.171446685086</v>
      </c>
      <c r="J141" s="616">
        <f t="shared" si="72"/>
        <v>24950.538553314913</v>
      </c>
      <c r="K141" s="616">
        <f t="shared" si="77"/>
        <v>1706486.4878952822</v>
      </c>
      <c r="L141" s="616">
        <f t="shared" si="78"/>
        <v>3943901.782104718</v>
      </c>
      <c r="M141" s="617">
        <f t="shared" si="73"/>
        <v>5988906.0709840972</v>
      </c>
    </row>
    <row r="142" spans="5:13" x14ac:dyDescent="0.35">
      <c r="E142" s="515">
        <f t="shared" si="74"/>
        <v>138</v>
      </c>
      <c r="F142" s="331">
        <f t="shared" si="75"/>
        <v>50221</v>
      </c>
      <c r="G142" s="616">
        <f t="shared" si="76"/>
        <v>5988906.0709840972</v>
      </c>
      <c r="H142" s="616">
        <f t="shared" si="70"/>
        <v>41243.71</v>
      </c>
      <c r="I142" s="616">
        <f t="shared" si="71"/>
        <v>16360.866686414007</v>
      </c>
      <c r="J142" s="616">
        <f t="shared" si="72"/>
        <v>24882.843313585992</v>
      </c>
      <c r="K142" s="616">
        <f t="shared" si="77"/>
        <v>1722847.3545816962</v>
      </c>
      <c r="L142" s="616">
        <f t="shared" si="78"/>
        <v>3968784.625418304</v>
      </c>
      <c r="M142" s="617">
        <f t="shared" si="73"/>
        <v>5972545.2042976832</v>
      </c>
    </row>
    <row r="143" spans="5:13" x14ac:dyDescent="0.35">
      <c r="E143" s="515">
        <f t="shared" si="74"/>
        <v>139</v>
      </c>
      <c r="F143" s="331">
        <f t="shared" si="75"/>
        <v>50252</v>
      </c>
      <c r="G143" s="616">
        <f t="shared" si="76"/>
        <v>5972545.2042976832</v>
      </c>
      <c r="H143" s="616">
        <f t="shared" si="70"/>
        <v>41243.71</v>
      </c>
      <c r="I143" s="616">
        <f t="shared" si="71"/>
        <v>16428.843187866401</v>
      </c>
      <c r="J143" s="616">
        <f t="shared" si="72"/>
        <v>24814.866812133598</v>
      </c>
      <c r="K143" s="616">
        <f t="shared" si="77"/>
        <v>1739276.1977695627</v>
      </c>
      <c r="L143" s="616">
        <f t="shared" si="78"/>
        <v>3993599.4922304377</v>
      </c>
      <c r="M143" s="617">
        <f t="shared" si="73"/>
        <v>5956116.3611098165</v>
      </c>
    </row>
    <row r="144" spans="5:13" x14ac:dyDescent="0.35">
      <c r="E144" s="515">
        <f t="shared" si="74"/>
        <v>140</v>
      </c>
      <c r="F144" s="331">
        <f t="shared" si="75"/>
        <v>50283</v>
      </c>
      <c r="G144" s="616">
        <f t="shared" si="76"/>
        <v>5956116.3611098165</v>
      </c>
      <c r="H144" s="616">
        <f t="shared" si="70"/>
        <v>41243.71</v>
      </c>
      <c r="I144" s="616">
        <f t="shared" si="71"/>
        <v>16497.102119634885</v>
      </c>
      <c r="J144" s="616">
        <f t="shared" si="72"/>
        <v>24746.607880365114</v>
      </c>
      <c r="K144" s="616">
        <f t="shared" si="77"/>
        <v>1755773.2998891976</v>
      </c>
      <c r="L144" s="616">
        <f t="shared" si="78"/>
        <v>4018346.1001108028</v>
      </c>
      <c r="M144" s="617">
        <f t="shared" si="73"/>
        <v>5939619.2589901816</v>
      </c>
    </row>
    <row r="145" spans="5:13" x14ac:dyDescent="0.35">
      <c r="E145" s="515">
        <f t="shared" si="74"/>
        <v>141</v>
      </c>
      <c r="F145" s="331">
        <f t="shared" si="75"/>
        <v>50313</v>
      </c>
      <c r="G145" s="616">
        <f t="shared" si="76"/>
        <v>5939619.2589901816</v>
      </c>
      <c r="H145" s="616">
        <f t="shared" si="70"/>
        <v>41243.71</v>
      </c>
      <c r="I145" s="616">
        <f t="shared" si="71"/>
        <v>16565.644655167362</v>
      </c>
      <c r="J145" s="616">
        <f t="shared" si="72"/>
        <v>24678.065344832637</v>
      </c>
      <c r="K145" s="616">
        <f t="shared" si="77"/>
        <v>1772338.9445443649</v>
      </c>
      <c r="L145" s="616">
        <f t="shared" si="78"/>
        <v>4043024.1654556356</v>
      </c>
      <c r="M145" s="617">
        <f t="shared" si="73"/>
        <v>5923053.6143350145</v>
      </c>
    </row>
    <row r="146" spans="5:13" x14ac:dyDescent="0.35">
      <c r="E146" s="515">
        <f t="shared" si="74"/>
        <v>142</v>
      </c>
      <c r="F146" s="331">
        <f t="shared" si="75"/>
        <v>50344</v>
      </c>
      <c r="G146" s="616">
        <f t="shared" si="76"/>
        <v>5923053.6143350145</v>
      </c>
      <c r="H146" s="616">
        <f t="shared" si="70"/>
        <v>41243.71</v>
      </c>
      <c r="I146" s="616">
        <f t="shared" si="71"/>
        <v>16634.471972787214</v>
      </c>
      <c r="J146" s="616">
        <f t="shared" si="72"/>
        <v>24609.238027212785</v>
      </c>
      <c r="K146" s="616">
        <f t="shared" si="77"/>
        <v>1788973.4165171522</v>
      </c>
      <c r="L146" s="616">
        <f t="shared" si="78"/>
        <v>4067633.4034828483</v>
      </c>
      <c r="M146" s="617">
        <f t="shared" si="73"/>
        <v>5906419.1423622277</v>
      </c>
    </row>
    <row r="147" spans="5:13" x14ac:dyDescent="0.35">
      <c r="E147" s="515">
        <f t="shared" si="74"/>
        <v>143</v>
      </c>
      <c r="F147" s="331">
        <f t="shared" si="75"/>
        <v>50374</v>
      </c>
      <c r="G147" s="616">
        <f t="shared" si="76"/>
        <v>5906419.1423622277</v>
      </c>
      <c r="H147" s="616">
        <f t="shared" si="70"/>
        <v>41243.71</v>
      </c>
      <c r="I147" s="616">
        <f t="shared" si="71"/>
        <v>16703.585255713533</v>
      </c>
      <c r="J147" s="616">
        <f t="shared" si="72"/>
        <v>24540.124744286466</v>
      </c>
      <c r="K147" s="616">
        <f t="shared" si="77"/>
        <v>1805677.0017728657</v>
      </c>
      <c r="L147" s="616">
        <f t="shared" si="78"/>
        <v>4092173.5282271346</v>
      </c>
      <c r="M147" s="617">
        <f t="shared" si="73"/>
        <v>5889715.5571065145</v>
      </c>
    </row>
    <row r="148" spans="5:13" x14ac:dyDescent="0.35">
      <c r="E148" s="515">
        <f t="shared" si="74"/>
        <v>144</v>
      </c>
      <c r="F148" s="331">
        <f t="shared" si="75"/>
        <v>50405</v>
      </c>
      <c r="G148" s="616">
        <f t="shared" si="76"/>
        <v>5889715.5571065145</v>
      </c>
      <c r="H148" s="616">
        <f t="shared" si="70"/>
        <v>41243.71</v>
      </c>
      <c r="I148" s="616">
        <f t="shared" si="71"/>
        <v>16772.985692081496</v>
      </c>
      <c r="J148" s="616">
        <f t="shared" si="72"/>
        <v>24470.724307918503</v>
      </c>
      <c r="K148" s="616">
        <f t="shared" si="77"/>
        <v>1822449.9874649472</v>
      </c>
      <c r="L148" s="616">
        <f t="shared" si="78"/>
        <v>4116644.2525350531</v>
      </c>
      <c r="M148" s="617">
        <f t="shared" si="73"/>
        <v>5872942.5714144334</v>
      </c>
    </row>
    <row r="149" spans="5:13" x14ac:dyDescent="0.35">
      <c r="E149" s="515">
        <f t="shared" si="74"/>
        <v>145</v>
      </c>
      <c r="F149" s="331">
        <f t="shared" si="75"/>
        <v>50436</v>
      </c>
      <c r="G149" s="616">
        <f t="shared" si="76"/>
        <v>5872942.5714144334</v>
      </c>
      <c r="H149" s="616">
        <f t="shared" si="70"/>
        <v>41243.71</v>
      </c>
      <c r="I149" s="616">
        <f t="shared" si="71"/>
        <v>16842.674474962758</v>
      </c>
      <c r="J149" s="616">
        <f t="shared" si="72"/>
        <v>24401.035525037241</v>
      </c>
      <c r="K149" s="616">
        <f t="shared" si="77"/>
        <v>1839292.6619399099</v>
      </c>
      <c r="L149" s="616">
        <f t="shared" si="78"/>
        <v>4141045.2880600905</v>
      </c>
      <c r="M149" s="617">
        <f t="shared" si="73"/>
        <v>5856099.8969394704</v>
      </c>
    </row>
    <row r="150" spans="5:13" x14ac:dyDescent="0.35">
      <c r="E150" s="515">
        <f t="shared" si="74"/>
        <v>146</v>
      </c>
      <c r="F150" s="331">
        <f t="shared" si="75"/>
        <v>50464</v>
      </c>
      <c r="G150" s="616">
        <f t="shared" si="76"/>
        <v>5856099.8969394704</v>
      </c>
      <c r="H150" s="616">
        <f t="shared" si="70"/>
        <v>41243.71</v>
      </c>
      <c r="I150" s="616">
        <f t="shared" si="71"/>
        <v>16912.652802385979</v>
      </c>
      <c r="J150" s="616">
        <f t="shared" si="72"/>
        <v>24331.05719761402</v>
      </c>
      <c r="K150" s="616">
        <f t="shared" si="77"/>
        <v>1856205.314742296</v>
      </c>
      <c r="L150" s="616">
        <f t="shared" si="78"/>
        <v>4165376.3452577046</v>
      </c>
      <c r="M150" s="617">
        <f t="shared" si="73"/>
        <v>5839187.2441370841</v>
      </c>
    </row>
    <row r="151" spans="5:13" x14ac:dyDescent="0.35">
      <c r="E151" s="515">
        <f t="shared" si="74"/>
        <v>147</v>
      </c>
      <c r="F151" s="331">
        <f t="shared" si="75"/>
        <v>50495</v>
      </c>
      <c r="G151" s="616">
        <f t="shared" si="76"/>
        <v>5839187.2441370841</v>
      </c>
      <c r="H151" s="616">
        <f t="shared" si="70"/>
        <v>41243.71</v>
      </c>
      <c r="I151" s="616">
        <f t="shared" si="71"/>
        <v>16982.921877357414</v>
      </c>
      <c r="J151" s="616">
        <f t="shared" si="72"/>
        <v>24260.788122642585</v>
      </c>
      <c r="K151" s="616">
        <f t="shared" si="77"/>
        <v>1873188.2366196534</v>
      </c>
      <c r="L151" s="616">
        <f t="shared" si="78"/>
        <v>4189637.1333803474</v>
      </c>
      <c r="M151" s="617">
        <f t="shared" si="73"/>
        <v>5822204.3222597269</v>
      </c>
    </row>
    <row r="152" spans="5:13" x14ac:dyDescent="0.35">
      <c r="E152" s="515">
        <f t="shared" si="74"/>
        <v>148</v>
      </c>
      <c r="F152" s="331">
        <f t="shared" si="75"/>
        <v>50525</v>
      </c>
      <c r="G152" s="616">
        <f t="shared" si="76"/>
        <v>5822204.3222597269</v>
      </c>
      <c r="H152" s="616">
        <f t="shared" si="70"/>
        <v>41243.71</v>
      </c>
      <c r="I152" s="616">
        <f t="shared" si="71"/>
        <v>17053.482907881593</v>
      </c>
      <c r="J152" s="616">
        <f t="shared" si="72"/>
        <v>24190.227092118406</v>
      </c>
      <c r="K152" s="616">
        <f t="shared" si="77"/>
        <v>1890241.7195275349</v>
      </c>
      <c r="L152" s="616">
        <f t="shared" si="78"/>
        <v>4213827.3604724659</v>
      </c>
      <c r="M152" s="617">
        <f t="shared" si="73"/>
        <v>5805150.839351845</v>
      </c>
    </row>
    <row r="153" spans="5:13" x14ac:dyDescent="0.35">
      <c r="E153" s="515">
        <f t="shared" si="74"/>
        <v>149</v>
      </c>
      <c r="F153" s="331">
        <f t="shared" si="75"/>
        <v>50556</v>
      </c>
      <c r="G153" s="616">
        <f t="shared" si="76"/>
        <v>5805150.839351845</v>
      </c>
      <c r="H153" s="616">
        <f t="shared" si="70"/>
        <v>41243.71</v>
      </c>
      <c r="I153" s="616">
        <f t="shared" si="71"/>
        <v>17124.337106982101</v>
      </c>
      <c r="J153" s="616">
        <f t="shared" si="72"/>
        <v>24119.372893017899</v>
      </c>
      <c r="K153" s="616">
        <f t="shared" si="77"/>
        <v>1907366.0566345169</v>
      </c>
      <c r="L153" s="616">
        <f t="shared" si="78"/>
        <v>4237946.7333654836</v>
      </c>
      <c r="M153" s="617">
        <f t="shared" si="73"/>
        <v>5788026.5022448627</v>
      </c>
    </row>
    <row r="154" spans="5:13" x14ac:dyDescent="0.35">
      <c r="E154" s="515">
        <f t="shared" si="74"/>
        <v>150</v>
      </c>
      <c r="F154" s="331">
        <f t="shared" si="75"/>
        <v>50586</v>
      </c>
      <c r="G154" s="616">
        <f t="shared" si="76"/>
        <v>5788026.5022448627</v>
      </c>
      <c r="H154" s="616">
        <f t="shared" si="70"/>
        <v>41243.71</v>
      </c>
      <c r="I154" s="616">
        <f t="shared" si="71"/>
        <v>17195.485692722406</v>
      </c>
      <c r="J154" s="616">
        <f t="shared" si="72"/>
        <v>24048.224307277593</v>
      </c>
      <c r="K154" s="616">
        <f t="shared" si="77"/>
        <v>1924561.5423272394</v>
      </c>
      <c r="L154" s="616">
        <f t="shared" si="78"/>
        <v>4261994.9576727608</v>
      </c>
      <c r="M154" s="617">
        <f t="shared" si="73"/>
        <v>5770831.01655214</v>
      </c>
    </row>
    <row r="155" spans="5:13" x14ac:dyDescent="0.35">
      <c r="E155" s="515">
        <f t="shared" si="74"/>
        <v>151</v>
      </c>
      <c r="F155" s="331">
        <f t="shared" si="75"/>
        <v>50617</v>
      </c>
      <c r="G155" s="616">
        <f t="shared" si="76"/>
        <v>5770831.01655214</v>
      </c>
      <c r="H155" s="616">
        <f t="shared" si="70"/>
        <v>41243.71</v>
      </c>
      <c r="I155" s="616">
        <f t="shared" si="71"/>
        <v>17266.929888226834</v>
      </c>
      <c r="J155" s="616">
        <f t="shared" si="72"/>
        <v>23976.780111773165</v>
      </c>
      <c r="K155" s="616">
        <f t="shared" si="77"/>
        <v>1941828.4722154662</v>
      </c>
      <c r="L155" s="616">
        <f t="shared" si="78"/>
        <v>4285971.7377845338</v>
      </c>
      <c r="M155" s="617">
        <f t="shared" si="73"/>
        <v>5753564.086663913</v>
      </c>
    </row>
    <row r="156" spans="5:13" x14ac:dyDescent="0.35">
      <c r="E156" s="515">
        <f t="shared" si="74"/>
        <v>152</v>
      </c>
      <c r="F156" s="331">
        <f t="shared" si="75"/>
        <v>50648</v>
      </c>
      <c r="G156" s="616">
        <f t="shared" si="76"/>
        <v>5753564.086663913</v>
      </c>
      <c r="H156" s="616">
        <f t="shared" si="70"/>
        <v>41243.71</v>
      </c>
      <c r="I156" s="616">
        <f t="shared" si="71"/>
        <v>17338.670921701552</v>
      </c>
      <c r="J156" s="616">
        <f t="shared" si="72"/>
        <v>23905.039078298447</v>
      </c>
      <c r="K156" s="616">
        <f t="shared" si="77"/>
        <v>1959167.1431371677</v>
      </c>
      <c r="L156" s="616">
        <f t="shared" si="78"/>
        <v>4309876.7768628318</v>
      </c>
      <c r="M156" s="617">
        <f t="shared" si="73"/>
        <v>5736225.415742211</v>
      </c>
    </row>
    <row r="157" spans="5:13" x14ac:dyDescent="0.35">
      <c r="E157" s="515">
        <f t="shared" si="74"/>
        <v>153</v>
      </c>
      <c r="F157" s="331">
        <f t="shared" si="75"/>
        <v>50678</v>
      </c>
      <c r="G157" s="616">
        <f t="shared" si="76"/>
        <v>5736225.415742211</v>
      </c>
      <c r="H157" s="616">
        <f t="shared" si="70"/>
        <v>41243.71</v>
      </c>
      <c r="I157" s="616">
        <f t="shared" si="71"/>
        <v>17410.71002645573</v>
      </c>
      <c r="J157" s="616">
        <f t="shared" si="72"/>
        <v>23832.999973544269</v>
      </c>
      <c r="K157" s="616">
        <f t="shared" si="77"/>
        <v>1976577.8531636235</v>
      </c>
      <c r="L157" s="616">
        <f t="shared" si="78"/>
        <v>4333709.7768363757</v>
      </c>
      <c r="M157" s="617">
        <f t="shared" si="73"/>
        <v>5718814.705715755</v>
      </c>
    </row>
    <row r="158" spans="5:13" x14ac:dyDescent="0.35">
      <c r="E158" s="515">
        <f t="shared" si="74"/>
        <v>154</v>
      </c>
      <c r="F158" s="331">
        <f t="shared" si="75"/>
        <v>50709</v>
      </c>
      <c r="G158" s="616">
        <f t="shared" si="76"/>
        <v>5718814.705715755</v>
      </c>
      <c r="H158" s="616">
        <f t="shared" si="70"/>
        <v>41243.71</v>
      </c>
      <c r="I158" s="616">
        <f t="shared" si="71"/>
        <v>17483.048440922696</v>
      </c>
      <c r="J158" s="616">
        <f t="shared" si="72"/>
        <v>23760.661559077304</v>
      </c>
      <c r="K158" s="616">
        <f t="shared" si="77"/>
        <v>1994060.9016045462</v>
      </c>
      <c r="L158" s="616">
        <f t="shared" si="78"/>
        <v>4357470.4383954527</v>
      </c>
      <c r="M158" s="617">
        <f t="shared" si="73"/>
        <v>5701331.657274832</v>
      </c>
    </row>
    <row r="159" spans="5:13" x14ac:dyDescent="0.35">
      <c r="E159" s="515">
        <f t="shared" si="74"/>
        <v>155</v>
      </c>
      <c r="F159" s="331">
        <f t="shared" si="75"/>
        <v>50739</v>
      </c>
      <c r="G159" s="616">
        <f t="shared" si="76"/>
        <v>5701331.657274832</v>
      </c>
      <c r="H159" s="616">
        <f t="shared" si="70"/>
        <v>41243.71</v>
      </c>
      <c r="I159" s="616">
        <f t="shared" si="71"/>
        <v>17555.687408681268</v>
      </c>
      <c r="J159" s="616">
        <f t="shared" si="72"/>
        <v>23688.022591318731</v>
      </c>
      <c r="K159" s="616">
        <f t="shared" si="77"/>
        <v>2011616.5890132275</v>
      </c>
      <c r="L159" s="616">
        <f t="shared" si="78"/>
        <v>4381158.4609867716</v>
      </c>
      <c r="M159" s="617">
        <f t="shared" si="73"/>
        <v>5683775.969866151</v>
      </c>
    </row>
    <row r="160" spans="5:13" x14ac:dyDescent="0.35">
      <c r="E160" s="515">
        <f t="shared" si="74"/>
        <v>156</v>
      </c>
      <c r="F160" s="331">
        <f t="shared" si="75"/>
        <v>50770</v>
      </c>
      <c r="G160" s="616">
        <f t="shared" si="76"/>
        <v>5683775.969866151</v>
      </c>
      <c r="H160" s="616">
        <f t="shared" si="70"/>
        <v>41243.71</v>
      </c>
      <c r="I160" s="616">
        <f t="shared" si="71"/>
        <v>17628.628178477098</v>
      </c>
      <c r="J160" s="616">
        <f t="shared" si="72"/>
        <v>23615.081821522901</v>
      </c>
      <c r="K160" s="616">
        <f t="shared" si="77"/>
        <v>2029245.2171917045</v>
      </c>
      <c r="L160" s="616">
        <f t="shared" si="78"/>
        <v>4404773.5428082943</v>
      </c>
      <c r="M160" s="617">
        <f t="shared" si="73"/>
        <v>5666147.3416876737</v>
      </c>
    </row>
    <row r="161" spans="5:13" x14ac:dyDescent="0.35">
      <c r="E161" s="515">
        <f t="shared" si="74"/>
        <v>157</v>
      </c>
      <c r="F161" s="331">
        <f t="shared" si="75"/>
        <v>50801</v>
      </c>
      <c r="G161" s="616">
        <f t="shared" si="76"/>
        <v>5666147.3416876737</v>
      </c>
      <c r="H161" s="616">
        <f t="shared" si="70"/>
        <v>41243.71</v>
      </c>
      <c r="I161" s="616">
        <f t="shared" si="71"/>
        <v>17701.872004244167</v>
      </c>
      <c r="J161" s="616">
        <f t="shared" si="72"/>
        <v>23541.837995755832</v>
      </c>
      <c r="K161" s="616">
        <f t="shared" si="77"/>
        <v>2046947.0891959488</v>
      </c>
      <c r="L161" s="616">
        <f t="shared" si="78"/>
        <v>4428315.3808040498</v>
      </c>
      <c r="M161" s="617">
        <f t="shared" si="73"/>
        <v>5648445.4696834292</v>
      </c>
    </row>
    <row r="162" spans="5:13" x14ac:dyDescent="0.35">
      <c r="E162" s="515">
        <f t="shared" si="74"/>
        <v>158</v>
      </c>
      <c r="F162" s="331">
        <f t="shared" si="75"/>
        <v>50829</v>
      </c>
      <c r="G162" s="616">
        <f t="shared" si="76"/>
        <v>5648445.4696834292</v>
      </c>
      <c r="H162" s="616">
        <f t="shared" si="70"/>
        <v>41243.71</v>
      </c>
      <c r="I162" s="616">
        <f t="shared" si="71"/>
        <v>17775.420145126329</v>
      </c>
      <c r="J162" s="616">
        <f t="shared" si="72"/>
        <v>23468.28985487367</v>
      </c>
      <c r="K162" s="616">
        <f t="shared" si="77"/>
        <v>2064722.5093410751</v>
      </c>
      <c r="L162" s="616">
        <f t="shared" si="78"/>
        <v>4451783.6706589237</v>
      </c>
      <c r="M162" s="617">
        <f t="shared" si="73"/>
        <v>5630670.0495383032</v>
      </c>
    </row>
    <row r="163" spans="5:13" x14ac:dyDescent="0.35">
      <c r="E163" s="515">
        <f t="shared" si="74"/>
        <v>159</v>
      </c>
      <c r="F163" s="331">
        <f t="shared" si="75"/>
        <v>50860</v>
      </c>
      <c r="G163" s="616">
        <f t="shared" si="76"/>
        <v>5630670.0495383032</v>
      </c>
      <c r="H163" s="616">
        <f t="shared" si="70"/>
        <v>41243.71</v>
      </c>
      <c r="I163" s="616">
        <f t="shared" si="71"/>
        <v>17849.273865498948</v>
      </c>
      <c r="J163" s="616">
        <f t="shared" si="72"/>
        <v>23394.436134501051</v>
      </c>
      <c r="K163" s="616">
        <f t="shared" si="77"/>
        <v>2082571.7832065739</v>
      </c>
      <c r="L163" s="616">
        <f t="shared" si="78"/>
        <v>4475178.106793425</v>
      </c>
      <c r="M163" s="617">
        <f t="shared" si="73"/>
        <v>5612820.7756728046</v>
      </c>
    </row>
    <row r="164" spans="5:13" x14ac:dyDescent="0.35">
      <c r="E164" s="515">
        <f t="shared" si="74"/>
        <v>160</v>
      </c>
      <c r="F164" s="331">
        <f t="shared" si="75"/>
        <v>50890</v>
      </c>
      <c r="G164" s="616">
        <f t="shared" si="76"/>
        <v>5612820.7756728046</v>
      </c>
      <c r="H164" s="616">
        <f t="shared" si="70"/>
        <v>41243.71</v>
      </c>
      <c r="I164" s="616">
        <f t="shared" si="71"/>
        <v>17923.43443499065</v>
      </c>
      <c r="J164" s="616">
        <f t="shared" si="72"/>
        <v>23320.27556500935</v>
      </c>
      <c r="K164" s="616">
        <f t="shared" si="77"/>
        <v>2100495.2176415646</v>
      </c>
      <c r="L164" s="616">
        <f t="shared" si="78"/>
        <v>4498498.3823584346</v>
      </c>
      <c r="M164" s="617">
        <f t="shared" si="73"/>
        <v>5594897.3412378142</v>
      </c>
    </row>
    <row r="165" spans="5:13" x14ac:dyDescent="0.35">
      <c r="E165" s="515">
        <f t="shared" si="74"/>
        <v>161</v>
      </c>
      <c r="F165" s="331">
        <f t="shared" si="75"/>
        <v>50921</v>
      </c>
      <c r="G165" s="616">
        <f t="shared" si="76"/>
        <v>5594897.3412378142</v>
      </c>
      <c r="H165" s="616">
        <f t="shared" si="70"/>
        <v>41243.71</v>
      </c>
      <c r="I165" s="616">
        <f t="shared" si="71"/>
        <v>17997.903128505142</v>
      </c>
      <c r="J165" s="616">
        <f t="shared" si="72"/>
        <v>23245.806871494857</v>
      </c>
      <c r="K165" s="616">
        <f t="shared" si="77"/>
        <v>2118493.1207700698</v>
      </c>
      <c r="L165" s="616">
        <f t="shared" si="78"/>
        <v>4521744.1892299298</v>
      </c>
      <c r="M165" s="617">
        <f t="shared" si="73"/>
        <v>5576899.4381093094</v>
      </c>
    </row>
    <row r="166" spans="5:13" x14ac:dyDescent="0.35">
      <c r="E166" s="515">
        <f t="shared" si="74"/>
        <v>162</v>
      </c>
      <c r="F166" s="331">
        <f t="shared" si="75"/>
        <v>50951</v>
      </c>
      <c r="G166" s="616">
        <f t="shared" si="76"/>
        <v>5576899.4381093094</v>
      </c>
      <c r="H166" s="616">
        <f t="shared" si="70"/>
        <v>41243.71</v>
      </c>
      <c r="I166" s="616">
        <f t="shared" si="71"/>
        <v>18072.68122624313</v>
      </c>
      <c r="J166" s="616">
        <f t="shared" si="72"/>
        <v>23171.028773756869</v>
      </c>
      <c r="K166" s="616">
        <f t="shared" si="77"/>
        <v>2136565.801996313</v>
      </c>
      <c r="L166" s="616">
        <f t="shared" si="78"/>
        <v>4544915.2180036865</v>
      </c>
      <c r="M166" s="617">
        <f t="shared" si="73"/>
        <v>5558826.7568830661</v>
      </c>
    </row>
    <row r="167" spans="5:13" x14ac:dyDescent="0.35">
      <c r="E167" s="515">
        <f t="shared" si="74"/>
        <v>163</v>
      </c>
      <c r="F167" s="331">
        <f t="shared" si="75"/>
        <v>50982</v>
      </c>
      <c r="G167" s="616">
        <f t="shared" si="76"/>
        <v>5558826.7568830661</v>
      </c>
      <c r="H167" s="616">
        <f t="shared" si="70"/>
        <v>41243.71</v>
      </c>
      <c r="I167" s="616">
        <f t="shared" si="71"/>
        <v>18147.77001372433</v>
      </c>
      <c r="J167" s="616">
        <f t="shared" si="72"/>
        <v>23095.939986275669</v>
      </c>
      <c r="K167" s="616">
        <f t="shared" si="77"/>
        <v>2154713.5720100375</v>
      </c>
      <c r="L167" s="616">
        <f t="shared" si="78"/>
        <v>4568011.157989962</v>
      </c>
      <c r="M167" s="617">
        <f t="shared" si="73"/>
        <v>5540678.9868693417</v>
      </c>
    </row>
    <row r="168" spans="5:13" x14ac:dyDescent="0.35">
      <c r="E168" s="515">
        <f t="shared" si="74"/>
        <v>164</v>
      </c>
      <c r="F168" s="331">
        <f t="shared" si="75"/>
        <v>51013</v>
      </c>
      <c r="G168" s="616">
        <f t="shared" si="76"/>
        <v>5540678.9868693417</v>
      </c>
      <c r="H168" s="616">
        <f t="shared" si="70"/>
        <v>41243.71</v>
      </c>
      <c r="I168" s="616">
        <f t="shared" si="71"/>
        <v>18223.17078180956</v>
      </c>
      <c r="J168" s="616">
        <f t="shared" si="72"/>
        <v>23020.539218190439</v>
      </c>
      <c r="K168" s="616">
        <f t="shared" si="77"/>
        <v>2172936.7427918469</v>
      </c>
      <c r="L168" s="616">
        <f t="shared" si="78"/>
        <v>4591031.6972081522</v>
      </c>
      <c r="M168" s="617">
        <f t="shared" si="73"/>
        <v>5522455.8160875319</v>
      </c>
    </row>
    <row r="169" spans="5:13" x14ac:dyDescent="0.35">
      <c r="E169" s="515">
        <f t="shared" si="74"/>
        <v>165</v>
      </c>
      <c r="F169" s="331">
        <f t="shared" si="75"/>
        <v>51043</v>
      </c>
      <c r="G169" s="616">
        <f t="shared" si="76"/>
        <v>5522455.8160875319</v>
      </c>
      <c r="H169" s="616">
        <f t="shared" si="70"/>
        <v>41243.71</v>
      </c>
      <c r="I169" s="616">
        <f t="shared" si="71"/>
        <v>18298.88482672294</v>
      </c>
      <c r="J169" s="616">
        <f t="shared" si="72"/>
        <v>22944.825173277059</v>
      </c>
      <c r="K169" s="616">
        <f t="shared" si="77"/>
        <v>2191235.6276185699</v>
      </c>
      <c r="L169" s="616">
        <f t="shared" si="78"/>
        <v>4613976.5223814296</v>
      </c>
      <c r="M169" s="617">
        <f t="shared" si="73"/>
        <v>5504156.9312608093</v>
      </c>
    </row>
    <row r="170" spans="5:13" x14ac:dyDescent="0.35">
      <c r="E170" s="515">
        <f t="shared" si="74"/>
        <v>166</v>
      </c>
      <c r="F170" s="331">
        <f t="shared" si="75"/>
        <v>51074</v>
      </c>
      <c r="G170" s="616">
        <f t="shared" si="76"/>
        <v>5504156.9312608093</v>
      </c>
      <c r="H170" s="616">
        <f t="shared" si="70"/>
        <v>41243.71</v>
      </c>
      <c r="I170" s="616">
        <f t="shared" si="71"/>
        <v>18374.91345007416</v>
      </c>
      <c r="J170" s="616">
        <f t="shared" si="72"/>
        <v>22868.796549925839</v>
      </c>
      <c r="K170" s="616">
        <f t="shared" si="77"/>
        <v>2209610.5410686443</v>
      </c>
      <c r="L170" s="616">
        <f t="shared" si="78"/>
        <v>4636845.3189313551</v>
      </c>
      <c r="M170" s="617">
        <f t="shared" si="73"/>
        <v>5485782.0178107349</v>
      </c>
    </row>
    <row r="171" spans="5:13" x14ac:dyDescent="0.35">
      <c r="E171" s="515">
        <f t="shared" si="74"/>
        <v>167</v>
      </c>
      <c r="F171" s="331">
        <f t="shared" si="75"/>
        <v>51104</v>
      </c>
      <c r="G171" s="616">
        <f t="shared" si="76"/>
        <v>5485782.0178107349</v>
      </c>
      <c r="H171" s="616">
        <f t="shared" si="70"/>
        <v>41243.71</v>
      </c>
      <c r="I171" s="616">
        <f t="shared" si="71"/>
        <v>18451.257958880888</v>
      </c>
      <c r="J171" s="616">
        <f t="shared" si="72"/>
        <v>22792.452041119112</v>
      </c>
      <c r="K171" s="616">
        <f t="shared" si="77"/>
        <v>2228061.7990275254</v>
      </c>
      <c r="L171" s="616">
        <f t="shared" si="78"/>
        <v>4659637.7709724745</v>
      </c>
      <c r="M171" s="617">
        <f t="shared" si="73"/>
        <v>5467330.7598518543</v>
      </c>
    </row>
    <row r="172" spans="5:13" x14ac:dyDescent="0.35">
      <c r="E172" s="515">
        <f t="shared" si="74"/>
        <v>168</v>
      </c>
      <c r="F172" s="331">
        <f t="shared" si="75"/>
        <v>51135</v>
      </c>
      <c r="G172" s="616">
        <f t="shared" si="76"/>
        <v>5467330.7598518543</v>
      </c>
      <c r="H172" s="616">
        <f t="shared" si="70"/>
        <v>41243.71</v>
      </c>
      <c r="I172" s="616">
        <f t="shared" si="71"/>
        <v>18527.919665591198</v>
      </c>
      <c r="J172" s="616">
        <f t="shared" si="72"/>
        <v>22715.790334408801</v>
      </c>
      <c r="K172" s="616">
        <f t="shared" si="77"/>
        <v>2246589.7186931167</v>
      </c>
      <c r="L172" s="616">
        <f t="shared" si="78"/>
        <v>4682353.5613068836</v>
      </c>
      <c r="M172" s="617">
        <f t="shared" si="73"/>
        <v>5448802.8401862634</v>
      </c>
    </row>
    <row r="173" spans="5:13" x14ac:dyDescent="0.35">
      <c r="E173" s="515">
        <f t="shared" si="74"/>
        <v>169</v>
      </c>
      <c r="F173" s="331">
        <f t="shared" si="75"/>
        <v>51166</v>
      </c>
      <c r="G173" s="616">
        <f t="shared" si="76"/>
        <v>5448802.8401862634</v>
      </c>
      <c r="H173" s="616">
        <f t="shared" si="70"/>
        <v>41243.71</v>
      </c>
      <c r="I173" s="616">
        <f t="shared" si="71"/>
        <v>18604.899888106167</v>
      </c>
      <c r="J173" s="616">
        <f t="shared" si="72"/>
        <v>22638.810111893832</v>
      </c>
      <c r="K173" s="616">
        <f t="shared" si="77"/>
        <v>2265194.6185812228</v>
      </c>
      <c r="L173" s="616">
        <f t="shared" si="78"/>
        <v>4704992.3714187779</v>
      </c>
      <c r="M173" s="617">
        <f t="shared" si="73"/>
        <v>5430197.9402981568</v>
      </c>
    </row>
    <row r="174" spans="5:13" x14ac:dyDescent="0.35">
      <c r="E174" s="515">
        <f t="shared" si="74"/>
        <v>170</v>
      </c>
      <c r="F174" s="331">
        <f t="shared" si="75"/>
        <v>51195</v>
      </c>
      <c r="G174" s="616">
        <f t="shared" si="76"/>
        <v>5430197.9402981568</v>
      </c>
      <c r="H174" s="616">
        <f t="shared" si="70"/>
        <v>41243.71</v>
      </c>
      <c r="I174" s="616">
        <f t="shared" si="71"/>
        <v>18682.199949802518</v>
      </c>
      <c r="J174" s="616">
        <f t="shared" si="72"/>
        <v>22561.510050197481</v>
      </c>
      <c r="K174" s="616">
        <f t="shared" si="77"/>
        <v>2283876.8185310252</v>
      </c>
      <c r="L174" s="616">
        <f t="shared" si="78"/>
        <v>4727553.881468975</v>
      </c>
      <c r="M174" s="617">
        <f t="shared" si="73"/>
        <v>5411515.740348354</v>
      </c>
    </row>
    <row r="175" spans="5:13" x14ac:dyDescent="0.35">
      <c r="E175" s="515">
        <f t="shared" si="74"/>
        <v>171</v>
      </c>
      <c r="F175" s="331">
        <f t="shared" si="75"/>
        <v>51226</v>
      </c>
      <c r="G175" s="616">
        <f t="shared" si="76"/>
        <v>5411515.740348354</v>
      </c>
      <c r="H175" s="616">
        <f t="shared" si="70"/>
        <v>41243.71</v>
      </c>
      <c r="I175" s="616">
        <f t="shared" si="71"/>
        <v>18759.821179555354</v>
      </c>
      <c r="J175" s="616">
        <f t="shared" si="72"/>
        <v>22483.888820444645</v>
      </c>
      <c r="K175" s="616">
        <f t="shared" si="77"/>
        <v>2302636.6397105805</v>
      </c>
      <c r="L175" s="616">
        <f t="shared" si="78"/>
        <v>4750037.7702894192</v>
      </c>
      <c r="M175" s="617">
        <f t="shared" si="73"/>
        <v>5392755.9191687983</v>
      </c>
    </row>
    <row r="176" spans="5:13" x14ac:dyDescent="0.35">
      <c r="E176" s="515">
        <f t="shared" si="74"/>
        <v>172</v>
      </c>
      <c r="F176" s="331">
        <f t="shared" si="75"/>
        <v>51256</v>
      </c>
      <c r="G176" s="616">
        <f t="shared" si="76"/>
        <v>5392755.9191687983</v>
      </c>
      <c r="H176" s="616">
        <f t="shared" si="70"/>
        <v>41243.71</v>
      </c>
      <c r="I176" s="616">
        <f t="shared" si="71"/>
        <v>18837.764911761038</v>
      </c>
      <c r="J176" s="616">
        <f t="shared" si="72"/>
        <v>22405.945088238961</v>
      </c>
      <c r="K176" s="616">
        <f t="shared" si="77"/>
        <v>2321474.4046223415</v>
      </c>
      <c r="L176" s="616">
        <f t="shared" si="78"/>
        <v>4772443.7153776586</v>
      </c>
      <c r="M176" s="617">
        <f t="shared" si="73"/>
        <v>5373918.1542570377</v>
      </c>
    </row>
    <row r="177" spans="5:13" x14ac:dyDescent="0.35">
      <c r="E177" s="515">
        <f t="shared" si="74"/>
        <v>173</v>
      </c>
      <c r="F177" s="331">
        <f t="shared" si="75"/>
        <v>51287</v>
      </c>
      <c r="G177" s="616">
        <f t="shared" si="76"/>
        <v>5373918.1542570377</v>
      </c>
      <c r="H177" s="616">
        <f t="shared" si="70"/>
        <v>41243.71</v>
      </c>
      <c r="I177" s="616">
        <f t="shared" si="71"/>
        <v>18916.032486360098</v>
      </c>
      <c r="J177" s="616">
        <f t="shared" si="72"/>
        <v>22327.677513639901</v>
      </c>
      <c r="K177" s="616">
        <f t="shared" si="77"/>
        <v>2340390.4371087016</v>
      </c>
      <c r="L177" s="616">
        <f t="shared" si="78"/>
        <v>4794771.392891298</v>
      </c>
      <c r="M177" s="617">
        <f t="shared" si="73"/>
        <v>5355002.1217706772</v>
      </c>
    </row>
    <row r="178" spans="5:13" x14ac:dyDescent="0.35">
      <c r="E178" s="515">
        <f t="shared" si="74"/>
        <v>174</v>
      </c>
      <c r="F178" s="331">
        <f t="shared" si="75"/>
        <v>51317</v>
      </c>
      <c r="G178" s="616">
        <f t="shared" si="76"/>
        <v>5355002.1217706772</v>
      </c>
      <c r="H178" s="616">
        <f t="shared" si="70"/>
        <v>41243.71</v>
      </c>
      <c r="I178" s="616">
        <f t="shared" si="71"/>
        <v>18994.625248860291</v>
      </c>
      <c r="J178" s="616">
        <f t="shared" si="72"/>
        <v>22249.084751139708</v>
      </c>
      <c r="K178" s="616">
        <f t="shared" si="77"/>
        <v>2359385.0623575617</v>
      </c>
      <c r="L178" s="616">
        <f t="shared" si="78"/>
        <v>4817020.4776424374</v>
      </c>
      <c r="M178" s="617">
        <f t="shared" si="73"/>
        <v>5336007.4965218166</v>
      </c>
    </row>
    <row r="179" spans="5:13" x14ac:dyDescent="0.35">
      <c r="E179" s="515">
        <f t="shared" si="74"/>
        <v>175</v>
      </c>
      <c r="F179" s="331">
        <f t="shared" si="75"/>
        <v>51348</v>
      </c>
      <c r="G179" s="616">
        <f t="shared" si="76"/>
        <v>5336007.4965218166</v>
      </c>
      <c r="H179" s="616">
        <f t="shared" si="70"/>
        <v>41243.71</v>
      </c>
      <c r="I179" s="616">
        <f t="shared" si="71"/>
        <v>19073.544550359708</v>
      </c>
      <c r="J179" s="616">
        <f t="shared" si="72"/>
        <v>22170.165449640292</v>
      </c>
      <c r="K179" s="616">
        <f t="shared" si="77"/>
        <v>2378458.6069079214</v>
      </c>
      <c r="L179" s="616">
        <f t="shared" si="78"/>
        <v>4839190.6430920782</v>
      </c>
      <c r="M179" s="617">
        <f t="shared" si="73"/>
        <v>5316933.9519714573</v>
      </c>
    </row>
    <row r="180" spans="5:13" x14ac:dyDescent="0.35">
      <c r="E180" s="515">
        <f t="shared" si="74"/>
        <v>176</v>
      </c>
      <c r="F180" s="331">
        <f t="shared" si="75"/>
        <v>51379</v>
      </c>
      <c r="G180" s="616">
        <f t="shared" si="76"/>
        <v>5316933.9519714573</v>
      </c>
      <c r="H180" s="616">
        <f t="shared" si="70"/>
        <v>41243.71</v>
      </c>
      <c r="I180" s="616">
        <f t="shared" si="71"/>
        <v>19152.791747570016</v>
      </c>
      <c r="J180" s="616">
        <f t="shared" si="72"/>
        <v>22090.918252429983</v>
      </c>
      <c r="K180" s="616">
        <f t="shared" si="77"/>
        <v>2397611.3986554914</v>
      </c>
      <c r="L180" s="616">
        <f t="shared" si="78"/>
        <v>4861281.5613445081</v>
      </c>
      <c r="M180" s="617">
        <f t="shared" si="73"/>
        <v>5297781.1602238873</v>
      </c>
    </row>
    <row r="181" spans="5:13" x14ac:dyDescent="0.35">
      <c r="E181" s="515">
        <f t="shared" si="74"/>
        <v>177</v>
      </c>
      <c r="F181" s="331">
        <f t="shared" si="75"/>
        <v>51409</v>
      </c>
      <c r="G181" s="616">
        <f t="shared" si="76"/>
        <v>5297781.1602238873</v>
      </c>
      <c r="H181" s="616">
        <f t="shared" si="70"/>
        <v>41243.71</v>
      </c>
      <c r="I181" s="616">
        <f t="shared" si="71"/>
        <v>19232.368202839789</v>
      </c>
      <c r="J181" s="616">
        <f t="shared" si="72"/>
        <v>22011.34179716021</v>
      </c>
      <c r="K181" s="616">
        <f t="shared" si="77"/>
        <v>2416843.7668583314</v>
      </c>
      <c r="L181" s="616">
        <f t="shared" si="78"/>
        <v>4883292.9031416681</v>
      </c>
      <c r="M181" s="617">
        <f t="shared" si="73"/>
        <v>5278548.7920210473</v>
      </c>
    </row>
    <row r="182" spans="5:13" x14ac:dyDescent="0.35">
      <c r="E182" s="515">
        <f t="shared" si="74"/>
        <v>178</v>
      </c>
      <c r="F182" s="331">
        <f t="shared" si="75"/>
        <v>51440</v>
      </c>
      <c r="G182" s="616">
        <f t="shared" si="76"/>
        <v>5278548.7920210473</v>
      </c>
      <c r="H182" s="616">
        <f t="shared" si="70"/>
        <v>41243.71</v>
      </c>
      <c r="I182" s="616">
        <f t="shared" si="71"/>
        <v>19312.275284177904</v>
      </c>
      <c r="J182" s="616">
        <f t="shared" si="72"/>
        <v>21931.434715822095</v>
      </c>
      <c r="K182" s="616">
        <f t="shared" si="77"/>
        <v>2436156.0421425095</v>
      </c>
      <c r="L182" s="616">
        <f t="shared" si="78"/>
        <v>4905224.3378574904</v>
      </c>
      <c r="M182" s="617">
        <f t="shared" si="73"/>
        <v>5259236.5167368697</v>
      </c>
    </row>
    <row r="183" spans="5:13" x14ac:dyDescent="0.35">
      <c r="E183" s="515">
        <f t="shared" si="74"/>
        <v>179</v>
      </c>
      <c r="F183" s="331">
        <f t="shared" si="75"/>
        <v>51470</v>
      </c>
      <c r="G183" s="616">
        <f t="shared" si="76"/>
        <v>5259236.5167368697</v>
      </c>
      <c r="H183" s="616">
        <f t="shared" si="70"/>
        <v>41243.71</v>
      </c>
      <c r="I183" s="616">
        <f t="shared" si="71"/>
        <v>19392.514365277078</v>
      </c>
      <c r="J183" s="616">
        <f t="shared" si="72"/>
        <v>21851.195634722921</v>
      </c>
      <c r="K183" s="616">
        <f t="shared" si="77"/>
        <v>2455548.5565077867</v>
      </c>
      <c r="L183" s="616">
        <f t="shared" si="78"/>
        <v>4927075.5334922131</v>
      </c>
      <c r="M183" s="617">
        <f t="shared" si="73"/>
        <v>5239844.0023715924</v>
      </c>
    </row>
    <row r="184" spans="5:13" x14ac:dyDescent="0.35">
      <c r="E184" s="515">
        <f t="shared" si="74"/>
        <v>180</v>
      </c>
      <c r="F184" s="331">
        <f t="shared" si="75"/>
        <v>51501</v>
      </c>
      <c r="G184" s="616">
        <f t="shared" si="76"/>
        <v>5239844.0023715924</v>
      </c>
      <c r="H184" s="616">
        <f t="shared" si="70"/>
        <v>41243.71</v>
      </c>
      <c r="I184" s="616">
        <f t="shared" si="71"/>
        <v>19473.086825537481</v>
      </c>
      <c r="J184" s="616">
        <f t="shared" si="72"/>
        <v>21770.623174462518</v>
      </c>
      <c r="K184" s="616">
        <f t="shared" si="77"/>
        <v>2475021.6433333242</v>
      </c>
      <c r="L184" s="616">
        <f t="shared" si="78"/>
        <v>4948846.1566666756</v>
      </c>
      <c r="M184" s="617">
        <f t="shared" si="73"/>
        <v>5220370.915546055</v>
      </c>
    </row>
    <row r="185" spans="5:13" x14ac:dyDescent="0.35">
      <c r="E185" s="515">
        <f t="shared" si="74"/>
        <v>181</v>
      </c>
      <c r="F185" s="331">
        <f t="shared" si="75"/>
        <v>51532</v>
      </c>
      <c r="G185" s="616">
        <f t="shared" si="76"/>
        <v>5220370.915546055</v>
      </c>
      <c r="H185" s="616">
        <f t="shared" si="70"/>
        <v>41243.71</v>
      </c>
      <c r="I185" s="616">
        <f t="shared" si="71"/>
        <v>19553.994050090445</v>
      </c>
      <c r="J185" s="616">
        <f t="shared" si="72"/>
        <v>21689.715949909554</v>
      </c>
      <c r="K185" s="616">
        <f t="shared" si="77"/>
        <v>2494575.6373834149</v>
      </c>
      <c r="L185" s="616">
        <f t="shared" si="78"/>
        <v>4970535.8726165853</v>
      </c>
      <c r="M185" s="617">
        <f t="shared" si="73"/>
        <v>5200816.9214959648</v>
      </c>
    </row>
    <row r="186" spans="5:13" x14ac:dyDescent="0.35">
      <c r="E186" s="515">
        <f t="shared" si="74"/>
        <v>182</v>
      </c>
      <c r="F186" s="331">
        <f t="shared" si="75"/>
        <v>51560</v>
      </c>
      <c r="G186" s="616">
        <f t="shared" si="76"/>
        <v>5200816.9214959648</v>
      </c>
      <c r="H186" s="616">
        <f t="shared" si="70"/>
        <v>41243.71</v>
      </c>
      <c r="I186" s="616">
        <f t="shared" si="71"/>
        <v>19635.237429822268</v>
      </c>
      <c r="J186" s="616">
        <f t="shared" si="72"/>
        <v>21608.472570177732</v>
      </c>
      <c r="K186" s="616">
        <f t="shared" si="77"/>
        <v>2514210.8748132372</v>
      </c>
      <c r="L186" s="616">
        <f t="shared" si="78"/>
        <v>4992144.3451867634</v>
      </c>
      <c r="M186" s="617">
        <f t="shared" si="73"/>
        <v>5181181.6840661429</v>
      </c>
    </row>
    <row r="187" spans="5:13" x14ac:dyDescent="0.35">
      <c r="E187" s="515">
        <f t="shared" si="74"/>
        <v>183</v>
      </c>
      <c r="F187" s="331">
        <f t="shared" si="75"/>
        <v>51591</v>
      </c>
      <c r="G187" s="616">
        <f t="shared" si="76"/>
        <v>5181181.6840661429</v>
      </c>
      <c r="H187" s="616">
        <f t="shared" si="70"/>
        <v>41243.71</v>
      </c>
      <c r="I187" s="616">
        <f t="shared" si="71"/>
        <v>19716.818361398145</v>
      </c>
      <c r="J187" s="616">
        <f t="shared" si="72"/>
        <v>21526.891638601854</v>
      </c>
      <c r="K187" s="616">
        <f t="shared" si="77"/>
        <v>2533927.6931746355</v>
      </c>
      <c r="L187" s="616">
        <f t="shared" si="78"/>
        <v>5013671.2368253656</v>
      </c>
      <c r="M187" s="617">
        <f t="shared" si="73"/>
        <v>5161464.8657047451</v>
      </c>
    </row>
    <row r="188" spans="5:13" x14ac:dyDescent="0.35">
      <c r="E188" s="515">
        <f t="shared" si="74"/>
        <v>184</v>
      </c>
      <c r="F188" s="331">
        <f t="shared" si="75"/>
        <v>51621</v>
      </c>
      <c r="G188" s="616">
        <f t="shared" si="76"/>
        <v>5161464.8657047451</v>
      </c>
      <c r="H188" s="616">
        <f t="shared" si="70"/>
        <v>41243.71</v>
      </c>
      <c r="I188" s="616">
        <f t="shared" si="71"/>
        <v>19798.738247286168</v>
      </c>
      <c r="J188" s="616">
        <f t="shared" si="72"/>
        <v>21444.971752713831</v>
      </c>
      <c r="K188" s="616">
        <f t="shared" si="77"/>
        <v>2553726.4314219216</v>
      </c>
      <c r="L188" s="616">
        <f t="shared" si="78"/>
        <v>5035116.208578079</v>
      </c>
      <c r="M188" s="617">
        <f t="shared" si="73"/>
        <v>5141666.1274574585</v>
      </c>
    </row>
    <row r="189" spans="5:13" x14ac:dyDescent="0.35">
      <c r="E189" s="515">
        <f t="shared" si="74"/>
        <v>185</v>
      </c>
      <c r="F189" s="331">
        <f t="shared" si="75"/>
        <v>51652</v>
      </c>
      <c r="G189" s="616">
        <f t="shared" si="76"/>
        <v>5141666.1274574585</v>
      </c>
      <c r="H189" s="616">
        <f t="shared" si="70"/>
        <v>41243.71</v>
      </c>
      <c r="I189" s="616">
        <f t="shared" si="71"/>
        <v>19880.99849578143</v>
      </c>
      <c r="J189" s="616">
        <f t="shared" si="72"/>
        <v>21362.711504218569</v>
      </c>
      <c r="K189" s="616">
        <f t="shared" si="77"/>
        <v>2573607.4299177029</v>
      </c>
      <c r="L189" s="616">
        <f t="shared" si="78"/>
        <v>5056478.9200822972</v>
      </c>
      <c r="M189" s="617">
        <f t="shared" si="73"/>
        <v>5121785.1289616767</v>
      </c>
    </row>
    <row r="190" spans="5:13" x14ac:dyDescent="0.35">
      <c r="E190" s="515">
        <f t="shared" si="74"/>
        <v>186</v>
      </c>
      <c r="F190" s="331">
        <f t="shared" si="75"/>
        <v>51682</v>
      </c>
      <c r="G190" s="616">
        <f t="shared" si="76"/>
        <v>5121785.1289616767</v>
      </c>
      <c r="H190" s="616">
        <f t="shared" si="70"/>
        <v>41243.71</v>
      </c>
      <c r="I190" s="616">
        <f t="shared" si="71"/>
        <v>19963.600521030239</v>
      </c>
      <c r="J190" s="616">
        <f t="shared" si="72"/>
        <v>21280.10947896976</v>
      </c>
      <c r="K190" s="616">
        <f t="shared" si="77"/>
        <v>2593571.0304387333</v>
      </c>
      <c r="L190" s="616">
        <f t="shared" si="78"/>
        <v>5077759.0295612672</v>
      </c>
      <c r="M190" s="617">
        <f t="shared" si="73"/>
        <v>5101821.5284406468</v>
      </c>
    </row>
    <row r="191" spans="5:13" x14ac:dyDescent="0.35">
      <c r="E191" s="515">
        <f t="shared" si="74"/>
        <v>187</v>
      </c>
      <c r="F191" s="331">
        <f t="shared" si="75"/>
        <v>51713</v>
      </c>
      <c r="G191" s="616">
        <f t="shared" si="76"/>
        <v>5101821.5284406468</v>
      </c>
      <c r="H191" s="616">
        <f t="shared" si="70"/>
        <v>41243.71</v>
      </c>
      <c r="I191" s="616">
        <f t="shared" si="71"/>
        <v>20046.54574305443</v>
      </c>
      <c r="J191" s="616">
        <f t="shared" si="72"/>
        <v>21197.164256945569</v>
      </c>
      <c r="K191" s="616">
        <f t="shared" si="77"/>
        <v>2613617.5761817875</v>
      </c>
      <c r="L191" s="616">
        <f t="shared" si="78"/>
        <v>5098956.1938182125</v>
      </c>
      <c r="M191" s="617">
        <f t="shared" si="73"/>
        <v>5081774.9826975921</v>
      </c>
    </row>
    <row r="192" spans="5:13" x14ac:dyDescent="0.35">
      <c r="E192" s="515">
        <f t="shared" si="74"/>
        <v>188</v>
      </c>
      <c r="F192" s="331">
        <f t="shared" si="75"/>
        <v>51744</v>
      </c>
      <c r="G192" s="616">
        <f t="shared" si="76"/>
        <v>5081774.9826975921</v>
      </c>
      <c r="H192" s="616">
        <f t="shared" si="70"/>
        <v>41243.71</v>
      </c>
      <c r="I192" s="616">
        <f t="shared" si="71"/>
        <v>20129.835587775789</v>
      </c>
      <c r="J192" s="616">
        <f t="shared" si="72"/>
        <v>21113.87441222421</v>
      </c>
      <c r="K192" s="616">
        <f t="shared" si="77"/>
        <v>2633747.4117695633</v>
      </c>
      <c r="L192" s="616">
        <f t="shared" si="78"/>
        <v>5120070.0682304371</v>
      </c>
      <c r="M192" s="617">
        <f t="shared" si="73"/>
        <v>5061645.1471098168</v>
      </c>
    </row>
    <row r="193" spans="5:13" x14ac:dyDescent="0.35">
      <c r="E193" s="515">
        <f t="shared" si="74"/>
        <v>189</v>
      </c>
      <c r="F193" s="331">
        <f t="shared" si="75"/>
        <v>51774</v>
      </c>
      <c r="G193" s="616">
        <f t="shared" si="76"/>
        <v>5061645.1471098168</v>
      </c>
      <c r="H193" s="616">
        <f t="shared" si="70"/>
        <v>41243.71</v>
      </c>
      <c r="I193" s="616">
        <f t="shared" si="71"/>
        <v>20213.471487040537</v>
      </c>
      <c r="J193" s="616">
        <f t="shared" si="72"/>
        <v>21030.238512959462</v>
      </c>
      <c r="K193" s="616">
        <f t="shared" si="77"/>
        <v>2653960.883256604</v>
      </c>
      <c r="L193" s="616">
        <f t="shared" si="78"/>
        <v>5141100.3067433964</v>
      </c>
      <c r="M193" s="617">
        <f t="shared" si="73"/>
        <v>5041431.6756227762</v>
      </c>
    </row>
    <row r="194" spans="5:13" x14ac:dyDescent="0.35">
      <c r="E194" s="515">
        <f t="shared" si="74"/>
        <v>190</v>
      </c>
      <c r="F194" s="331">
        <f t="shared" si="75"/>
        <v>51805</v>
      </c>
      <c r="G194" s="616">
        <f t="shared" si="76"/>
        <v>5041431.6756227762</v>
      </c>
      <c r="H194" s="616">
        <f t="shared" si="70"/>
        <v>41243.71</v>
      </c>
      <c r="I194" s="616">
        <f t="shared" si="71"/>
        <v>20297.454878643977</v>
      </c>
      <c r="J194" s="616">
        <f t="shared" si="72"/>
        <v>20946.255121356022</v>
      </c>
      <c r="K194" s="616">
        <f t="shared" si="77"/>
        <v>2674258.3381352481</v>
      </c>
      <c r="L194" s="616">
        <f t="shared" si="78"/>
        <v>5162046.5618647523</v>
      </c>
      <c r="M194" s="617">
        <f t="shared" si="73"/>
        <v>5021134.2207441321</v>
      </c>
    </row>
    <row r="195" spans="5:13" x14ac:dyDescent="0.35">
      <c r="E195" s="515">
        <f t="shared" si="74"/>
        <v>191</v>
      </c>
      <c r="F195" s="331">
        <f t="shared" si="75"/>
        <v>51835</v>
      </c>
      <c r="G195" s="616">
        <f t="shared" si="76"/>
        <v>5021134.2207441321</v>
      </c>
      <c r="H195" s="616">
        <f t="shared" si="70"/>
        <v>41243.71</v>
      </c>
      <c r="I195" s="616">
        <f t="shared" si="71"/>
        <v>20381.787206355184</v>
      </c>
      <c r="J195" s="616">
        <f t="shared" si="72"/>
        <v>20861.922793644815</v>
      </c>
      <c r="K195" s="616">
        <f t="shared" si="77"/>
        <v>2694640.1253416031</v>
      </c>
      <c r="L195" s="616">
        <f t="shared" si="78"/>
        <v>5182908.4846583968</v>
      </c>
      <c r="M195" s="617">
        <f t="shared" si="73"/>
        <v>5000752.4335377766</v>
      </c>
    </row>
    <row r="196" spans="5:13" x14ac:dyDescent="0.35">
      <c r="E196" s="515">
        <f t="shared" si="74"/>
        <v>192</v>
      </c>
      <c r="F196" s="331">
        <f t="shared" si="75"/>
        <v>51866</v>
      </c>
      <c r="G196" s="616">
        <f t="shared" si="76"/>
        <v>5000752.4335377766</v>
      </c>
      <c r="H196" s="616">
        <f t="shared" si="70"/>
        <v>41243.71</v>
      </c>
      <c r="I196" s="616">
        <f t="shared" si="71"/>
        <v>20466.46991994185</v>
      </c>
      <c r="J196" s="616">
        <f t="shared" si="72"/>
        <v>20777.240080058149</v>
      </c>
      <c r="K196" s="616">
        <f t="shared" si="77"/>
        <v>2715106.5952615449</v>
      </c>
      <c r="L196" s="616">
        <f t="shared" si="78"/>
        <v>5203685.7247384554</v>
      </c>
      <c r="M196" s="617">
        <f t="shared" si="73"/>
        <v>4980285.9636178352</v>
      </c>
    </row>
    <row r="197" spans="5:13" x14ac:dyDescent="0.35">
      <c r="E197" s="515">
        <f t="shared" si="74"/>
        <v>193</v>
      </c>
      <c r="F197" s="331">
        <f t="shared" si="75"/>
        <v>51897</v>
      </c>
      <c r="G197" s="616">
        <f t="shared" si="76"/>
        <v>4980285.9636178352</v>
      </c>
      <c r="H197" s="616">
        <f t="shared" ref="H197:H260" si="79">J197+I197</f>
        <v>41243.71</v>
      </c>
      <c r="I197" s="616">
        <f t="shared" ref="I197:I260" si="80">IF(E197&lt;=$C$6,0,$C$12-J197)</f>
        <v>20551.504475195186</v>
      </c>
      <c r="J197" s="616">
        <f t="shared" ref="J197:J260" si="81">G197*($C$9/12)</f>
        <v>20692.205524804813</v>
      </c>
      <c r="K197" s="616">
        <f t="shared" si="77"/>
        <v>2735658.0997367399</v>
      </c>
      <c r="L197" s="616">
        <f t="shared" si="78"/>
        <v>5224377.9302632604</v>
      </c>
      <c r="M197" s="617">
        <f t="shared" ref="M197:M260" si="82">G197-I197</f>
        <v>4959734.4591426402</v>
      </c>
    </row>
    <row r="198" spans="5:13" x14ac:dyDescent="0.35">
      <c r="E198" s="515">
        <f t="shared" ref="E198:E261" si="83">1+E197</f>
        <v>194</v>
      </c>
      <c r="F198" s="331">
        <f t="shared" ref="F198:F261" si="84">EOMONTH(F197,1)</f>
        <v>51925</v>
      </c>
      <c r="G198" s="616">
        <f t="shared" ref="G198:G261" si="85">M197</f>
        <v>4959734.4591426402</v>
      </c>
      <c r="H198" s="616">
        <f t="shared" si="79"/>
        <v>41243.71</v>
      </c>
      <c r="I198" s="616">
        <f t="shared" si="80"/>
        <v>20636.892333954958</v>
      </c>
      <c r="J198" s="616">
        <f t="shared" si="81"/>
        <v>20606.817666045041</v>
      </c>
      <c r="K198" s="616">
        <f t="shared" ref="K198:K261" si="86">I198+K197</f>
        <v>2756294.9920706949</v>
      </c>
      <c r="L198" s="616">
        <f t="shared" ref="L198:L261" si="87">L197+J198</f>
        <v>5244984.7479293058</v>
      </c>
      <c r="M198" s="617">
        <f t="shared" si="82"/>
        <v>4939097.5668086857</v>
      </c>
    </row>
    <row r="199" spans="5:13" x14ac:dyDescent="0.35">
      <c r="E199" s="515">
        <f t="shared" si="83"/>
        <v>195</v>
      </c>
      <c r="F199" s="331">
        <f t="shared" si="84"/>
        <v>51956</v>
      </c>
      <c r="G199" s="616">
        <f t="shared" si="85"/>
        <v>4939097.5668086857</v>
      </c>
      <c r="H199" s="616">
        <f t="shared" si="79"/>
        <v>41243.71</v>
      </c>
      <c r="I199" s="616">
        <f t="shared" si="80"/>
        <v>20722.634964134624</v>
      </c>
      <c r="J199" s="616">
        <f t="shared" si="81"/>
        <v>20521.075035865375</v>
      </c>
      <c r="K199" s="616">
        <f t="shared" si="86"/>
        <v>2777017.6270348295</v>
      </c>
      <c r="L199" s="616">
        <f t="shared" si="87"/>
        <v>5265505.8229651712</v>
      </c>
      <c r="M199" s="617">
        <f t="shared" si="82"/>
        <v>4918374.9318445511</v>
      </c>
    </row>
    <row r="200" spans="5:13" x14ac:dyDescent="0.35">
      <c r="E200" s="515">
        <f t="shared" si="83"/>
        <v>196</v>
      </c>
      <c r="F200" s="331">
        <f t="shared" si="84"/>
        <v>51986</v>
      </c>
      <c r="G200" s="616">
        <f t="shared" si="85"/>
        <v>4918374.9318445511</v>
      </c>
      <c r="H200" s="616">
        <f t="shared" si="79"/>
        <v>41243.71</v>
      </c>
      <c r="I200" s="616">
        <f t="shared" si="80"/>
        <v>20808.733839746554</v>
      </c>
      <c r="J200" s="616">
        <f t="shared" si="81"/>
        <v>20434.976160253445</v>
      </c>
      <c r="K200" s="616">
        <f t="shared" si="86"/>
        <v>2797826.360874576</v>
      </c>
      <c r="L200" s="616">
        <f t="shared" si="87"/>
        <v>5285940.7991254246</v>
      </c>
      <c r="M200" s="617">
        <f t="shared" si="82"/>
        <v>4897566.1980048046</v>
      </c>
    </row>
    <row r="201" spans="5:13" x14ac:dyDescent="0.35">
      <c r="E201" s="515">
        <f t="shared" si="83"/>
        <v>197</v>
      </c>
      <c r="F201" s="331">
        <f t="shared" si="84"/>
        <v>52017</v>
      </c>
      <c r="G201" s="616">
        <f t="shared" si="85"/>
        <v>4897566.1980048046</v>
      </c>
      <c r="H201" s="616">
        <f t="shared" si="79"/>
        <v>41243.71</v>
      </c>
      <c r="I201" s="616">
        <f t="shared" si="80"/>
        <v>20895.190440927385</v>
      </c>
      <c r="J201" s="616">
        <f t="shared" si="81"/>
        <v>20348.519559072614</v>
      </c>
      <c r="K201" s="616">
        <f t="shared" si="86"/>
        <v>2818721.5513155032</v>
      </c>
      <c r="L201" s="616">
        <f t="shared" si="87"/>
        <v>5306289.3186844969</v>
      </c>
      <c r="M201" s="617">
        <f t="shared" si="82"/>
        <v>4876671.0075638769</v>
      </c>
    </row>
    <row r="202" spans="5:13" x14ac:dyDescent="0.35">
      <c r="E202" s="515">
        <f t="shared" si="83"/>
        <v>198</v>
      </c>
      <c r="F202" s="331">
        <f t="shared" si="84"/>
        <v>52047</v>
      </c>
      <c r="G202" s="616">
        <f t="shared" si="85"/>
        <v>4876671.0075638769</v>
      </c>
      <c r="H202" s="616">
        <f t="shared" si="79"/>
        <v>41243.71</v>
      </c>
      <c r="I202" s="616">
        <f t="shared" si="80"/>
        <v>20982.006253963456</v>
      </c>
      <c r="J202" s="616">
        <f t="shared" si="81"/>
        <v>20261.703746036543</v>
      </c>
      <c r="K202" s="616">
        <f t="shared" si="86"/>
        <v>2839703.5575694665</v>
      </c>
      <c r="L202" s="616">
        <f t="shared" si="87"/>
        <v>5326551.0224305335</v>
      </c>
      <c r="M202" s="617">
        <f t="shared" si="82"/>
        <v>4855689.0013099136</v>
      </c>
    </row>
    <row r="203" spans="5:13" x14ac:dyDescent="0.35">
      <c r="E203" s="515">
        <f t="shared" si="83"/>
        <v>199</v>
      </c>
      <c r="F203" s="331">
        <f t="shared" si="84"/>
        <v>52078</v>
      </c>
      <c r="G203" s="616">
        <f t="shared" si="85"/>
        <v>4855689.0013099136</v>
      </c>
      <c r="H203" s="616">
        <f t="shared" si="79"/>
        <v>41243.71</v>
      </c>
      <c r="I203" s="616">
        <f t="shared" si="80"/>
        <v>21069.182771316358</v>
      </c>
      <c r="J203" s="616">
        <f t="shared" si="81"/>
        <v>20174.527228683641</v>
      </c>
      <c r="K203" s="616">
        <f t="shared" si="86"/>
        <v>2860772.7403407828</v>
      </c>
      <c r="L203" s="616">
        <f t="shared" si="87"/>
        <v>5346725.5496592168</v>
      </c>
      <c r="M203" s="617">
        <f t="shared" si="82"/>
        <v>4834619.8185385969</v>
      </c>
    </row>
    <row r="204" spans="5:13" x14ac:dyDescent="0.35">
      <c r="E204" s="515">
        <f t="shared" si="83"/>
        <v>200</v>
      </c>
      <c r="F204" s="331">
        <f t="shared" si="84"/>
        <v>52109</v>
      </c>
      <c r="G204" s="616">
        <f t="shared" si="85"/>
        <v>4834619.8185385969</v>
      </c>
      <c r="H204" s="616">
        <f t="shared" si="79"/>
        <v>41243.71</v>
      </c>
      <c r="I204" s="616">
        <f t="shared" si="80"/>
        <v>21156.721491648605</v>
      </c>
      <c r="J204" s="616">
        <f t="shared" si="81"/>
        <v>20086.988508351395</v>
      </c>
      <c r="K204" s="616">
        <f t="shared" si="86"/>
        <v>2881929.4618324316</v>
      </c>
      <c r="L204" s="616">
        <f t="shared" si="87"/>
        <v>5366812.5381675679</v>
      </c>
      <c r="M204" s="617">
        <f t="shared" si="82"/>
        <v>4813463.097046948</v>
      </c>
    </row>
    <row r="205" spans="5:13" x14ac:dyDescent="0.35">
      <c r="E205" s="515">
        <f t="shared" si="83"/>
        <v>201</v>
      </c>
      <c r="F205" s="331">
        <f t="shared" si="84"/>
        <v>52139</v>
      </c>
      <c r="G205" s="616">
        <f t="shared" si="85"/>
        <v>4813463.097046948</v>
      </c>
      <c r="H205" s="616">
        <f t="shared" si="79"/>
        <v>41243.71</v>
      </c>
      <c r="I205" s="616">
        <f t="shared" si="80"/>
        <v>21244.623919849382</v>
      </c>
      <c r="J205" s="616">
        <f t="shared" si="81"/>
        <v>19999.086080150617</v>
      </c>
      <c r="K205" s="616">
        <f t="shared" si="86"/>
        <v>2903174.0857522809</v>
      </c>
      <c r="L205" s="616">
        <f t="shared" si="87"/>
        <v>5386811.6242477186</v>
      </c>
      <c r="M205" s="617">
        <f t="shared" si="82"/>
        <v>4792218.4731270988</v>
      </c>
    </row>
    <row r="206" spans="5:13" x14ac:dyDescent="0.35">
      <c r="E206" s="515">
        <f t="shared" si="83"/>
        <v>202</v>
      </c>
      <c r="F206" s="331">
        <f t="shared" si="84"/>
        <v>52170</v>
      </c>
      <c r="G206" s="616">
        <f t="shared" si="85"/>
        <v>4792218.4731270988</v>
      </c>
      <c r="H206" s="616">
        <f t="shared" si="79"/>
        <v>41243.71</v>
      </c>
      <c r="I206" s="616">
        <f t="shared" si="80"/>
        <v>21332.891567060422</v>
      </c>
      <c r="J206" s="616">
        <f t="shared" si="81"/>
        <v>19910.818432939577</v>
      </c>
      <c r="K206" s="616">
        <f t="shared" si="86"/>
        <v>2924506.9773193412</v>
      </c>
      <c r="L206" s="616">
        <f t="shared" si="87"/>
        <v>5406722.4426806578</v>
      </c>
      <c r="M206" s="617">
        <f t="shared" si="82"/>
        <v>4770885.581560038</v>
      </c>
    </row>
    <row r="207" spans="5:13" x14ac:dyDescent="0.35">
      <c r="E207" s="515">
        <f t="shared" si="83"/>
        <v>203</v>
      </c>
      <c r="F207" s="331">
        <f t="shared" si="84"/>
        <v>52200</v>
      </c>
      <c r="G207" s="616">
        <f t="shared" si="85"/>
        <v>4770885.581560038</v>
      </c>
      <c r="H207" s="616">
        <f t="shared" si="79"/>
        <v>41243.71</v>
      </c>
      <c r="I207" s="616">
        <f t="shared" si="80"/>
        <v>21421.525950701984</v>
      </c>
      <c r="J207" s="616">
        <f t="shared" si="81"/>
        <v>19822.184049298015</v>
      </c>
      <c r="K207" s="616">
        <f t="shared" si="86"/>
        <v>2945928.5032700431</v>
      </c>
      <c r="L207" s="616">
        <f t="shared" si="87"/>
        <v>5426544.6267299559</v>
      </c>
      <c r="M207" s="617">
        <f t="shared" si="82"/>
        <v>4749464.0556093361</v>
      </c>
    </row>
    <row r="208" spans="5:13" x14ac:dyDescent="0.35">
      <c r="E208" s="515">
        <f t="shared" si="83"/>
        <v>204</v>
      </c>
      <c r="F208" s="331">
        <f t="shared" si="84"/>
        <v>52231</v>
      </c>
      <c r="G208" s="616">
        <f t="shared" si="85"/>
        <v>4749464.0556093361</v>
      </c>
      <c r="H208" s="616">
        <f t="shared" si="79"/>
        <v>41243.71</v>
      </c>
      <c r="I208" s="616">
        <f t="shared" si="80"/>
        <v>21510.528594498941</v>
      </c>
      <c r="J208" s="616">
        <f t="shared" si="81"/>
        <v>19733.181405501058</v>
      </c>
      <c r="K208" s="616">
        <f t="shared" si="86"/>
        <v>2967439.031864542</v>
      </c>
      <c r="L208" s="616">
        <f t="shared" si="87"/>
        <v>5446277.8081354573</v>
      </c>
      <c r="M208" s="617">
        <f t="shared" si="82"/>
        <v>4727953.5270148376</v>
      </c>
    </row>
    <row r="209" spans="5:13" x14ac:dyDescent="0.35">
      <c r="E209" s="515">
        <f t="shared" si="83"/>
        <v>205</v>
      </c>
      <c r="F209" s="331">
        <f t="shared" si="84"/>
        <v>52262</v>
      </c>
      <c r="G209" s="616">
        <f t="shared" si="85"/>
        <v>4727953.5270148376</v>
      </c>
      <c r="H209" s="616">
        <f t="shared" si="79"/>
        <v>41243.71</v>
      </c>
      <c r="I209" s="616">
        <f t="shared" si="80"/>
        <v>21599.901028506971</v>
      </c>
      <c r="J209" s="616">
        <f t="shared" si="81"/>
        <v>19643.808971493028</v>
      </c>
      <c r="K209" s="616">
        <f t="shared" si="86"/>
        <v>2989038.932893049</v>
      </c>
      <c r="L209" s="616">
        <f t="shared" si="87"/>
        <v>5465921.6171069499</v>
      </c>
      <c r="M209" s="617">
        <f t="shared" si="82"/>
        <v>4706353.6259863302</v>
      </c>
    </row>
    <row r="210" spans="5:13" x14ac:dyDescent="0.35">
      <c r="E210" s="515">
        <f t="shared" si="83"/>
        <v>206</v>
      </c>
      <c r="F210" s="331">
        <f t="shared" si="84"/>
        <v>52290</v>
      </c>
      <c r="G210" s="616">
        <f t="shared" si="85"/>
        <v>4706353.6259863302</v>
      </c>
      <c r="H210" s="616">
        <f t="shared" si="79"/>
        <v>41243.71</v>
      </c>
      <c r="I210" s="616">
        <f t="shared" si="80"/>
        <v>21689.644789138871</v>
      </c>
      <c r="J210" s="616">
        <f t="shared" si="81"/>
        <v>19554.065210861128</v>
      </c>
      <c r="K210" s="616">
        <f t="shared" si="86"/>
        <v>3010728.5776821878</v>
      </c>
      <c r="L210" s="616">
        <f t="shared" si="87"/>
        <v>5485475.6823178111</v>
      </c>
      <c r="M210" s="617">
        <f t="shared" si="82"/>
        <v>4684663.9811971914</v>
      </c>
    </row>
    <row r="211" spans="5:13" x14ac:dyDescent="0.35">
      <c r="E211" s="515">
        <f t="shared" si="83"/>
        <v>207</v>
      </c>
      <c r="F211" s="331">
        <f t="shared" si="84"/>
        <v>52321</v>
      </c>
      <c r="G211" s="616">
        <f t="shared" si="85"/>
        <v>4684663.9811971914</v>
      </c>
      <c r="H211" s="616">
        <f t="shared" si="79"/>
        <v>41243.71</v>
      </c>
      <c r="I211" s="616">
        <f t="shared" si="80"/>
        <v>21779.761419190942</v>
      </c>
      <c r="J211" s="616">
        <f t="shared" si="81"/>
        <v>19463.948580809058</v>
      </c>
      <c r="K211" s="616">
        <f t="shared" si="86"/>
        <v>3032508.3391013788</v>
      </c>
      <c r="L211" s="616">
        <f t="shared" si="87"/>
        <v>5504939.63089862</v>
      </c>
      <c r="M211" s="617">
        <f t="shared" si="82"/>
        <v>4662884.2197780004</v>
      </c>
    </row>
    <row r="212" spans="5:13" x14ac:dyDescent="0.35">
      <c r="E212" s="515">
        <f t="shared" si="83"/>
        <v>208</v>
      </c>
      <c r="F212" s="331">
        <f t="shared" si="84"/>
        <v>52351</v>
      </c>
      <c r="G212" s="616">
        <f t="shared" si="85"/>
        <v>4662884.2197780004</v>
      </c>
      <c r="H212" s="616">
        <f t="shared" si="79"/>
        <v>41243.71</v>
      </c>
      <c r="I212" s="616">
        <f t="shared" si="80"/>
        <v>21870.252467869544</v>
      </c>
      <c r="J212" s="616">
        <f t="shared" si="81"/>
        <v>19373.457532130455</v>
      </c>
      <c r="K212" s="616">
        <f t="shared" si="86"/>
        <v>3054378.5915692481</v>
      </c>
      <c r="L212" s="616">
        <f t="shared" si="87"/>
        <v>5524313.0884307502</v>
      </c>
      <c r="M212" s="617">
        <f t="shared" si="82"/>
        <v>4641013.9673101306</v>
      </c>
    </row>
    <row r="213" spans="5:13" x14ac:dyDescent="0.35">
      <c r="E213" s="515">
        <f t="shared" si="83"/>
        <v>209</v>
      </c>
      <c r="F213" s="331">
        <f t="shared" si="84"/>
        <v>52382</v>
      </c>
      <c r="G213" s="616">
        <f t="shared" si="85"/>
        <v>4641013.9673101306</v>
      </c>
      <c r="H213" s="616">
        <f t="shared" si="79"/>
        <v>41243.71</v>
      </c>
      <c r="I213" s="616">
        <f t="shared" si="80"/>
        <v>21961.11949081772</v>
      </c>
      <c r="J213" s="616">
        <f t="shared" si="81"/>
        <v>19282.590509182279</v>
      </c>
      <c r="K213" s="616">
        <f t="shared" si="86"/>
        <v>3076339.7110600658</v>
      </c>
      <c r="L213" s="616">
        <f t="shared" si="87"/>
        <v>5543595.678939932</v>
      </c>
      <c r="M213" s="617">
        <f t="shared" si="82"/>
        <v>4619052.8478193125</v>
      </c>
    </row>
    <row r="214" spans="5:13" x14ac:dyDescent="0.35">
      <c r="E214" s="515">
        <f t="shared" si="83"/>
        <v>210</v>
      </c>
      <c r="F214" s="331">
        <f t="shared" si="84"/>
        <v>52412</v>
      </c>
      <c r="G214" s="616">
        <f t="shared" si="85"/>
        <v>4619052.8478193125</v>
      </c>
      <c r="H214" s="616">
        <f t="shared" si="79"/>
        <v>41243.71</v>
      </c>
      <c r="I214" s="616">
        <f t="shared" si="80"/>
        <v>22052.364050141918</v>
      </c>
      <c r="J214" s="616">
        <f t="shared" si="81"/>
        <v>19191.345949858081</v>
      </c>
      <c r="K214" s="616">
        <f t="shared" si="86"/>
        <v>3098392.0751102078</v>
      </c>
      <c r="L214" s="616">
        <f t="shared" si="87"/>
        <v>5562787.0248897905</v>
      </c>
      <c r="M214" s="617">
        <f t="shared" si="82"/>
        <v>4597000.4837691709</v>
      </c>
    </row>
    <row r="215" spans="5:13" x14ac:dyDescent="0.35">
      <c r="E215" s="515">
        <f t="shared" si="83"/>
        <v>211</v>
      </c>
      <c r="F215" s="331">
        <f t="shared" si="84"/>
        <v>52443</v>
      </c>
      <c r="G215" s="616">
        <f t="shared" si="85"/>
        <v>4597000.4837691709</v>
      </c>
      <c r="H215" s="616">
        <f t="shared" si="79"/>
        <v>41243.71</v>
      </c>
      <c r="I215" s="616">
        <f t="shared" si="80"/>
        <v>22143.98771443887</v>
      </c>
      <c r="J215" s="616">
        <f t="shared" si="81"/>
        <v>19099.722285561129</v>
      </c>
      <c r="K215" s="616">
        <f t="shared" si="86"/>
        <v>3120536.0628246465</v>
      </c>
      <c r="L215" s="616">
        <f t="shared" si="87"/>
        <v>5581886.7471753517</v>
      </c>
      <c r="M215" s="617">
        <f t="shared" si="82"/>
        <v>4574856.4960547322</v>
      </c>
    </row>
    <row r="216" spans="5:13" x14ac:dyDescent="0.35">
      <c r="E216" s="515">
        <f t="shared" si="83"/>
        <v>212</v>
      </c>
      <c r="F216" s="331">
        <f t="shared" si="84"/>
        <v>52474</v>
      </c>
      <c r="G216" s="616">
        <f t="shared" si="85"/>
        <v>4574856.4960547322</v>
      </c>
      <c r="H216" s="616">
        <f t="shared" si="79"/>
        <v>41243.71</v>
      </c>
      <c r="I216" s="616">
        <f t="shared" si="80"/>
        <v>22235.992058822554</v>
      </c>
      <c r="J216" s="616">
        <f t="shared" si="81"/>
        <v>19007.717941177445</v>
      </c>
      <c r="K216" s="616">
        <f t="shared" si="86"/>
        <v>3142772.0548834689</v>
      </c>
      <c r="L216" s="616">
        <f t="shared" si="87"/>
        <v>5600894.4651165288</v>
      </c>
      <c r="M216" s="617">
        <f t="shared" si="82"/>
        <v>4552620.5039959094</v>
      </c>
    </row>
    <row r="217" spans="5:13" x14ac:dyDescent="0.35">
      <c r="E217" s="515">
        <f t="shared" si="83"/>
        <v>213</v>
      </c>
      <c r="F217" s="331">
        <f t="shared" si="84"/>
        <v>52504</v>
      </c>
      <c r="G217" s="616">
        <f t="shared" si="85"/>
        <v>4552620.5039959094</v>
      </c>
      <c r="H217" s="616">
        <f t="shared" si="79"/>
        <v>41243.71</v>
      </c>
      <c r="I217" s="616">
        <f t="shared" si="80"/>
        <v>22328.378664951262</v>
      </c>
      <c r="J217" s="616">
        <f t="shared" si="81"/>
        <v>18915.331335048737</v>
      </c>
      <c r="K217" s="616">
        <f t="shared" si="86"/>
        <v>3165100.4335484202</v>
      </c>
      <c r="L217" s="616">
        <f t="shared" si="87"/>
        <v>5619809.7964515779</v>
      </c>
      <c r="M217" s="617">
        <f t="shared" si="82"/>
        <v>4530292.1253309585</v>
      </c>
    </row>
    <row r="218" spans="5:13" x14ac:dyDescent="0.35">
      <c r="E218" s="515">
        <f t="shared" si="83"/>
        <v>214</v>
      </c>
      <c r="F218" s="331">
        <f t="shared" si="84"/>
        <v>52535</v>
      </c>
      <c r="G218" s="616">
        <f t="shared" si="85"/>
        <v>4530292.1253309585</v>
      </c>
      <c r="H218" s="616">
        <f t="shared" si="79"/>
        <v>41243.71</v>
      </c>
      <c r="I218" s="616">
        <f t="shared" si="80"/>
        <v>22421.14912105479</v>
      </c>
      <c r="J218" s="616">
        <f t="shared" si="81"/>
        <v>18822.560878945209</v>
      </c>
      <c r="K218" s="616">
        <f t="shared" si="86"/>
        <v>3187521.5826694751</v>
      </c>
      <c r="L218" s="616">
        <f t="shared" si="87"/>
        <v>5638632.3573305234</v>
      </c>
      <c r="M218" s="617">
        <f t="shared" si="82"/>
        <v>4507870.9762099041</v>
      </c>
    </row>
    <row r="219" spans="5:13" x14ac:dyDescent="0.35">
      <c r="E219" s="515">
        <f t="shared" si="83"/>
        <v>215</v>
      </c>
      <c r="F219" s="331">
        <f t="shared" si="84"/>
        <v>52565</v>
      </c>
      <c r="G219" s="616">
        <f t="shared" si="85"/>
        <v>4507870.9762099041</v>
      </c>
      <c r="H219" s="616">
        <f t="shared" si="79"/>
        <v>41243.71</v>
      </c>
      <c r="I219" s="616">
        <f t="shared" si="80"/>
        <v>22514.305021961762</v>
      </c>
      <c r="J219" s="616">
        <f t="shared" si="81"/>
        <v>18729.404978038237</v>
      </c>
      <c r="K219" s="616">
        <f t="shared" si="86"/>
        <v>3210035.8876914368</v>
      </c>
      <c r="L219" s="616">
        <f t="shared" si="87"/>
        <v>5657361.7623085612</v>
      </c>
      <c r="M219" s="617">
        <f t="shared" si="82"/>
        <v>4485356.6711879419</v>
      </c>
    </row>
    <row r="220" spans="5:13" x14ac:dyDescent="0.35">
      <c r="E220" s="515">
        <f t="shared" si="83"/>
        <v>216</v>
      </c>
      <c r="F220" s="331">
        <f t="shared" si="84"/>
        <v>52596</v>
      </c>
      <c r="G220" s="616">
        <f t="shared" si="85"/>
        <v>4485356.6711879419</v>
      </c>
      <c r="H220" s="616">
        <f t="shared" si="79"/>
        <v>41243.71</v>
      </c>
      <c r="I220" s="616">
        <f t="shared" si="80"/>
        <v>22607.847969127022</v>
      </c>
      <c r="J220" s="616">
        <f t="shared" si="81"/>
        <v>18635.862030872977</v>
      </c>
      <c r="K220" s="616">
        <f t="shared" si="86"/>
        <v>3232643.7356605637</v>
      </c>
      <c r="L220" s="616">
        <f t="shared" si="87"/>
        <v>5675997.6243394343</v>
      </c>
      <c r="M220" s="617">
        <f t="shared" si="82"/>
        <v>4462748.823218815</v>
      </c>
    </row>
    <row r="221" spans="5:13" x14ac:dyDescent="0.35">
      <c r="E221" s="515">
        <f t="shared" si="83"/>
        <v>217</v>
      </c>
      <c r="F221" s="331">
        <f t="shared" si="84"/>
        <v>52627</v>
      </c>
      <c r="G221" s="616">
        <f t="shared" si="85"/>
        <v>4462748.823218815</v>
      </c>
      <c r="H221" s="616">
        <f t="shared" si="79"/>
        <v>41243.71</v>
      </c>
      <c r="I221" s="616">
        <f t="shared" si="80"/>
        <v>22701.779570659171</v>
      </c>
      <c r="J221" s="616">
        <f t="shared" si="81"/>
        <v>18541.930429340828</v>
      </c>
      <c r="K221" s="616">
        <f t="shared" si="86"/>
        <v>3255345.5152312228</v>
      </c>
      <c r="L221" s="616">
        <f t="shared" si="87"/>
        <v>5694539.5547687756</v>
      </c>
      <c r="M221" s="617">
        <f t="shared" si="82"/>
        <v>4440047.0436481554</v>
      </c>
    </row>
    <row r="222" spans="5:13" x14ac:dyDescent="0.35">
      <c r="E222" s="515">
        <f t="shared" si="83"/>
        <v>218</v>
      </c>
      <c r="F222" s="331">
        <f t="shared" si="84"/>
        <v>52656</v>
      </c>
      <c r="G222" s="616">
        <f t="shared" si="85"/>
        <v>4440047.0436481554</v>
      </c>
      <c r="H222" s="616">
        <f t="shared" si="79"/>
        <v>41243.71</v>
      </c>
      <c r="I222" s="616">
        <f t="shared" si="80"/>
        <v>22796.101441348233</v>
      </c>
      <c r="J222" s="616">
        <f t="shared" si="81"/>
        <v>18447.608558651766</v>
      </c>
      <c r="K222" s="616">
        <f t="shared" si="86"/>
        <v>3278141.6166725713</v>
      </c>
      <c r="L222" s="616">
        <f t="shared" si="87"/>
        <v>5712987.1633274276</v>
      </c>
      <c r="M222" s="617">
        <f t="shared" si="82"/>
        <v>4417250.9422068074</v>
      </c>
    </row>
    <row r="223" spans="5:13" x14ac:dyDescent="0.35">
      <c r="E223" s="515">
        <f t="shared" si="83"/>
        <v>219</v>
      </c>
      <c r="F223" s="331">
        <f t="shared" si="84"/>
        <v>52687</v>
      </c>
      <c r="G223" s="616">
        <f t="shared" si="85"/>
        <v>4417250.9422068074</v>
      </c>
      <c r="H223" s="616">
        <f t="shared" si="79"/>
        <v>41243.71</v>
      </c>
      <c r="I223" s="616">
        <f t="shared" si="80"/>
        <v>22890.815202693375</v>
      </c>
      <c r="J223" s="616">
        <f t="shared" si="81"/>
        <v>18352.894797306624</v>
      </c>
      <c r="K223" s="616">
        <f t="shared" si="86"/>
        <v>3301032.4318752647</v>
      </c>
      <c r="L223" s="616">
        <f t="shared" si="87"/>
        <v>5731340.0581247341</v>
      </c>
      <c r="M223" s="617">
        <f t="shared" si="82"/>
        <v>4394360.127004114</v>
      </c>
    </row>
    <row r="224" spans="5:13" x14ac:dyDescent="0.35">
      <c r="E224" s="515">
        <f t="shared" si="83"/>
        <v>220</v>
      </c>
      <c r="F224" s="331">
        <f t="shared" si="84"/>
        <v>52717</v>
      </c>
      <c r="G224" s="616">
        <f t="shared" si="85"/>
        <v>4394360.127004114</v>
      </c>
      <c r="H224" s="616">
        <f t="shared" si="79"/>
        <v>41243.71</v>
      </c>
      <c r="I224" s="616">
        <f t="shared" si="80"/>
        <v>22985.92248293083</v>
      </c>
      <c r="J224" s="616">
        <f t="shared" si="81"/>
        <v>18257.78751706917</v>
      </c>
      <c r="K224" s="616">
        <f t="shared" si="86"/>
        <v>3324018.3543581958</v>
      </c>
      <c r="L224" s="616">
        <f t="shared" si="87"/>
        <v>5749597.845641803</v>
      </c>
      <c r="M224" s="617">
        <f t="shared" si="82"/>
        <v>4371374.2045211829</v>
      </c>
    </row>
    <row r="225" spans="5:13" x14ac:dyDescent="0.35">
      <c r="E225" s="515">
        <f t="shared" si="83"/>
        <v>221</v>
      </c>
      <c r="F225" s="331">
        <f t="shared" si="84"/>
        <v>52748</v>
      </c>
      <c r="G225" s="616">
        <f t="shared" si="85"/>
        <v>4371374.2045211829</v>
      </c>
      <c r="H225" s="616">
        <f t="shared" si="79"/>
        <v>41243.71</v>
      </c>
      <c r="I225" s="616">
        <f t="shared" si="80"/>
        <v>23081.424917061846</v>
      </c>
      <c r="J225" s="616">
        <f t="shared" si="81"/>
        <v>18162.285082938153</v>
      </c>
      <c r="K225" s="616">
        <f t="shared" si="86"/>
        <v>3347099.7792752576</v>
      </c>
      <c r="L225" s="616">
        <f t="shared" si="87"/>
        <v>5767760.1307247411</v>
      </c>
      <c r="M225" s="617">
        <f t="shared" si="82"/>
        <v>4348292.7796041211</v>
      </c>
    </row>
    <row r="226" spans="5:13" x14ac:dyDescent="0.35">
      <c r="E226" s="515">
        <f t="shared" si="83"/>
        <v>222</v>
      </c>
      <c r="F226" s="331">
        <f t="shared" si="84"/>
        <v>52778</v>
      </c>
      <c r="G226" s="616">
        <f t="shared" si="85"/>
        <v>4348292.7796041211</v>
      </c>
      <c r="H226" s="616">
        <f t="shared" si="79"/>
        <v>41243.71</v>
      </c>
      <c r="I226" s="616">
        <f t="shared" si="80"/>
        <v>23177.324146880819</v>
      </c>
      <c r="J226" s="616">
        <f t="shared" si="81"/>
        <v>18066.38585311918</v>
      </c>
      <c r="K226" s="616">
        <f t="shared" si="86"/>
        <v>3370277.1034221384</v>
      </c>
      <c r="L226" s="616">
        <f t="shared" si="87"/>
        <v>5785826.5165778603</v>
      </c>
      <c r="M226" s="617">
        <f t="shared" si="82"/>
        <v>4325115.4554572403</v>
      </c>
    </row>
    <row r="227" spans="5:13" x14ac:dyDescent="0.35">
      <c r="E227" s="515">
        <f t="shared" si="83"/>
        <v>223</v>
      </c>
      <c r="F227" s="331">
        <f t="shared" si="84"/>
        <v>52809</v>
      </c>
      <c r="G227" s="616">
        <f t="shared" si="85"/>
        <v>4325115.4554572403</v>
      </c>
      <c r="H227" s="616">
        <f t="shared" si="79"/>
        <v>41243.71</v>
      </c>
      <c r="I227" s="616">
        <f t="shared" si="80"/>
        <v>23273.621821003511</v>
      </c>
      <c r="J227" s="616">
        <f t="shared" si="81"/>
        <v>17970.088178996488</v>
      </c>
      <c r="K227" s="616">
        <f t="shared" si="86"/>
        <v>3393550.7252431419</v>
      </c>
      <c r="L227" s="616">
        <f t="shared" si="87"/>
        <v>5803796.6047568573</v>
      </c>
      <c r="M227" s="617">
        <f t="shared" si="82"/>
        <v>4301841.8336362364</v>
      </c>
    </row>
    <row r="228" spans="5:13" x14ac:dyDescent="0.35">
      <c r="E228" s="515">
        <f t="shared" si="83"/>
        <v>224</v>
      </c>
      <c r="F228" s="331">
        <f t="shared" si="84"/>
        <v>52840</v>
      </c>
      <c r="G228" s="616">
        <f t="shared" si="85"/>
        <v>4301841.8336362364</v>
      </c>
      <c r="H228" s="616">
        <f t="shared" si="79"/>
        <v>41243.71</v>
      </c>
      <c r="I228" s="616">
        <f t="shared" si="80"/>
        <v>23370.319594895387</v>
      </c>
      <c r="J228" s="616">
        <f t="shared" si="81"/>
        <v>17873.390405104612</v>
      </c>
      <c r="K228" s="616">
        <f t="shared" si="86"/>
        <v>3416921.0448380373</v>
      </c>
      <c r="L228" s="616">
        <f t="shared" si="87"/>
        <v>5821669.9951619618</v>
      </c>
      <c r="M228" s="617">
        <f t="shared" si="82"/>
        <v>4278471.5140413409</v>
      </c>
    </row>
    <row r="229" spans="5:13" x14ac:dyDescent="0.35">
      <c r="E229" s="515">
        <f t="shared" si="83"/>
        <v>225</v>
      </c>
      <c r="F229" s="331">
        <f t="shared" si="84"/>
        <v>52870</v>
      </c>
      <c r="G229" s="616">
        <f t="shared" si="85"/>
        <v>4278471.5140413409</v>
      </c>
      <c r="H229" s="616">
        <f t="shared" si="79"/>
        <v>41243.71</v>
      </c>
      <c r="I229" s="616">
        <f t="shared" si="80"/>
        <v>23467.419130900074</v>
      </c>
      <c r="J229" s="616">
        <f t="shared" si="81"/>
        <v>17776.290869099925</v>
      </c>
      <c r="K229" s="616">
        <f t="shared" si="86"/>
        <v>3440388.4639689373</v>
      </c>
      <c r="L229" s="616">
        <f t="shared" si="87"/>
        <v>5839446.2860310618</v>
      </c>
      <c r="M229" s="617">
        <f t="shared" si="82"/>
        <v>4255004.094910441</v>
      </c>
    </row>
    <row r="230" spans="5:13" x14ac:dyDescent="0.35">
      <c r="E230" s="515">
        <f t="shared" si="83"/>
        <v>226</v>
      </c>
      <c r="F230" s="331">
        <f t="shared" si="84"/>
        <v>52901</v>
      </c>
      <c r="G230" s="616">
        <f t="shared" si="85"/>
        <v>4255004.094910441</v>
      </c>
      <c r="H230" s="616">
        <f t="shared" si="79"/>
        <v>41243.71</v>
      </c>
      <c r="I230" s="616">
        <f t="shared" si="80"/>
        <v>23564.922098267947</v>
      </c>
      <c r="J230" s="616">
        <f t="shared" si="81"/>
        <v>17678.787901732052</v>
      </c>
      <c r="K230" s="616">
        <f t="shared" si="86"/>
        <v>3463953.3860672051</v>
      </c>
      <c r="L230" s="616">
        <f t="shared" si="87"/>
        <v>5857125.0739327939</v>
      </c>
      <c r="M230" s="617">
        <f t="shared" si="82"/>
        <v>4231439.1728121731</v>
      </c>
    </row>
    <row r="231" spans="5:13" x14ac:dyDescent="0.35">
      <c r="E231" s="515">
        <f t="shared" si="83"/>
        <v>227</v>
      </c>
      <c r="F231" s="331">
        <f t="shared" si="84"/>
        <v>52931</v>
      </c>
      <c r="G231" s="616">
        <f t="shared" si="85"/>
        <v>4231439.1728121731</v>
      </c>
      <c r="H231" s="616">
        <f t="shared" si="79"/>
        <v>41243.71</v>
      </c>
      <c r="I231" s="616">
        <f t="shared" si="80"/>
        <v>23662.830173184826</v>
      </c>
      <c r="J231" s="616">
        <f t="shared" si="81"/>
        <v>17580.879826815173</v>
      </c>
      <c r="K231" s="616">
        <f t="shared" si="86"/>
        <v>3487616.2162403897</v>
      </c>
      <c r="L231" s="616">
        <f t="shared" si="87"/>
        <v>5874705.9537596088</v>
      </c>
      <c r="M231" s="617">
        <f t="shared" si="82"/>
        <v>4207776.342638988</v>
      </c>
    </row>
    <row r="232" spans="5:13" x14ac:dyDescent="0.35">
      <c r="E232" s="515">
        <f t="shared" si="83"/>
        <v>228</v>
      </c>
      <c r="F232" s="331">
        <f t="shared" si="84"/>
        <v>52962</v>
      </c>
      <c r="G232" s="616">
        <f t="shared" si="85"/>
        <v>4207776.342638988</v>
      </c>
      <c r="H232" s="616">
        <f t="shared" si="79"/>
        <v>41243.71</v>
      </c>
      <c r="I232" s="616">
        <f t="shared" si="80"/>
        <v>23761.14503880078</v>
      </c>
      <c r="J232" s="616">
        <f t="shared" si="81"/>
        <v>17482.564961199219</v>
      </c>
      <c r="K232" s="616">
        <f t="shared" si="86"/>
        <v>3511377.3612791905</v>
      </c>
      <c r="L232" s="616">
        <f t="shared" si="87"/>
        <v>5892188.5187208084</v>
      </c>
      <c r="M232" s="617">
        <f t="shared" si="82"/>
        <v>4184015.1976001873</v>
      </c>
    </row>
    <row r="233" spans="5:13" x14ac:dyDescent="0.35">
      <c r="E233" s="515">
        <f t="shared" si="83"/>
        <v>229</v>
      </c>
      <c r="F233" s="331">
        <f t="shared" si="84"/>
        <v>52993</v>
      </c>
      <c r="G233" s="616">
        <f t="shared" si="85"/>
        <v>4184015.1976001873</v>
      </c>
      <c r="H233" s="616">
        <f t="shared" si="79"/>
        <v>41243.71</v>
      </c>
      <c r="I233" s="616">
        <f t="shared" si="80"/>
        <v>23859.868385259062</v>
      </c>
      <c r="J233" s="616">
        <f t="shared" si="81"/>
        <v>17383.841614740937</v>
      </c>
      <c r="K233" s="616">
        <f t="shared" si="86"/>
        <v>3535237.2296644496</v>
      </c>
      <c r="L233" s="616">
        <f t="shared" si="87"/>
        <v>5909572.3603355493</v>
      </c>
      <c r="M233" s="617">
        <f t="shared" si="82"/>
        <v>4160155.3292149282</v>
      </c>
    </row>
    <row r="234" spans="5:13" x14ac:dyDescent="0.35">
      <c r="E234" s="515">
        <f t="shared" si="83"/>
        <v>230</v>
      </c>
      <c r="F234" s="331">
        <f t="shared" si="84"/>
        <v>53021</v>
      </c>
      <c r="G234" s="616">
        <f t="shared" si="85"/>
        <v>4160155.3292149282</v>
      </c>
      <c r="H234" s="616">
        <f t="shared" si="79"/>
        <v>41243.71</v>
      </c>
      <c r="I234" s="616">
        <f t="shared" si="80"/>
        <v>23959.001909725179</v>
      </c>
      <c r="J234" s="616">
        <f t="shared" si="81"/>
        <v>17284.70809027482</v>
      </c>
      <c r="K234" s="616">
        <f t="shared" si="86"/>
        <v>3559196.2315741749</v>
      </c>
      <c r="L234" s="616">
        <f t="shared" si="87"/>
        <v>5926857.0684258239</v>
      </c>
      <c r="M234" s="617">
        <f t="shared" si="82"/>
        <v>4136196.3273052028</v>
      </c>
    </row>
    <row r="235" spans="5:13" x14ac:dyDescent="0.35">
      <c r="E235" s="515">
        <f t="shared" si="83"/>
        <v>231</v>
      </c>
      <c r="F235" s="331">
        <f t="shared" si="84"/>
        <v>53052</v>
      </c>
      <c r="G235" s="616">
        <f t="shared" si="85"/>
        <v>4136196.3273052028</v>
      </c>
      <c r="H235" s="616">
        <f t="shared" si="79"/>
        <v>41243.71</v>
      </c>
      <c r="I235" s="616">
        <f t="shared" si="80"/>
        <v>24058.547316416061</v>
      </c>
      <c r="J235" s="616">
        <f t="shared" si="81"/>
        <v>17185.162683583938</v>
      </c>
      <c r="K235" s="616">
        <f t="shared" si="86"/>
        <v>3583254.7788905911</v>
      </c>
      <c r="L235" s="616">
        <f t="shared" si="87"/>
        <v>5944042.2311094077</v>
      </c>
      <c r="M235" s="617">
        <f t="shared" si="82"/>
        <v>4112137.7799887867</v>
      </c>
    </row>
    <row r="236" spans="5:13" x14ac:dyDescent="0.35">
      <c r="E236" s="515">
        <f t="shared" si="83"/>
        <v>232</v>
      </c>
      <c r="F236" s="331">
        <f t="shared" si="84"/>
        <v>53082</v>
      </c>
      <c r="G236" s="616">
        <f t="shared" si="85"/>
        <v>4112137.7799887867</v>
      </c>
      <c r="H236" s="616">
        <f t="shared" si="79"/>
        <v>41243.71</v>
      </c>
      <c r="I236" s="616">
        <f t="shared" si="80"/>
        <v>24158.506316629351</v>
      </c>
      <c r="J236" s="616">
        <f t="shared" si="81"/>
        <v>17085.203683370648</v>
      </c>
      <c r="K236" s="616">
        <f t="shared" si="86"/>
        <v>3607413.2852072204</v>
      </c>
      <c r="L236" s="616">
        <f t="shared" si="87"/>
        <v>5961127.4347927785</v>
      </c>
      <c r="M236" s="617">
        <f t="shared" si="82"/>
        <v>4087979.2736721574</v>
      </c>
    </row>
    <row r="237" spans="5:13" x14ac:dyDescent="0.35">
      <c r="E237" s="515">
        <f t="shared" si="83"/>
        <v>233</v>
      </c>
      <c r="F237" s="331">
        <f t="shared" si="84"/>
        <v>53113</v>
      </c>
      <c r="G237" s="616">
        <f t="shared" si="85"/>
        <v>4087979.2736721574</v>
      </c>
      <c r="H237" s="616">
        <f t="shared" si="79"/>
        <v>41243.71</v>
      </c>
      <c r="I237" s="616">
        <f t="shared" si="80"/>
        <v>24258.880628772837</v>
      </c>
      <c r="J237" s="616">
        <f t="shared" si="81"/>
        <v>16984.829371227162</v>
      </c>
      <c r="K237" s="616">
        <f t="shared" si="86"/>
        <v>3631672.1658359934</v>
      </c>
      <c r="L237" s="616">
        <f t="shared" si="87"/>
        <v>5978112.2641640054</v>
      </c>
      <c r="M237" s="617">
        <f t="shared" si="82"/>
        <v>4063720.3930433844</v>
      </c>
    </row>
    <row r="238" spans="5:13" x14ac:dyDescent="0.35">
      <c r="E238" s="515">
        <f t="shared" si="83"/>
        <v>234</v>
      </c>
      <c r="F238" s="331">
        <f t="shared" si="84"/>
        <v>53143</v>
      </c>
      <c r="G238" s="616">
        <f t="shared" si="85"/>
        <v>4063720.3930433844</v>
      </c>
      <c r="H238" s="616">
        <f t="shared" si="79"/>
        <v>41243.71</v>
      </c>
      <c r="I238" s="616">
        <f t="shared" si="80"/>
        <v>24359.671978393977</v>
      </c>
      <c r="J238" s="616">
        <f t="shared" si="81"/>
        <v>16884.038021606022</v>
      </c>
      <c r="K238" s="616">
        <f t="shared" si="86"/>
        <v>3656031.8378143874</v>
      </c>
      <c r="L238" s="616">
        <f t="shared" si="87"/>
        <v>5994996.3021856118</v>
      </c>
      <c r="M238" s="617">
        <f t="shared" si="82"/>
        <v>4039360.7210649904</v>
      </c>
    </row>
    <row r="239" spans="5:13" x14ac:dyDescent="0.35">
      <c r="E239" s="515">
        <f t="shared" si="83"/>
        <v>235</v>
      </c>
      <c r="F239" s="331">
        <f t="shared" si="84"/>
        <v>53174</v>
      </c>
      <c r="G239" s="616">
        <f t="shared" si="85"/>
        <v>4039360.7210649904</v>
      </c>
      <c r="H239" s="616">
        <f t="shared" si="79"/>
        <v>41243.71</v>
      </c>
      <c r="I239" s="616">
        <f t="shared" si="80"/>
        <v>24460.882098209589</v>
      </c>
      <c r="J239" s="616">
        <f t="shared" si="81"/>
        <v>16782.82790179041</v>
      </c>
      <c r="K239" s="616">
        <f t="shared" si="86"/>
        <v>3680492.719912597</v>
      </c>
      <c r="L239" s="616">
        <f t="shared" si="87"/>
        <v>6011779.1300874026</v>
      </c>
      <c r="M239" s="617">
        <f t="shared" si="82"/>
        <v>4014899.8389667808</v>
      </c>
    </row>
    <row r="240" spans="5:13" x14ac:dyDescent="0.35">
      <c r="E240" s="515">
        <f t="shared" si="83"/>
        <v>236</v>
      </c>
      <c r="F240" s="331">
        <f t="shared" si="84"/>
        <v>53205</v>
      </c>
      <c r="G240" s="616">
        <f t="shared" si="85"/>
        <v>4014899.8389667808</v>
      </c>
      <c r="H240" s="616">
        <f t="shared" si="79"/>
        <v>41243.71</v>
      </c>
      <c r="I240" s="616">
        <f t="shared" si="80"/>
        <v>24562.512728135604</v>
      </c>
      <c r="J240" s="616">
        <f t="shared" si="81"/>
        <v>16681.197271864396</v>
      </c>
      <c r="K240" s="616">
        <f t="shared" si="86"/>
        <v>3705055.2326407325</v>
      </c>
      <c r="L240" s="616">
        <f t="shared" si="87"/>
        <v>6028460.3273592666</v>
      </c>
      <c r="M240" s="617">
        <f t="shared" si="82"/>
        <v>3990337.3262386452</v>
      </c>
    </row>
    <row r="241" spans="5:13" x14ac:dyDescent="0.35">
      <c r="E241" s="515">
        <f t="shared" si="83"/>
        <v>237</v>
      </c>
      <c r="F241" s="331">
        <f t="shared" si="84"/>
        <v>53235</v>
      </c>
      <c r="G241" s="616">
        <f t="shared" si="85"/>
        <v>3990337.3262386452</v>
      </c>
      <c r="H241" s="616">
        <f t="shared" si="79"/>
        <v>41243.71</v>
      </c>
      <c r="I241" s="616">
        <f t="shared" si="80"/>
        <v>24664.565615317006</v>
      </c>
      <c r="J241" s="616">
        <f t="shared" si="81"/>
        <v>16579.144384682993</v>
      </c>
      <c r="K241" s="616">
        <f t="shared" si="86"/>
        <v>3729719.7982560494</v>
      </c>
      <c r="L241" s="616">
        <f t="shared" si="87"/>
        <v>6045039.4717439497</v>
      </c>
      <c r="M241" s="617">
        <f t="shared" si="82"/>
        <v>3965672.7606233284</v>
      </c>
    </row>
    <row r="242" spans="5:13" x14ac:dyDescent="0.35">
      <c r="E242" s="515">
        <f t="shared" si="83"/>
        <v>238</v>
      </c>
      <c r="F242" s="331">
        <f t="shared" si="84"/>
        <v>53266</v>
      </c>
      <c r="G242" s="616">
        <f t="shared" si="85"/>
        <v>3965672.7606233284</v>
      </c>
      <c r="H242" s="616">
        <f t="shared" si="79"/>
        <v>41243.71</v>
      </c>
      <c r="I242" s="616">
        <f t="shared" si="80"/>
        <v>24767.042514157856</v>
      </c>
      <c r="J242" s="616">
        <f t="shared" si="81"/>
        <v>16476.667485842143</v>
      </c>
      <c r="K242" s="616">
        <f t="shared" si="86"/>
        <v>3754486.8407702073</v>
      </c>
      <c r="L242" s="616">
        <f t="shared" si="87"/>
        <v>6061516.1392297922</v>
      </c>
      <c r="M242" s="617">
        <f t="shared" si="82"/>
        <v>3940905.7181091704</v>
      </c>
    </row>
    <row r="243" spans="5:13" x14ac:dyDescent="0.35">
      <c r="E243" s="515">
        <f t="shared" si="83"/>
        <v>239</v>
      </c>
      <c r="F243" s="331">
        <f t="shared" si="84"/>
        <v>53296</v>
      </c>
      <c r="G243" s="616">
        <f t="shared" si="85"/>
        <v>3940905.7181091704</v>
      </c>
      <c r="H243" s="616">
        <f t="shared" si="79"/>
        <v>41243.71</v>
      </c>
      <c r="I243" s="616">
        <f t="shared" si="80"/>
        <v>24869.945186351451</v>
      </c>
      <c r="J243" s="616">
        <f t="shared" si="81"/>
        <v>16373.764813648548</v>
      </c>
      <c r="K243" s="616">
        <f t="shared" si="86"/>
        <v>3779356.7859565588</v>
      </c>
      <c r="L243" s="616">
        <f t="shared" si="87"/>
        <v>6077889.9040434407</v>
      </c>
      <c r="M243" s="617">
        <f t="shared" si="82"/>
        <v>3916035.772922819</v>
      </c>
    </row>
    <row r="244" spans="5:13" x14ac:dyDescent="0.35">
      <c r="E244" s="515">
        <f t="shared" si="83"/>
        <v>240</v>
      </c>
      <c r="F244" s="331">
        <f t="shared" si="84"/>
        <v>53327</v>
      </c>
      <c r="G244" s="616">
        <f t="shared" si="85"/>
        <v>3916035.772922819</v>
      </c>
      <c r="H244" s="616">
        <f t="shared" si="79"/>
        <v>41243.71</v>
      </c>
      <c r="I244" s="616">
        <f t="shared" si="80"/>
        <v>24973.275400910614</v>
      </c>
      <c r="J244" s="616">
        <f t="shared" si="81"/>
        <v>16270.434599089385</v>
      </c>
      <c r="K244" s="616">
        <f t="shared" si="86"/>
        <v>3804330.0613574693</v>
      </c>
      <c r="L244" s="616">
        <f t="shared" si="87"/>
        <v>6094160.3386425301</v>
      </c>
      <c r="M244" s="617">
        <f t="shared" si="82"/>
        <v>3891062.4975219085</v>
      </c>
    </row>
    <row r="245" spans="5:13" x14ac:dyDescent="0.35">
      <c r="E245" s="515">
        <f t="shared" si="83"/>
        <v>241</v>
      </c>
      <c r="F245" s="331">
        <f t="shared" si="84"/>
        <v>53358</v>
      </c>
      <c r="G245" s="616">
        <f t="shared" si="85"/>
        <v>3891062.4975219085</v>
      </c>
      <c r="H245" s="616">
        <f t="shared" si="79"/>
        <v>41243.71</v>
      </c>
      <c r="I245" s="616">
        <f t="shared" si="80"/>
        <v>25077.034934198098</v>
      </c>
      <c r="J245" s="616">
        <f t="shared" si="81"/>
        <v>16166.675065801901</v>
      </c>
      <c r="K245" s="616">
        <f t="shared" si="86"/>
        <v>3829407.0962916673</v>
      </c>
      <c r="L245" s="616">
        <f t="shared" si="87"/>
        <v>6110327.0137083316</v>
      </c>
      <c r="M245" s="617">
        <f t="shared" si="82"/>
        <v>3865985.4625877105</v>
      </c>
    </row>
    <row r="246" spans="5:13" x14ac:dyDescent="0.35">
      <c r="E246" s="515">
        <f t="shared" si="83"/>
        <v>242</v>
      </c>
      <c r="F246" s="331">
        <f t="shared" si="84"/>
        <v>53386</v>
      </c>
      <c r="G246" s="616">
        <f t="shared" si="85"/>
        <v>3865985.4625877105</v>
      </c>
      <c r="H246" s="616">
        <f t="shared" si="79"/>
        <v>41243.71</v>
      </c>
      <c r="I246" s="616">
        <f t="shared" si="80"/>
        <v>25181.225569957132</v>
      </c>
      <c r="J246" s="616">
        <f t="shared" si="81"/>
        <v>16062.484430042867</v>
      </c>
      <c r="K246" s="616">
        <f t="shared" si="86"/>
        <v>3854588.3218616243</v>
      </c>
      <c r="L246" s="616">
        <f t="shared" si="87"/>
        <v>6126389.4981383746</v>
      </c>
      <c r="M246" s="617">
        <f t="shared" si="82"/>
        <v>3840804.2370177535</v>
      </c>
    </row>
    <row r="247" spans="5:13" x14ac:dyDescent="0.35">
      <c r="E247" s="515">
        <f t="shared" si="83"/>
        <v>243</v>
      </c>
      <c r="F247" s="331">
        <f t="shared" si="84"/>
        <v>53417</v>
      </c>
      <c r="G247" s="616">
        <f t="shared" si="85"/>
        <v>3840804.2370177535</v>
      </c>
      <c r="H247" s="616">
        <f t="shared" si="79"/>
        <v>41243.71</v>
      </c>
      <c r="I247" s="616">
        <f t="shared" si="80"/>
        <v>25285.849099342078</v>
      </c>
      <c r="J247" s="616">
        <f t="shared" si="81"/>
        <v>15957.860900657919</v>
      </c>
      <c r="K247" s="616">
        <f t="shared" si="86"/>
        <v>3879874.1709609665</v>
      </c>
      <c r="L247" s="616">
        <f t="shared" si="87"/>
        <v>6142347.3590390328</v>
      </c>
      <c r="M247" s="617">
        <f t="shared" si="82"/>
        <v>3815518.3879184113</v>
      </c>
    </row>
    <row r="248" spans="5:13" x14ac:dyDescent="0.35">
      <c r="E248" s="515">
        <f t="shared" si="83"/>
        <v>244</v>
      </c>
      <c r="F248" s="331">
        <f t="shared" si="84"/>
        <v>53447</v>
      </c>
      <c r="G248" s="616">
        <f t="shared" si="85"/>
        <v>3815518.3879184113</v>
      </c>
      <c r="H248" s="616">
        <f t="shared" si="79"/>
        <v>41243.71</v>
      </c>
      <c r="I248" s="616">
        <f t="shared" si="80"/>
        <v>25390.907320949242</v>
      </c>
      <c r="J248" s="616">
        <f t="shared" si="81"/>
        <v>15852.802679050759</v>
      </c>
      <c r="K248" s="616">
        <f t="shared" si="86"/>
        <v>3905265.0782819157</v>
      </c>
      <c r="L248" s="616">
        <f t="shared" si="87"/>
        <v>6158200.1617180835</v>
      </c>
      <c r="M248" s="617">
        <f t="shared" si="82"/>
        <v>3790127.480597462</v>
      </c>
    </row>
    <row r="249" spans="5:13" x14ac:dyDescent="0.35">
      <c r="E249" s="515">
        <f t="shared" si="83"/>
        <v>245</v>
      </c>
      <c r="F249" s="331">
        <f t="shared" si="84"/>
        <v>53478</v>
      </c>
      <c r="G249" s="616">
        <f t="shared" si="85"/>
        <v>3790127.480597462</v>
      </c>
      <c r="H249" s="616">
        <f t="shared" si="79"/>
        <v>41243.71</v>
      </c>
      <c r="I249" s="616">
        <f t="shared" si="80"/>
        <v>25496.402040847752</v>
      </c>
      <c r="J249" s="616">
        <f t="shared" si="81"/>
        <v>15747.307959152247</v>
      </c>
      <c r="K249" s="616">
        <f t="shared" si="86"/>
        <v>3930761.4803227633</v>
      </c>
      <c r="L249" s="616">
        <f t="shared" si="87"/>
        <v>6173947.4696772359</v>
      </c>
      <c r="M249" s="617">
        <f t="shared" si="82"/>
        <v>3764631.0785566145</v>
      </c>
    </row>
    <row r="250" spans="5:13" x14ac:dyDescent="0.35">
      <c r="E250" s="515">
        <f t="shared" si="83"/>
        <v>246</v>
      </c>
      <c r="F250" s="331">
        <f t="shared" si="84"/>
        <v>53508</v>
      </c>
      <c r="G250" s="616">
        <f t="shared" si="85"/>
        <v>3764631.0785566145</v>
      </c>
      <c r="H250" s="616">
        <f t="shared" si="79"/>
        <v>41243.71</v>
      </c>
      <c r="I250" s="616">
        <f t="shared" si="80"/>
        <v>25602.335072610658</v>
      </c>
      <c r="J250" s="616">
        <f t="shared" si="81"/>
        <v>15641.374927389343</v>
      </c>
      <c r="K250" s="616">
        <f t="shared" si="86"/>
        <v>3956363.8153953739</v>
      </c>
      <c r="L250" s="616">
        <f t="shared" si="87"/>
        <v>6189588.8446046254</v>
      </c>
      <c r="M250" s="617">
        <f t="shared" si="82"/>
        <v>3739028.7434840039</v>
      </c>
    </row>
    <row r="251" spans="5:13" x14ac:dyDescent="0.35">
      <c r="E251" s="515">
        <f t="shared" si="83"/>
        <v>247</v>
      </c>
      <c r="F251" s="331">
        <f t="shared" si="84"/>
        <v>53539</v>
      </c>
      <c r="G251" s="616">
        <f t="shared" si="85"/>
        <v>3739028.7434840039</v>
      </c>
      <c r="H251" s="616">
        <f t="shared" si="79"/>
        <v>41243.71</v>
      </c>
      <c r="I251" s="616">
        <f t="shared" si="80"/>
        <v>25708.708237346065</v>
      </c>
      <c r="J251" s="616">
        <f t="shared" si="81"/>
        <v>15535.001762653932</v>
      </c>
      <c r="K251" s="616">
        <f t="shared" si="86"/>
        <v>3982072.5236327201</v>
      </c>
      <c r="L251" s="616">
        <f t="shared" si="87"/>
        <v>6205123.8463672791</v>
      </c>
      <c r="M251" s="617">
        <f t="shared" si="82"/>
        <v>3713320.0352466577</v>
      </c>
    </row>
    <row r="252" spans="5:13" x14ac:dyDescent="0.35">
      <c r="E252" s="515">
        <f t="shared" si="83"/>
        <v>248</v>
      </c>
      <c r="F252" s="331">
        <f t="shared" si="84"/>
        <v>53570</v>
      </c>
      <c r="G252" s="616">
        <f t="shared" si="85"/>
        <v>3713320.0352466577</v>
      </c>
      <c r="H252" s="616">
        <f t="shared" si="79"/>
        <v>41243.71</v>
      </c>
      <c r="I252" s="616">
        <f t="shared" si="80"/>
        <v>25815.523363728484</v>
      </c>
      <c r="J252" s="616">
        <f t="shared" si="81"/>
        <v>15428.186636271515</v>
      </c>
      <c r="K252" s="616">
        <f t="shared" si="86"/>
        <v>4007888.0469964487</v>
      </c>
      <c r="L252" s="616">
        <f t="shared" si="87"/>
        <v>6220552.033003551</v>
      </c>
      <c r="M252" s="617">
        <f t="shared" si="82"/>
        <v>3687504.5118829291</v>
      </c>
    </row>
    <row r="253" spans="5:13" x14ac:dyDescent="0.35">
      <c r="E253" s="515">
        <f t="shared" si="83"/>
        <v>249</v>
      </c>
      <c r="F253" s="331">
        <f t="shared" si="84"/>
        <v>53600</v>
      </c>
      <c r="G253" s="616">
        <f t="shared" si="85"/>
        <v>3687504.5118829291</v>
      </c>
      <c r="H253" s="616">
        <f t="shared" si="79"/>
        <v>41243.71</v>
      </c>
      <c r="I253" s="616">
        <f t="shared" si="80"/>
        <v>25922.782288030219</v>
      </c>
      <c r="J253" s="616">
        <f t="shared" si="81"/>
        <v>15320.927711969782</v>
      </c>
      <c r="K253" s="616">
        <f t="shared" si="86"/>
        <v>4033810.8292844789</v>
      </c>
      <c r="L253" s="616">
        <f t="shared" si="87"/>
        <v>6235872.9607155211</v>
      </c>
      <c r="M253" s="617">
        <f t="shared" si="82"/>
        <v>3661581.7295948989</v>
      </c>
    </row>
    <row r="254" spans="5:13" x14ac:dyDescent="0.35">
      <c r="E254" s="515">
        <f t="shared" si="83"/>
        <v>250</v>
      </c>
      <c r="F254" s="331">
        <f t="shared" si="84"/>
        <v>53631</v>
      </c>
      <c r="G254" s="616">
        <f t="shared" si="85"/>
        <v>3661581.7295948989</v>
      </c>
      <c r="H254" s="616">
        <f t="shared" si="79"/>
        <v>41243.71</v>
      </c>
      <c r="I254" s="616">
        <f t="shared" si="80"/>
        <v>26030.486854152969</v>
      </c>
      <c r="J254" s="616">
        <f t="shared" si="81"/>
        <v>15213.223145847031</v>
      </c>
      <c r="K254" s="616">
        <f t="shared" si="86"/>
        <v>4059841.3161386317</v>
      </c>
      <c r="L254" s="616">
        <f t="shared" si="87"/>
        <v>6251086.1838613683</v>
      </c>
      <c r="M254" s="617">
        <f t="shared" si="82"/>
        <v>3635551.2427407461</v>
      </c>
    </row>
    <row r="255" spans="5:13" x14ac:dyDescent="0.35">
      <c r="E255" s="515">
        <f t="shared" si="83"/>
        <v>251</v>
      </c>
      <c r="F255" s="331">
        <f t="shared" si="84"/>
        <v>53661</v>
      </c>
      <c r="G255" s="616">
        <f t="shared" si="85"/>
        <v>3635551.2427407461</v>
      </c>
      <c r="H255" s="616">
        <f t="shared" si="79"/>
        <v>41243.71</v>
      </c>
      <c r="I255" s="616">
        <f t="shared" si="80"/>
        <v>26138.638913659524</v>
      </c>
      <c r="J255" s="616">
        <f t="shared" si="81"/>
        <v>15105.071086340475</v>
      </c>
      <c r="K255" s="616">
        <f t="shared" si="86"/>
        <v>4085979.955052291</v>
      </c>
      <c r="L255" s="616">
        <f t="shared" si="87"/>
        <v>6266191.2549477089</v>
      </c>
      <c r="M255" s="617">
        <f t="shared" si="82"/>
        <v>3609412.6038270867</v>
      </c>
    </row>
    <row r="256" spans="5:13" x14ac:dyDescent="0.35">
      <c r="E256" s="515">
        <f t="shared" si="83"/>
        <v>252</v>
      </c>
      <c r="F256" s="331">
        <f t="shared" si="84"/>
        <v>53692</v>
      </c>
      <c r="G256" s="616">
        <f t="shared" si="85"/>
        <v>3609412.6038270867</v>
      </c>
      <c r="H256" s="616">
        <f t="shared" si="79"/>
        <v>41243.71</v>
      </c>
      <c r="I256" s="616">
        <f t="shared" si="80"/>
        <v>26247.240325805586</v>
      </c>
      <c r="J256" s="616">
        <f t="shared" si="81"/>
        <v>14996.469674194414</v>
      </c>
      <c r="K256" s="616">
        <f t="shared" si="86"/>
        <v>4112227.1953780968</v>
      </c>
      <c r="L256" s="616">
        <f t="shared" si="87"/>
        <v>6281187.7246219032</v>
      </c>
      <c r="M256" s="617">
        <f t="shared" si="82"/>
        <v>3583165.363501281</v>
      </c>
    </row>
    <row r="257" spans="5:13" x14ac:dyDescent="0.35">
      <c r="E257" s="515">
        <f t="shared" si="83"/>
        <v>253</v>
      </c>
      <c r="F257" s="331">
        <f t="shared" si="84"/>
        <v>53723</v>
      </c>
      <c r="G257" s="616">
        <f t="shared" si="85"/>
        <v>3583165.363501281</v>
      </c>
      <c r="H257" s="616">
        <f t="shared" si="79"/>
        <v>41243.71</v>
      </c>
      <c r="I257" s="616">
        <f t="shared" si="80"/>
        <v>26356.292957571728</v>
      </c>
      <c r="J257" s="616">
        <f t="shared" si="81"/>
        <v>14887.417042428269</v>
      </c>
      <c r="K257" s="616">
        <f t="shared" si="86"/>
        <v>4138583.4883356686</v>
      </c>
      <c r="L257" s="616">
        <f t="shared" si="87"/>
        <v>6296075.1416643318</v>
      </c>
      <c r="M257" s="617">
        <f t="shared" si="82"/>
        <v>3556809.0705437092</v>
      </c>
    </row>
    <row r="258" spans="5:13" x14ac:dyDescent="0.35">
      <c r="E258" s="515">
        <f t="shared" si="83"/>
        <v>254</v>
      </c>
      <c r="F258" s="331">
        <f t="shared" si="84"/>
        <v>53751</v>
      </c>
      <c r="G258" s="616">
        <f t="shared" si="85"/>
        <v>3556809.0705437092</v>
      </c>
      <c r="H258" s="616">
        <f t="shared" si="79"/>
        <v>41243.71</v>
      </c>
      <c r="I258" s="616">
        <f t="shared" si="80"/>
        <v>26465.79868369551</v>
      </c>
      <c r="J258" s="616">
        <f t="shared" si="81"/>
        <v>14777.911316304489</v>
      </c>
      <c r="K258" s="616">
        <f t="shared" si="86"/>
        <v>4165049.2870193641</v>
      </c>
      <c r="L258" s="616">
        <f t="shared" si="87"/>
        <v>6310853.0529806362</v>
      </c>
      <c r="M258" s="617">
        <f t="shared" si="82"/>
        <v>3530343.2718600137</v>
      </c>
    </row>
    <row r="259" spans="5:13" x14ac:dyDescent="0.35">
      <c r="E259" s="515">
        <f t="shared" si="83"/>
        <v>255</v>
      </c>
      <c r="F259" s="331">
        <f t="shared" si="84"/>
        <v>53782</v>
      </c>
      <c r="G259" s="616">
        <f t="shared" si="85"/>
        <v>3530343.2718600137</v>
      </c>
      <c r="H259" s="616">
        <f t="shared" si="79"/>
        <v>41243.71</v>
      </c>
      <c r="I259" s="616">
        <f t="shared" si="80"/>
        <v>26575.759386703678</v>
      </c>
      <c r="J259" s="616">
        <f t="shared" si="81"/>
        <v>14667.95061329632</v>
      </c>
      <c r="K259" s="616">
        <f t="shared" si="86"/>
        <v>4191625.0464060679</v>
      </c>
      <c r="L259" s="616">
        <f t="shared" si="87"/>
        <v>6325521.0035939328</v>
      </c>
      <c r="M259" s="617">
        <f t="shared" si="82"/>
        <v>3503767.5124733099</v>
      </c>
    </row>
    <row r="260" spans="5:13" x14ac:dyDescent="0.35">
      <c r="E260" s="515">
        <f t="shared" si="83"/>
        <v>256</v>
      </c>
      <c r="F260" s="331">
        <f t="shared" si="84"/>
        <v>53812</v>
      </c>
      <c r="G260" s="616">
        <f t="shared" si="85"/>
        <v>3503767.5124733099</v>
      </c>
      <c r="H260" s="616">
        <f t="shared" si="79"/>
        <v>41243.71</v>
      </c>
      <c r="I260" s="616">
        <f t="shared" si="80"/>
        <v>26686.176956944561</v>
      </c>
      <c r="J260" s="616">
        <f t="shared" si="81"/>
        <v>14557.53304305544</v>
      </c>
      <c r="K260" s="616">
        <f t="shared" si="86"/>
        <v>4218311.2233630121</v>
      </c>
      <c r="L260" s="616">
        <f t="shared" si="87"/>
        <v>6340078.5366369886</v>
      </c>
      <c r="M260" s="617">
        <f t="shared" si="82"/>
        <v>3477081.3355163652</v>
      </c>
    </row>
    <row r="261" spans="5:13" x14ac:dyDescent="0.35">
      <c r="E261" s="515">
        <f t="shared" si="83"/>
        <v>257</v>
      </c>
      <c r="F261" s="331">
        <f t="shared" si="84"/>
        <v>53843</v>
      </c>
      <c r="G261" s="616">
        <f t="shared" si="85"/>
        <v>3477081.3355163652</v>
      </c>
      <c r="H261" s="616">
        <f t="shared" ref="H261:H324" si="88">J261+I261</f>
        <v>41243.71</v>
      </c>
      <c r="I261" s="616">
        <f t="shared" ref="I261:I324" si="89">IF(E261&lt;=$C$6,0,$C$12-J261)</f>
        <v>26797.053292620527</v>
      </c>
      <c r="J261" s="616">
        <f t="shared" ref="J261:J324" si="90">G261*($C$9/12)</f>
        <v>14446.656707379472</v>
      </c>
      <c r="K261" s="616">
        <f t="shared" si="86"/>
        <v>4245108.276655633</v>
      </c>
      <c r="L261" s="616">
        <f t="shared" si="87"/>
        <v>6354525.1933443677</v>
      </c>
      <c r="M261" s="617">
        <f t="shared" ref="M261:M324" si="91">G261-I261</f>
        <v>3450284.2822237448</v>
      </c>
    </row>
    <row r="262" spans="5:13" x14ac:dyDescent="0.35">
      <c r="E262" s="515">
        <f t="shared" ref="E262:E325" si="92">1+E261</f>
        <v>258</v>
      </c>
      <c r="F262" s="331">
        <f t="shared" ref="F262:F325" si="93">EOMONTH(F261,1)</f>
        <v>53873</v>
      </c>
      <c r="G262" s="616">
        <f t="shared" ref="G262:G325" si="94">M261</f>
        <v>3450284.2822237448</v>
      </c>
      <c r="H262" s="616">
        <f t="shared" si="88"/>
        <v>41243.71</v>
      </c>
      <c r="I262" s="616">
        <f t="shared" si="89"/>
        <v>26908.390299820661</v>
      </c>
      <c r="J262" s="616">
        <f t="shared" si="90"/>
        <v>14335.319700179336</v>
      </c>
      <c r="K262" s="616">
        <f t="shared" ref="K262:K325" si="95">I262+K261</f>
        <v>4272016.6669554533</v>
      </c>
      <c r="L262" s="616">
        <f t="shared" ref="L262:L325" si="96">L261+J262</f>
        <v>6368860.5130445473</v>
      </c>
      <c r="M262" s="617">
        <f t="shared" si="91"/>
        <v>3423375.891923924</v>
      </c>
    </row>
    <row r="263" spans="5:13" x14ac:dyDescent="0.35">
      <c r="E263" s="515">
        <f t="shared" si="92"/>
        <v>259</v>
      </c>
      <c r="F263" s="331">
        <f t="shared" si="93"/>
        <v>53904</v>
      </c>
      <c r="G263" s="616">
        <f t="shared" si="94"/>
        <v>3423375.891923924</v>
      </c>
      <c r="H263" s="616">
        <f t="shared" si="88"/>
        <v>41243.71</v>
      </c>
      <c r="I263" s="616">
        <f t="shared" si="89"/>
        <v>27020.189892553502</v>
      </c>
      <c r="J263" s="616">
        <f t="shared" si="90"/>
        <v>14223.520107446497</v>
      </c>
      <c r="K263" s="616">
        <f t="shared" si="95"/>
        <v>4299036.8568480071</v>
      </c>
      <c r="L263" s="616">
        <f t="shared" si="96"/>
        <v>6383084.0331519935</v>
      </c>
      <c r="M263" s="617">
        <f t="shared" si="91"/>
        <v>3396355.7020313703</v>
      </c>
    </row>
    <row r="264" spans="5:13" x14ac:dyDescent="0.35">
      <c r="E264" s="515">
        <f t="shared" si="92"/>
        <v>260</v>
      </c>
      <c r="F264" s="331">
        <f t="shared" si="93"/>
        <v>53935</v>
      </c>
      <c r="G264" s="616">
        <f t="shared" si="94"/>
        <v>3396355.7020313703</v>
      </c>
      <c r="H264" s="616">
        <f t="shared" si="88"/>
        <v>41243.71</v>
      </c>
      <c r="I264" s="616">
        <f t="shared" si="89"/>
        <v>27132.453992779956</v>
      </c>
      <c r="J264" s="616">
        <f t="shared" si="90"/>
        <v>14111.256007220045</v>
      </c>
      <c r="K264" s="616">
        <f t="shared" si="95"/>
        <v>4326169.3108407874</v>
      </c>
      <c r="L264" s="616">
        <f t="shared" si="96"/>
        <v>6397195.2891592132</v>
      </c>
      <c r="M264" s="617">
        <f t="shared" si="91"/>
        <v>3369223.2480385904</v>
      </c>
    </row>
    <row r="265" spans="5:13" x14ac:dyDescent="0.35">
      <c r="E265" s="515">
        <f t="shared" si="92"/>
        <v>261</v>
      </c>
      <c r="F265" s="331">
        <f t="shared" si="93"/>
        <v>53965</v>
      </c>
      <c r="G265" s="616">
        <f t="shared" si="94"/>
        <v>3369223.2480385904</v>
      </c>
      <c r="H265" s="616">
        <f t="shared" si="88"/>
        <v>41243.71</v>
      </c>
      <c r="I265" s="616">
        <f t="shared" si="89"/>
        <v>27245.18453044632</v>
      </c>
      <c r="J265" s="616">
        <f t="shared" si="90"/>
        <v>13998.525469553677</v>
      </c>
      <c r="K265" s="616">
        <f t="shared" si="95"/>
        <v>4353414.4953712337</v>
      </c>
      <c r="L265" s="616">
        <f t="shared" si="96"/>
        <v>6411193.8146287668</v>
      </c>
      <c r="M265" s="617">
        <f t="shared" si="91"/>
        <v>3341978.0635081441</v>
      </c>
    </row>
    <row r="266" spans="5:13" x14ac:dyDescent="0.35">
      <c r="E266" s="515">
        <f t="shared" si="92"/>
        <v>262</v>
      </c>
      <c r="F266" s="331">
        <f t="shared" si="93"/>
        <v>53996</v>
      </c>
      <c r="G266" s="616">
        <f t="shared" si="94"/>
        <v>3341978.0635081441</v>
      </c>
      <c r="H266" s="616">
        <f t="shared" si="88"/>
        <v>41243.71</v>
      </c>
      <c r="I266" s="616">
        <f t="shared" si="89"/>
        <v>27358.383443517509</v>
      </c>
      <c r="J266" s="616">
        <f t="shared" si="90"/>
        <v>13885.326556482489</v>
      </c>
      <c r="K266" s="616">
        <f t="shared" si="95"/>
        <v>4380772.8788147513</v>
      </c>
      <c r="L266" s="616">
        <f t="shared" si="96"/>
        <v>6425079.1411852492</v>
      </c>
      <c r="M266" s="617">
        <f t="shared" si="91"/>
        <v>3314619.6800646265</v>
      </c>
    </row>
    <row r="267" spans="5:13" x14ac:dyDescent="0.35">
      <c r="E267" s="515">
        <f t="shared" si="92"/>
        <v>263</v>
      </c>
      <c r="F267" s="331">
        <f t="shared" si="93"/>
        <v>54026</v>
      </c>
      <c r="G267" s="616">
        <f t="shared" si="94"/>
        <v>3314619.6800646265</v>
      </c>
      <c r="H267" s="616">
        <f t="shared" si="88"/>
        <v>41243.71</v>
      </c>
      <c r="I267" s="616">
        <f t="shared" si="89"/>
        <v>27472.05267801031</v>
      </c>
      <c r="J267" s="616">
        <f t="shared" si="90"/>
        <v>13771.657321989687</v>
      </c>
      <c r="K267" s="616">
        <f t="shared" si="95"/>
        <v>4408244.9314927617</v>
      </c>
      <c r="L267" s="616">
        <f t="shared" si="96"/>
        <v>6438850.7985072387</v>
      </c>
      <c r="M267" s="617">
        <f t="shared" si="91"/>
        <v>3287147.6273866161</v>
      </c>
    </row>
    <row r="268" spans="5:13" x14ac:dyDescent="0.35">
      <c r="E268" s="515">
        <f t="shared" si="92"/>
        <v>264</v>
      </c>
      <c r="F268" s="331">
        <f t="shared" si="93"/>
        <v>54057</v>
      </c>
      <c r="G268" s="616">
        <f t="shared" si="94"/>
        <v>3287147.6273866161</v>
      </c>
      <c r="H268" s="616">
        <f t="shared" si="88"/>
        <v>41243.71</v>
      </c>
      <c r="I268" s="616">
        <f t="shared" si="89"/>
        <v>27586.194188026879</v>
      </c>
      <c r="J268" s="616">
        <f t="shared" si="90"/>
        <v>13657.51581197312</v>
      </c>
      <c r="K268" s="616">
        <f t="shared" si="95"/>
        <v>4435831.1256807884</v>
      </c>
      <c r="L268" s="616">
        <f t="shared" si="96"/>
        <v>6452508.314319212</v>
      </c>
      <c r="M268" s="617">
        <f t="shared" si="91"/>
        <v>3259561.4331985894</v>
      </c>
    </row>
    <row r="269" spans="5:13" x14ac:dyDescent="0.35">
      <c r="E269" s="515">
        <f t="shared" si="92"/>
        <v>265</v>
      </c>
      <c r="F269" s="331">
        <f t="shared" si="93"/>
        <v>54088</v>
      </c>
      <c r="G269" s="616">
        <f t="shared" si="94"/>
        <v>3259561.4331985894</v>
      </c>
      <c r="H269" s="616">
        <f t="shared" si="88"/>
        <v>41243.71</v>
      </c>
      <c r="I269" s="616">
        <f t="shared" si="89"/>
        <v>27700.809935788311</v>
      </c>
      <c r="J269" s="616">
        <f t="shared" si="90"/>
        <v>13542.900064211688</v>
      </c>
      <c r="K269" s="616">
        <f t="shared" si="95"/>
        <v>4463531.935616577</v>
      </c>
      <c r="L269" s="616">
        <f t="shared" si="96"/>
        <v>6466051.2143834233</v>
      </c>
      <c r="M269" s="617">
        <f t="shared" si="91"/>
        <v>3231860.6232628012</v>
      </c>
    </row>
    <row r="270" spans="5:13" x14ac:dyDescent="0.35">
      <c r="E270" s="515">
        <f t="shared" si="92"/>
        <v>266</v>
      </c>
      <c r="F270" s="331">
        <f t="shared" si="93"/>
        <v>54117</v>
      </c>
      <c r="G270" s="616">
        <f t="shared" si="94"/>
        <v>3231860.6232628012</v>
      </c>
      <c r="H270" s="616">
        <f t="shared" si="88"/>
        <v>41243.71</v>
      </c>
      <c r="I270" s="616">
        <f t="shared" si="89"/>
        <v>27815.901891668393</v>
      </c>
      <c r="J270" s="616">
        <f t="shared" si="90"/>
        <v>13427.808108331608</v>
      </c>
      <c r="K270" s="616">
        <f t="shared" si="95"/>
        <v>4491347.8375082454</v>
      </c>
      <c r="L270" s="616">
        <f t="shared" si="96"/>
        <v>6479479.022491755</v>
      </c>
      <c r="M270" s="617">
        <f t="shared" si="91"/>
        <v>3204044.7213711329</v>
      </c>
    </row>
    <row r="271" spans="5:13" x14ac:dyDescent="0.35">
      <c r="E271" s="515">
        <f t="shared" si="92"/>
        <v>267</v>
      </c>
      <c r="F271" s="331">
        <f t="shared" si="93"/>
        <v>54148</v>
      </c>
      <c r="G271" s="616">
        <f t="shared" si="94"/>
        <v>3204044.7213711329</v>
      </c>
      <c r="H271" s="616">
        <f t="shared" si="88"/>
        <v>41243.71</v>
      </c>
      <c r="I271" s="616">
        <f t="shared" si="89"/>
        <v>27931.472034227452</v>
      </c>
      <c r="J271" s="616">
        <f t="shared" si="90"/>
        <v>13312.237965772547</v>
      </c>
      <c r="K271" s="616">
        <f t="shared" si="95"/>
        <v>4519279.3095424725</v>
      </c>
      <c r="L271" s="616">
        <f t="shared" si="96"/>
        <v>6492791.2604575278</v>
      </c>
      <c r="M271" s="617">
        <f t="shared" si="91"/>
        <v>3176113.2493369053</v>
      </c>
    </row>
    <row r="272" spans="5:13" x14ac:dyDescent="0.35">
      <c r="E272" s="515">
        <f t="shared" si="92"/>
        <v>268</v>
      </c>
      <c r="F272" s="331">
        <f t="shared" si="93"/>
        <v>54178</v>
      </c>
      <c r="G272" s="616">
        <f t="shared" si="94"/>
        <v>3176113.2493369053</v>
      </c>
      <c r="H272" s="616">
        <f t="shared" si="88"/>
        <v>41243.71</v>
      </c>
      <c r="I272" s="616">
        <f t="shared" si="89"/>
        <v>28047.5223502464</v>
      </c>
      <c r="J272" s="616">
        <f t="shared" si="90"/>
        <v>13196.1876497536</v>
      </c>
      <c r="K272" s="616">
        <f t="shared" si="95"/>
        <v>4547326.8318927186</v>
      </c>
      <c r="L272" s="616">
        <f t="shared" si="96"/>
        <v>6505987.4481072817</v>
      </c>
      <c r="M272" s="617">
        <f t="shared" si="91"/>
        <v>3148065.7269866588</v>
      </c>
    </row>
    <row r="273" spans="5:13" x14ac:dyDescent="0.35">
      <c r="E273" s="515">
        <f t="shared" si="92"/>
        <v>269</v>
      </c>
      <c r="F273" s="331">
        <f t="shared" si="93"/>
        <v>54209</v>
      </c>
      <c r="G273" s="616">
        <f t="shared" si="94"/>
        <v>3148065.7269866588</v>
      </c>
      <c r="H273" s="616">
        <f t="shared" si="88"/>
        <v>41243.71</v>
      </c>
      <c r="I273" s="616">
        <f t="shared" si="89"/>
        <v>28164.054834760856</v>
      </c>
      <c r="J273" s="616">
        <f t="shared" si="90"/>
        <v>13079.655165239143</v>
      </c>
      <c r="K273" s="616">
        <f t="shared" si="95"/>
        <v>4575490.8867274793</v>
      </c>
      <c r="L273" s="616">
        <f t="shared" si="96"/>
        <v>6519067.1032725209</v>
      </c>
      <c r="M273" s="617">
        <f t="shared" si="91"/>
        <v>3119901.672151898</v>
      </c>
    </row>
    <row r="274" spans="5:13" x14ac:dyDescent="0.35">
      <c r="E274" s="515">
        <f t="shared" si="92"/>
        <v>270</v>
      </c>
      <c r="F274" s="331">
        <f t="shared" si="93"/>
        <v>54239</v>
      </c>
      <c r="G274" s="616">
        <f t="shared" si="94"/>
        <v>3119901.672151898</v>
      </c>
      <c r="H274" s="616">
        <f t="shared" si="88"/>
        <v>41243.71</v>
      </c>
      <c r="I274" s="616">
        <f t="shared" si="89"/>
        <v>28281.071491095463</v>
      </c>
      <c r="J274" s="616">
        <f t="shared" si="90"/>
        <v>12962.638508904534</v>
      </c>
      <c r="K274" s="616">
        <f t="shared" si="95"/>
        <v>4603771.9582185745</v>
      </c>
      <c r="L274" s="616">
        <f t="shared" si="96"/>
        <v>6532029.7417814257</v>
      </c>
      <c r="M274" s="617">
        <f t="shared" si="91"/>
        <v>3091620.6006608028</v>
      </c>
    </row>
    <row r="275" spans="5:13" x14ac:dyDescent="0.35">
      <c r="E275" s="515">
        <f t="shared" si="92"/>
        <v>271</v>
      </c>
      <c r="F275" s="331">
        <f t="shared" si="93"/>
        <v>54270</v>
      </c>
      <c r="G275" s="616">
        <f t="shared" si="94"/>
        <v>3091620.6006608028</v>
      </c>
      <c r="H275" s="616">
        <f t="shared" si="88"/>
        <v>41243.71</v>
      </c>
      <c r="I275" s="616">
        <f t="shared" si="89"/>
        <v>28398.574330898329</v>
      </c>
      <c r="J275" s="616">
        <f t="shared" si="90"/>
        <v>12845.13566910167</v>
      </c>
      <c r="K275" s="616">
        <f t="shared" si="95"/>
        <v>4632170.5325494725</v>
      </c>
      <c r="L275" s="616">
        <f t="shared" si="96"/>
        <v>6544874.8774505276</v>
      </c>
      <c r="M275" s="617">
        <f t="shared" si="91"/>
        <v>3063222.0263299043</v>
      </c>
    </row>
    <row r="276" spans="5:13" x14ac:dyDescent="0.35">
      <c r="E276" s="515">
        <f t="shared" si="92"/>
        <v>272</v>
      </c>
      <c r="F276" s="331">
        <f t="shared" si="93"/>
        <v>54301</v>
      </c>
      <c r="G276" s="616">
        <f t="shared" si="94"/>
        <v>3063222.0263299043</v>
      </c>
      <c r="H276" s="616">
        <f t="shared" si="88"/>
        <v>41243.71</v>
      </c>
      <c r="I276" s="616">
        <f t="shared" si="89"/>
        <v>28516.565374175596</v>
      </c>
      <c r="J276" s="616">
        <f t="shared" si="90"/>
        <v>12727.144625824403</v>
      </c>
      <c r="K276" s="616">
        <f t="shared" si="95"/>
        <v>4660687.0979236485</v>
      </c>
      <c r="L276" s="616">
        <f t="shared" si="96"/>
        <v>6557602.0220763516</v>
      </c>
      <c r="M276" s="617">
        <f t="shared" si="91"/>
        <v>3034705.4609557288</v>
      </c>
    </row>
    <row r="277" spans="5:13" x14ac:dyDescent="0.35">
      <c r="E277" s="515">
        <f t="shared" si="92"/>
        <v>273</v>
      </c>
      <c r="F277" s="331">
        <f t="shared" si="93"/>
        <v>54331</v>
      </c>
      <c r="G277" s="616">
        <f t="shared" si="94"/>
        <v>3034705.4609557288</v>
      </c>
      <c r="H277" s="616">
        <f t="shared" si="88"/>
        <v>41243.71</v>
      </c>
      <c r="I277" s="616">
        <f t="shared" si="89"/>
        <v>28635.046649326177</v>
      </c>
      <c r="J277" s="616">
        <f t="shared" si="90"/>
        <v>12608.663350673824</v>
      </c>
      <c r="K277" s="616">
        <f t="shared" si="95"/>
        <v>4689322.1445729751</v>
      </c>
      <c r="L277" s="616">
        <f t="shared" si="96"/>
        <v>6570210.685427025</v>
      </c>
      <c r="M277" s="617">
        <f t="shared" si="91"/>
        <v>3006070.4143064027</v>
      </c>
    </row>
    <row r="278" spans="5:13" x14ac:dyDescent="0.35">
      <c r="E278" s="515">
        <f t="shared" si="92"/>
        <v>274</v>
      </c>
      <c r="F278" s="331">
        <f t="shared" si="93"/>
        <v>54362</v>
      </c>
      <c r="G278" s="616">
        <f t="shared" si="94"/>
        <v>3006070.4143064027</v>
      </c>
      <c r="H278" s="616">
        <f t="shared" si="88"/>
        <v>41243.71</v>
      </c>
      <c r="I278" s="616">
        <f t="shared" si="89"/>
        <v>28754.020193176617</v>
      </c>
      <c r="J278" s="616">
        <f t="shared" si="90"/>
        <v>12489.689806823382</v>
      </c>
      <c r="K278" s="616">
        <f t="shared" si="95"/>
        <v>4718076.1647661515</v>
      </c>
      <c r="L278" s="616">
        <f t="shared" si="96"/>
        <v>6582700.3752338486</v>
      </c>
      <c r="M278" s="617">
        <f t="shared" si="91"/>
        <v>2977316.3941132259</v>
      </c>
    </row>
    <row r="279" spans="5:13" x14ac:dyDescent="0.35">
      <c r="E279" s="515">
        <f t="shared" si="92"/>
        <v>275</v>
      </c>
      <c r="F279" s="331">
        <f t="shared" si="93"/>
        <v>54392</v>
      </c>
      <c r="G279" s="616">
        <f t="shared" si="94"/>
        <v>2977316.3941132259</v>
      </c>
      <c r="H279" s="616">
        <f t="shared" si="88"/>
        <v>41243.71</v>
      </c>
      <c r="I279" s="616">
        <f t="shared" si="89"/>
        <v>28873.488051016127</v>
      </c>
      <c r="J279" s="616">
        <f t="shared" si="90"/>
        <v>12370.221948983872</v>
      </c>
      <c r="K279" s="616">
        <f t="shared" si="95"/>
        <v>4746949.6528171673</v>
      </c>
      <c r="L279" s="616">
        <f t="shared" si="96"/>
        <v>6595070.5971828327</v>
      </c>
      <c r="M279" s="617">
        <f t="shared" si="91"/>
        <v>2948442.9060622095</v>
      </c>
    </row>
    <row r="280" spans="5:13" x14ac:dyDescent="0.35">
      <c r="E280" s="515">
        <f t="shared" si="92"/>
        <v>276</v>
      </c>
      <c r="F280" s="331">
        <f t="shared" si="93"/>
        <v>54423</v>
      </c>
      <c r="G280" s="616">
        <f t="shared" si="94"/>
        <v>2948442.9060622095</v>
      </c>
      <c r="H280" s="616">
        <f t="shared" si="88"/>
        <v>41243.71</v>
      </c>
      <c r="I280" s="616">
        <f t="shared" si="89"/>
        <v>28993.45227663172</v>
      </c>
      <c r="J280" s="616">
        <f t="shared" si="90"/>
        <v>12250.257723368279</v>
      </c>
      <c r="K280" s="616">
        <f t="shared" si="95"/>
        <v>4775943.1050937986</v>
      </c>
      <c r="L280" s="616">
        <f t="shared" si="96"/>
        <v>6607320.8549062014</v>
      </c>
      <c r="M280" s="617">
        <f t="shared" si="91"/>
        <v>2919449.4537855778</v>
      </c>
    </row>
    <row r="281" spans="5:13" x14ac:dyDescent="0.35">
      <c r="E281" s="515">
        <f t="shared" si="92"/>
        <v>277</v>
      </c>
      <c r="F281" s="331">
        <f t="shared" si="93"/>
        <v>54454</v>
      </c>
      <c r="G281" s="616">
        <f t="shared" si="94"/>
        <v>2919449.4537855778</v>
      </c>
      <c r="H281" s="616">
        <f t="shared" si="88"/>
        <v>41243.71</v>
      </c>
      <c r="I281" s="616">
        <f t="shared" si="89"/>
        <v>29113.914932343538</v>
      </c>
      <c r="J281" s="616">
        <f t="shared" si="90"/>
        <v>12129.795067656461</v>
      </c>
      <c r="K281" s="616">
        <f t="shared" si="95"/>
        <v>4805057.0200261418</v>
      </c>
      <c r="L281" s="616">
        <f t="shared" si="96"/>
        <v>6619450.6499738581</v>
      </c>
      <c r="M281" s="617">
        <f t="shared" si="91"/>
        <v>2890335.5388532341</v>
      </c>
    </row>
    <row r="282" spans="5:13" x14ac:dyDescent="0.35">
      <c r="E282" s="515">
        <f t="shared" si="92"/>
        <v>278</v>
      </c>
      <c r="F282" s="331">
        <f t="shared" si="93"/>
        <v>54482</v>
      </c>
      <c r="G282" s="616">
        <f t="shared" si="94"/>
        <v>2890335.5388532341</v>
      </c>
      <c r="H282" s="616">
        <f t="shared" si="88"/>
        <v>41243.71</v>
      </c>
      <c r="I282" s="616">
        <f t="shared" si="89"/>
        <v>29234.878089040289</v>
      </c>
      <c r="J282" s="616">
        <f t="shared" si="90"/>
        <v>12008.831910959711</v>
      </c>
      <c r="K282" s="616">
        <f t="shared" si="95"/>
        <v>4834291.8981151823</v>
      </c>
      <c r="L282" s="616">
        <f t="shared" si="96"/>
        <v>6631459.4818848176</v>
      </c>
      <c r="M282" s="617">
        <f t="shared" si="91"/>
        <v>2861100.6607641936</v>
      </c>
    </row>
    <row r="283" spans="5:13" x14ac:dyDescent="0.35">
      <c r="E283" s="515">
        <f t="shared" si="92"/>
        <v>279</v>
      </c>
      <c r="F283" s="331">
        <f t="shared" si="93"/>
        <v>54513</v>
      </c>
      <c r="G283" s="616">
        <f t="shared" si="94"/>
        <v>2861100.6607641936</v>
      </c>
      <c r="H283" s="616">
        <f t="shared" si="88"/>
        <v>41243.71</v>
      </c>
      <c r="I283" s="616">
        <f t="shared" si="89"/>
        <v>29356.343826214867</v>
      </c>
      <c r="J283" s="616">
        <f t="shared" si="90"/>
        <v>11887.366173785133</v>
      </c>
      <c r="K283" s="616">
        <f t="shared" si="95"/>
        <v>4863648.2419413971</v>
      </c>
      <c r="L283" s="616">
        <f t="shared" si="96"/>
        <v>6643346.8480586028</v>
      </c>
      <c r="M283" s="617">
        <f t="shared" si="91"/>
        <v>2831744.3169379788</v>
      </c>
    </row>
    <row r="284" spans="5:13" x14ac:dyDescent="0.35">
      <c r="E284" s="515">
        <f t="shared" si="92"/>
        <v>280</v>
      </c>
      <c r="F284" s="331">
        <f t="shared" si="93"/>
        <v>54543</v>
      </c>
      <c r="G284" s="616">
        <f t="shared" si="94"/>
        <v>2831744.3169379788</v>
      </c>
      <c r="H284" s="616">
        <f t="shared" si="88"/>
        <v>41243.71</v>
      </c>
      <c r="I284" s="616">
        <f t="shared" si="89"/>
        <v>29478.314232000077</v>
      </c>
      <c r="J284" s="616">
        <f t="shared" si="90"/>
        <v>11765.39576799992</v>
      </c>
      <c r="K284" s="616">
        <f t="shared" si="95"/>
        <v>4893126.5561733972</v>
      </c>
      <c r="L284" s="616">
        <f t="shared" si="96"/>
        <v>6655112.2438266026</v>
      </c>
      <c r="M284" s="617">
        <f t="shared" si="91"/>
        <v>2802266.0027059787</v>
      </c>
    </row>
    <row r="285" spans="5:13" x14ac:dyDescent="0.35">
      <c r="E285" s="515">
        <f t="shared" si="92"/>
        <v>281</v>
      </c>
      <c r="F285" s="331">
        <f t="shared" si="93"/>
        <v>54574</v>
      </c>
      <c r="G285" s="616">
        <f t="shared" si="94"/>
        <v>2802266.0027059787</v>
      </c>
      <c r="H285" s="616">
        <f t="shared" si="88"/>
        <v>41243.71</v>
      </c>
      <c r="I285" s="616">
        <f t="shared" si="89"/>
        <v>29600.791403204566</v>
      </c>
      <c r="J285" s="616">
        <f t="shared" si="90"/>
        <v>11642.918596795433</v>
      </c>
      <c r="K285" s="616">
        <f t="shared" si="95"/>
        <v>4922727.3475766014</v>
      </c>
      <c r="L285" s="616">
        <f t="shared" si="96"/>
        <v>6666755.1624233983</v>
      </c>
      <c r="M285" s="617">
        <f t="shared" si="91"/>
        <v>2772665.211302774</v>
      </c>
    </row>
    <row r="286" spans="5:13" x14ac:dyDescent="0.35">
      <c r="E286" s="515">
        <f t="shared" si="92"/>
        <v>282</v>
      </c>
      <c r="F286" s="331">
        <f t="shared" si="93"/>
        <v>54604</v>
      </c>
      <c r="G286" s="616">
        <f t="shared" si="94"/>
        <v>2772665.211302774</v>
      </c>
      <c r="H286" s="616">
        <f t="shared" si="88"/>
        <v>41243.71</v>
      </c>
      <c r="I286" s="616">
        <f t="shared" si="89"/>
        <v>29723.777445348831</v>
      </c>
      <c r="J286" s="616">
        <f t="shared" si="90"/>
        <v>11519.932554651168</v>
      </c>
      <c r="K286" s="616">
        <f t="shared" si="95"/>
        <v>4952451.1250219503</v>
      </c>
      <c r="L286" s="616">
        <f t="shared" si="96"/>
        <v>6678275.0949780494</v>
      </c>
      <c r="M286" s="617">
        <f t="shared" si="91"/>
        <v>2742941.4338574251</v>
      </c>
    </row>
    <row r="287" spans="5:13" x14ac:dyDescent="0.35">
      <c r="E287" s="515">
        <f t="shared" si="92"/>
        <v>283</v>
      </c>
      <c r="F287" s="331">
        <f t="shared" si="93"/>
        <v>54635</v>
      </c>
      <c r="G287" s="616">
        <f t="shared" si="94"/>
        <v>2742941.4338574251</v>
      </c>
      <c r="H287" s="616">
        <f t="shared" si="88"/>
        <v>41243.71</v>
      </c>
      <c r="I287" s="616">
        <f t="shared" si="89"/>
        <v>29847.274472701436</v>
      </c>
      <c r="J287" s="616">
        <f t="shared" si="90"/>
        <v>11396.435527298561</v>
      </c>
      <c r="K287" s="616">
        <f t="shared" si="95"/>
        <v>4982298.3994946517</v>
      </c>
      <c r="L287" s="616">
        <f t="shared" si="96"/>
        <v>6689671.530505348</v>
      </c>
      <c r="M287" s="617">
        <f t="shared" si="91"/>
        <v>2713094.1593847238</v>
      </c>
    </row>
    <row r="288" spans="5:13" x14ac:dyDescent="0.35">
      <c r="E288" s="515">
        <f t="shared" si="92"/>
        <v>284</v>
      </c>
      <c r="F288" s="331">
        <f t="shared" si="93"/>
        <v>54666</v>
      </c>
      <c r="G288" s="616">
        <f t="shared" si="94"/>
        <v>2713094.1593847238</v>
      </c>
      <c r="H288" s="616">
        <f t="shared" si="88"/>
        <v>41243.71</v>
      </c>
      <c r="I288" s="616">
        <f t="shared" si="89"/>
        <v>29971.284608315367</v>
      </c>
      <c r="J288" s="616">
        <f t="shared" si="90"/>
        <v>11272.425391684632</v>
      </c>
      <c r="K288" s="616">
        <f t="shared" si="95"/>
        <v>5012269.6841029674</v>
      </c>
      <c r="L288" s="616">
        <f t="shared" si="96"/>
        <v>6700943.9558970323</v>
      </c>
      <c r="M288" s="617">
        <f t="shared" si="91"/>
        <v>2683122.8747764085</v>
      </c>
    </row>
    <row r="289" spans="5:13" x14ac:dyDescent="0.35">
      <c r="E289" s="515">
        <f t="shared" si="92"/>
        <v>285</v>
      </c>
      <c r="F289" s="331">
        <f t="shared" si="93"/>
        <v>54696</v>
      </c>
      <c r="G289" s="616">
        <f t="shared" si="94"/>
        <v>2683122.8747764085</v>
      </c>
      <c r="H289" s="616">
        <f t="shared" si="88"/>
        <v>41243.71</v>
      </c>
      <c r="I289" s="616">
        <f t="shared" si="89"/>
        <v>30095.809984064508</v>
      </c>
      <c r="J289" s="616">
        <f t="shared" si="90"/>
        <v>11147.900015935493</v>
      </c>
      <c r="K289" s="616">
        <f t="shared" si="95"/>
        <v>5042365.494087032</v>
      </c>
      <c r="L289" s="616">
        <f t="shared" si="96"/>
        <v>6712091.8559129676</v>
      </c>
      <c r="M289" s="617">
        <f t="shared" si="91"/>
        <v>2653027.0647923439</v>
      </c>
    </row>
    <row r="290" spans="5:13" x14ac:dyDescent="0.35">
      <c r="E290" s="515">
        <f t="shared" si="92"/>
        <v>286</v>
      </c>
      <c r="F290" s="331">
        <f t="shared" si="93"/>
        <v>54727</v>
      </c>
      <c r="G290" s="616">
        <f t="shared" si="94"/>
        <v>2653027.0647923439</v>
      </c>
      <c r="H290" s="616">
        <f t="shared" si="88"/>
        <v>41243.71</v>
      </c>
      <c r="I290" s="616">
        <f t="shared" si="89"/>
        <v>30220.852740680304</v>
      </c>
      <c r="J290" s="616">
        <f t="shared" si="90"/>
        <v>11022.857259319695</v>
      </c>
      <c r="K290" s="616">
        <f t="shared" si="95"/>
        <v>5072586.3468277119</v>
      </c>
      <c r="L290" s="616">
        <f t="shared" si="96"/>
        <v>6723114.7131722877</v>
      </c>
      <c r="M290" s="617">
        <f t="shared" si="91"/>
        <v>2622806.2120516635</v>
      </c>
    </row>
    <row r="291" spans="5:13" x14ac:dyDescent="0.35">
      <c r="E291" s="515">
        <f t="shared" si="92"/>
        <v>287</v>
      </c>
      <c r="F291" s="331">
        <f t="shared" si="93"/>
        <v>54757</v>
      </c>
      <c r="G291" s="616">
        <f t="shared" si="94"/>
        <v>2622806.2120516635</v>
      </c>
      <c r="H291" s="616">
        <f t="shared" si="88"/>
        <v>41243.71</v>
      </c>
      <c r="I291" s="616">
        <f t="shared" si="89"/>
        <v>30346.415027788564</v>
      </c>
      <c r="J291" s="616">
        <f t="shared" si="90"/>
        <v>10897.294972211435</v>
      </c>
      <c r="K291" s="616">
        <f t="shared" si="95"/>
        <v>5102932.7618555008</v>
      </c>
      <c r="L291" s="616">
        <f t="shared" si="96"/>
        <v>6734012.0081444988</v>
      </c>
      <c r="M291" s="617">
        <f t="shared" si="91"/>
        <v>2592459.7970238752</v>
      </c>
    </row>
    <row r="292" spans="5:13" x14ac:dyDescent="0.35">
      <c r="E292" s="515">
        <f t="shared" si="92"/>
        <v>288</v>
      </c>
      <c r="F292" s="331">
        <f t="shared" si="93"/>
        <v>54788</v>
      </c>
      <c r="G292" s="616">
        <f t="shared" si="94"/>
        <v>2592459.7970238752</v>
      </c>
      <c r="H292" s="616">
        <f t="shared" si="88"/>
        <v>41243.71</v>
      </c>
      <c r="I292" s="616">
        <f t="shared" si="89"/>
        <v>30472.499003946403</v>
      </c>
      <c r="J292" s="616">
        <f t="shared" si="90"/>
        <v>10771.210996053594</v>
      </c>
      <c r="K292" s="616">
        <f t="shared" si="95"/>
        <v>5133405.2608594475</v>
      </c>
      <c r="L292" s="616">
        <f t="shared" si="96"/>
        <v>6744783.219140552</v>
      </c>
      <c r="M292" s="617">
        <f t="shared" si="91"/>
        <v>2561987.2980199289</v>
      </c>
    </row>
    <row r="293" spans="5:13" x14ac:dyDescent="0.35">
      <c r="E293" s="515">
        <f t="shared" si="92"/>
        <v>289</v>
      </c>
      <c r="F293" s="331">
        <f t="shared" si="93"/>
        <v>54819</v>
      </c>
      <c r="G293" s="616">
        <f t="shared" si="94"/>
        <v>2561987.2980199289</v>
      </c>
      <c r="H293" s="616">
        <f t="shared" si="88"/>
        <v>41243.71</v>
      </c>
      <c r="I293" s="616">
        <f t="shared" si="89"/>
        <v>30599.10683667937</v>
      </c>
      <c r="J293" s="616">
        <f t="shared" si="90"/>
        <v>10644.603163320628</v>
      </c>
      <c r="K293" s="616">
        <f t="shared" si="95"/>
        <v>5164004.3676961269</v>
      </c>
      <c r="L293" s="616">
        <f t="shared" si="96"/>
        <v>6755427.8223038726</v>
      </c>
      <c r="M293" s="617">
        <f t="shared" si="91"/>
        <v>2531388.1911832495</v>
      </c>
    </row>
    <row r="294" spans="5:13" x14ac:dyDescent="0.35">
      <c r="E294" s="515">
        <f t="shared" si="92"/>
        <v>290</v>
      </c>
      <c r="F294" s="331">
        <f t="shared" si="93"/>
        <v>54847</v>
      </c>
      <c r="G294" s="616">
        <f t="shared" si="94"/>
        <v>2531388.1911832495</v>
      </c>
      <c r="H294" s="616">
        <f t="shared" si="88"/>
        <v>41243.71</v>
      </c>
      <c r="I294" s="616">
        <f t="shared" si="89"/>
        <v>30726.240702518691</v>
      </c>
      <c r="J294" s="616">
        <f t="shared" si="90"/>
        <v>10517.46929748131</v>
      </c>
      <c r="K294" s="616">
        <f t="shared" si="95"/>
        <v>5194730.6083986452</v>
      </c>
      <c r="L294" s="616">
        <f t="shared" si="96"/>
        <v>6765945.2916013543</v>
      </c>
      <c r="M294" s="617">
        <f t="shared" si="91"/>
        <v>2500661.9504807307</v>
      </c>
    </row>
    <row r="295" spans="5:13" x14ac:dyDescent="0.35">
      <c r="E295" s="515">
        <f t="shared" si="92"/>
        <v>291</v>
      </c>
      <c r="F295" s="331">
        <f t="shared" si="93"/>
        <v>54878</v>
      </c>
      <c r="G295" s="616">
        <f t="shared" si="94"/>
        <v>2500661.9504807307</v>
      </c>
      <c r="H295" s="616">
        <f t="shared" si="88"/>
        <v>41243.71</v>
      </c>
      <c r="I295" s="616">
        <f t="shared" si="89"/>
        <v>30853.902787038685</v>
      </c>
      <c r="J295" s="616">
        <f t="shared" si="90"/>
        <v>10389.807212961312</v>
      </c>
      <c r="K295" s="616">
        <f t="shared" si="95"/>
        <v>5225584.5111856842</v>
      </c>
      <c r="L295" s="616">
        <f t="shared" si="96"/>
        <v>6776335.0988143152</v>
      </c>
      <c r="M295" s="617">
        <f t="shared" si="91"/>
        <v>2469808.0476936921</v>
      </c>
    </row>
    <row r="296" spans="5:13" x14ac:dyDescent="0.35">
      <c r="E296" s="515">
        <f t="shared" si="92"/>
        <v>292</v>
      </c>
      <c r="F296" s="331">
        <f t="shared" si="93"/>
        <v>54908</v>
      </c>
      <c r="G296" s="616">
        <f t="shared" si="94"/>
        <v>2469808.0476936921</v>
      </c>
      <c r="H296" s="616">
        <f t="shared" si="88"/>
        <v>41243.71</v>
      </c>
      <c r="I296" s="616">
        <f t="shared" si="89"/>
        <v>30982.095284894367</v>
      </c>
      <c r="J296" s="616">
        <f t="shared" si="90"/>
        <v>10261.614715105632</v>
      </c>
      <c r="K296" s="616">
        <f t="shared" si="95"/>
        <v>5256566.6064705784</v>
      </c>
      <c r="L296" s="616">
        <f t="shared" si="96"/>
        <v>6786596.713529421</v>
      </c>
      <c r="M296" s="617">
        <f t="shared" si="91"/>
        <v>2438825.9524087976</v>
      </c>
    </row>
    <row r="297" spans="5:13" x14ac:dyDescent="0.35">
      <c r="E297" s="515">
        <f t="shared" si="92"/>
        <v>293</v>
      </c>
      <c r="F297" s="331">
        <f t="shared" si="93"/>
        <v>54939</v>
      </c>
      <c r="G297" s="616">
        <f t="shared" si="94"/>
        <v>2438825.9524087976</v>
      </c>
      <c r="H297" s="616">
        <f t="shared" si="88"/>
        <v>41243.71</v>
      </c>
      <c r="I297" s="616">
        <f t="shared" si="89"/>
        <v>31110.820399859134</v>
      </c>
      <c r="J297" s="616">
        <f t="shared" si="90"/>
        <v>10132.889600140863</v>
      </c>
      <c r="K297" s="616">
        <f t="shared" si="95"/>
        <v>5287677.4268704373</v>
      </c>
      <c r="L297" s="616">
        <f t="shared" si="96"/>
        <v>6796729.603129562</v>
      </c>
      <c r="M297" s="617">
        <f t="shared" si="91"/>
        <v>2407715.1320089386</v>
      </c>
    </row>
    <row r="298" spans="5:13" x14ac:dyDescent="0.35">
      <c r="E298" s="515">
        <f t="shared" si="92"/>
        <v>294</v>
      </c>
      <c r="F298" s="331">
        <f t="shared" si="93"/>
        <v>54969</v>
      </c>
      <c r="G298" s="616">
        <f t="shared" si="94"/>
        <v>2407715.1320089386</v>
      </c>
      <c r="H298" s="616">
        <f t="shared" si="88"/>
        <v>41243.71</v>
      </c>
      <c r="I298" s="616">
        <f t="shared" si="89"/>
        <v>31240.080344862683</v>
      </c>
      <c r="J298" s="616">
        <f t="shared" si="90"/>
        <v>10003.629655137318</v>
      </c>
      <c r="K298" s="616">
        <f t="shared" si="95"/>
        <v>5318917.5072152996</v>
      </c>
      <c r="L298" s="616">
        <f t="shared" si="96"/>
        <v>6806733.2327846996</v>
      </c>
      <c r="M298" s="617">
        <f t="shared" si="91"/>
        <v>2376475.0516640758</v>
      </c>
    </row>
    <row r="299" spans="5:13" x14ac:dyDescent="0.35">
      <c r="E299" s="515">
        <f t="shared" si="92"/>
        <v>295</v>
      </c>
      <c r="F299" s="331">
        <f t="shared" si="93"/>
        <v>55000</v>
      </c>
      <c r="G299" s="616">
        <f t="shared" si="94"/>
        <v>2376475.0516640758</v>
      </c>
      <c r="H299" s="616">
        <f t="shared" si="88"/>
        <v>41243.71</v>
      </c>
      <c r="I299" s="616">
        <f t="shared" si="89"/>
        <v>31369.877342029031</v>
      </c>
      <c r="J299" s="616">
        <f t="shared" si="90"/>
        <v>9873.8326579709683</v>
      </c>
      <c r="K299" s="616">
        <f t="shared" si="95"/>
        <v>5350287.3845573291</v>
      </c>
      <c r="L299" s="616">
        <f t="shared" si="96"/>
        <v>6816607.0654426711</v>
      </c>
      <c r="M299" s="617">
        <f t="shared" si="91"/>
        <v>2345105.1743220468</v>
      </c>
    </row>
    <row r="300" spans="5:13" x14ac:dyDescent="0.35">
      <c r="E300" s="515">
        <f t="shared" si="92"/>
        <v>296</v>
      </c>
      <c r="F300" s="331">
        <f t="shared" si="93"/>
        <v>55031</v>
      </c>
      <c r="G300" s="616">
        <f t="shared" si="94"/>
        <v>2345105.1743220468</v>
      </c>
      <c r="H300" s="616">
        <f t="shared" si="88"/>
        <v>41243.71</v>
      </c>
      <c r="I300" s="616">
        <f t="shared" si="89"/>
        <v>31500.213622714738</v>
      </c>
      <c r="J300" s="616">
        <f t="shared" si="90"/>
        <v>9743.4963772852607</v>
      </c>
      <c r="K300" s="616">
        <f t="shared" si="95"/>
        <v>5381787.5981800435</v>
      </c>
      <c r="L300" s="616">
        <f t="shared" si="96"/>
        <v>6826350.5618199566</v>
      </c>
      <c r="M300" s="617">
        <f t="shared" si="91"/>
        <v>2313604.9606993319</v>
      </c>
    </row>
    <row r="301" spans="5:13" x14ac:dyDescent="0.35">
      <c r="E301" s="515">
        <f t="shared" si="92"/>
        <v>297</v>
      </c>
      <c r="F301" s="331">
        <f t="shared" si="93"/>
        <v>55061</v>
      </c>
      <c r="G301" s="616">
        <f t="shared" si="94"/>
        <v>2313604.9606993319</v>
      </c>
      <c r="H301" s="616">
        <f t="shared" si="88"/>
        <v>41243.71</v>
      </c>
      <c r="I301" s="616">
        <f t="shared" si="89"/>
        <v>31631.09142754725</v>
      </c>
      <c r="J301" s="616">
        <f t="shared" si="90"/>
        <v>9612.6185724527495</v>
      </c>
      <c r="K301" s="616">
        <f t="shared" si="95"/>
        <v>5413418.6896075904</v>
      </c>
      <c r="L301" s="616">
        <f t="shared" si="96"/>
        <v>6835963.1803924097</v>
      </c>
      <c r="M301" s="617">
        <f t="shared" si="91"/>
        <v>2281973.8692717846</v>
      </c>
    </row>
    <row r="302" spans="5:13" x14ac:dyDescent="0.35">
      <c r="E302" s="515">
        <f t="shared" si="92"/>
        <v>298</v>
      </c>
      <c r="F302" s="331">
        <f t="shared" si="93"/>
        <v>55092</v>
      </c>
      <c r="G302" s="616">
        <f t="shared" si="94"/>
        <v>2281973.8692717846</v>
      </c>
      <c r="H302" s="616">
        <f t="shared" si="88"/>
        <v>41243.71</v>
      </c>
      <c r="I302" s="616">
        <f t="shared" si="89"/>
        <v>31762.513006463421</v>
      </c>
      <c r="J302" s="616">
        <f t="shared" si="90"/>
        <v>9481.1969935365778</v>
      </c>
      <c r="K302" s="616">
        <f t="shared" si="95"/>
        <v>5445181.2026140541</v>
      </c>
      <c r="L302" s="616">
        <f t="shared" si="96"/>
        <v>6845444.377385946</v>
      </c>
      <c r="M302" s="617">
        <f t="shared" si="91"/>
        <v>2250211.3562653209</v>
      </c>
    </row>
    <row r="303" spans="5:13" x14ac:dyDescent="0.35">
      <c r="E303" s="515">
        <f t="shared" si="92"/>
        <v>299</v>
      </c>
      <c r="F303" s="331">
        <f t="shared" si="93"/>
        <v>55122</v>
      </c>
      <c r="G303" s="616">
        <f t="shared" si="94"/>
        <v>2250211.3562653209</v>
      </c>
      <c r="H303" s="616">
        <f t="shared" si="88"/>
        <v>41243.71</v>
      </c>
      <c r="I303" s="616">
        <f t="shared" si="89"/>
        <v>31894.480618748195</v>
      </c>
      <c r="J303" s="616">
        <f t="shared" si="90"/>
        <v>9349.2293812518019</v>
      </c>
      <c r="K303" s="616">
        <f t="shared" si="95"/>
        <v>5477075.683232802</v>
      </c>
      <c r="L303" s="616">
        <f t="shared" si="96"/>
        <v>6854793.6067671981</v>
      </c>
      <c r="M303" s="617">
        <f t="shared" si="91"/>
        <v>2218316.8756465726</v>
      </c>
    </row>
    <row r="304" spans="5:13" x14ac:dyDescent="0.35">
      <c r="E304" s="515">
        <f t="shared" si="92"/>
        <v>300</v>
      </c>
      <c r="F304" s="331">
        <f t="shared" si="93"/>
        <v>55153</v>
      </c>
      <c r="G304" s="616">
        <f t="shared" si="94"/>
        <v>2218316.8756465726</v>
      </c>
      <c r="H304" s="616">
        <f t="shared" si="88"/>
        <v>41243.71</v>
      </c>
      <c r="I304" s="616">
        <f t="shared" si="89"/>
        <v>32026.996533073449</v>
      </c>
      <c r="J304" s="616">
        <f t="shared" si="90"/>
        <v>9216.7134669265488</v>
      </c>
      <c r="K304" s="616">
        <f t="shared" si="95"/>
        <v>5509102.6797658755</v>
      </c>
      <c r="L304" s="616">
        <f t="shared" si="96"/>
        <v>6864010.3202341245</v>
      </c>
      <c r="M304" s="617">
        <f t="shared" si="91"/>
        <v>2186289.8791134991</v>
      </c>
    </row>
    <row r="305" spans="5:13" x14ac:dyDescent="0.35">
      <c r="E305" s="515">
        <f t="shared" si="92"/>
        <v>301</v>
      </c>
      <c r="F305" s="331">
        <f t="shared" si="93"/>
        <v>55184</v>
      </c>
      <c r="G305" s="616">
        <f t="shared" si="94"/>
        <v>2186289.8791134991</v>
      </c>
      <c r="H305" s="616">
        <f t="shared" si="88"/>
        <v>41243.71</v>
      </c>
      <c r="I305" s="616">
        <f t="shared" si="89"/>
        <v>32160.063027536984</v>
      </c>
      <c r="J305" s="616">
        <f t="shared" si="90"/>
        <v>9083.6469724630133</v>
      </c>
      <c r="K305" s="616">
        <f t="shared" si="95"/>
        <v>5541262.7427934129</v>
      </c>
      <c r="L305" s="616">
        <f t="shared" si="96"/>
        <v>6873093.967206588</v>
      </c>
      <c r="M305" s="617">
        <f t="shared" si="91"/>
        <v>2154129.8160859621</v>
      </c>
    </row>
    <row r="306" spans="5:13" x14ac:dyDescent="0.35">
      <c r="E306" s="515">
        <f t="shared" si="92"/>
        <v>302</v>
      </c>
      <c r="F306" s="331">
        <f t="shared" si="93"/>
        <v>55212</v>
      </c>
      <c r="G306" s="616">
        <f t="shared" si="94"/>
        <v>2154129.8160859621</v>
      </c>
      <c r="H306" s="616">
        <f t="shared" si="88"/>
        <v>41243.71</v>
      </c>
      <c r="I306" s="616">
        <f t="shared" si="89"/>
        <v>32293.682389701695</v>
      </c>
      <c r="J306" s="616">
        <f t="shared" si="90"/>
        <v>8950.0276102983044</v>
      </c>
      <c r="K306" s="616">
        <f t="shared" si="95"/>
        <v>5573556.4251831146</v>
      </c>
      <c r="L306" s="616">
        <f t="shared" si="96"/>
        <v>6882043.9948168863</v>
      </c>
      <c r="M306" s="617">
        <f t="shared" si="91"/>
        <v>2121836.1336962604</v>
      </c>
    </row>
    <row r="307" spans="5:13" x14ac:dyDescent="0.35">
      <c r="E307" s="515">
        <f t="shared" si="92"/>
        <v>303</v>
      </c>
      <c r="F307" s="331">
        <f t="shared" si="93"/>
        <v>55243</v>
      </c>
      <c r="G307" s="616">
        <f t="shared" si="94"/>
        <v>2121836.1336962604</v>
      </c>
      <c r="H307" s="616">
        <f t="shared" si="88"/>
        <v>41243.71</v>
      </c>
      <c r="I307" s="616">
        <f t="shared" si="89"/>
        <v>32427.856916634893</v>
      </c>
      <c r="J307" s="616">
        <f t="shared" si="90"/>
        <v>8815.8530833651057</v>
      </c>
      <c r="K307" s="616">
        <f t="shared" si="95"/>
        <v>5605984.2820997499</v>
      </c>
      <c r="L307" s="616">
        <f t="shared" si="96"/>
        <v>6890859.8479002509</v>
      </c>
      <c r="M307" s="617">
        <f t="shared" si="91"/>
        <v>2089408.2767796256</v>
      </c>
    </row>
    <row r="308" spans="5:13" x14ac:dyDescent="0.35">
      <c r="E308" s="515">
        <f t="shared" si="92"/>
        <v>304</v>
      </c>
      <c r="F308" s="331">
        <f t="shared" si="93"/>
        <v>55273</v>
      </c>
      <c r="G308" s="616">
        <f t="shared" si="94"/>
        <v>2089408.2767796256</v>
      </c>
      <c r="H308" s="616">
        <f t="shared" si="88"/>
        <v>41243.71</v>
      </c>
      <c r="I308" s="616">
        <f t="shared" si="89"/>
        <v>32562.588914947803</v>
      </c>
      <c r="J308" s="616">
        <f t="shared" si="90"/>
        <v>8681.1210850521948</v>
      </c>
      <c r="K308" s="616">
        <f t="shared" si="95"/>
        <v>5638546.8710146975</v>
      </c>
      <c r="L308" s="616">
        <f t="shared" si="96"/>
        <v>6899540.9689853033</v>
      </c>
      <c r="M308" s="617">
        <f t="shared" si="91"/>
        <v>2056845.6878646777</v>
      </c>
    </row>
    <row r="309" spans="5:13" x14ac:dyDescent="0.35">
      <c r="E309" s="515">
        <f t="shared" si="92"/>
        <v>305</v>
      </c>
      <c r="F309" s="331">
        <f t="shared" si="93"/>
        <v>55304</v>
      </c>
      <c r="G309" s="616">
        <f t="shared" si="94"/>
        <v>2056845.6878646777</v>
      </c>
      <c r="H309" s="616">
        <f t="shared" si="88"/>
        <v>41243.71</v>
      </c>
      <c r="I309" s="616">
        <f t="shared" si="89"/>
        <v>32697.880700835209</v>
      </c>
      <c r="J309" s="616">
        <f t="shared" si="90"/>
        <v>8545.8292991647886</v>
      </c>
      <c r="K309" s="616">
        <f t="shared" si="95"/>
        <v>5671244.7517155325</v>
      </c>
      <c r="L309" s="616">
        <f t="shared" si="96"/>
        <v>6908086.7982844682</v>
      </c>
      <c r="M309" s="617">
        <f t="shared" si="91"/>
        <v>2024147.8071638425</v>
      </c>
    </row>
    <row r="310" spans="5:13" x14ac:dyDescent="0.35">
      <c r="E310" s="515">
        <f t="shared" si="92"/>
        <v>306</v>
      </c>
      <c r="F310" s="331">
        <f t="shared" si="93"/>
        <v>55334</v>
      </c>
      <c r="G310" s="616">
        <f t="shared" si="94"/>
        <v>2024147.8071638425</v>
      </c>
      <c r="H310" s="616">
        <f t="shared" si="88"/>
        <v>41243.71</v>
      </c>
      <c r="I310" s="616">
        <f t="shared" si="89"/>
        <v>32833.734600115269</v>
      </c>
      <c r="J310" s="616">
        <f t="shared" si="90"/>
        <v>8409.97539988473</v>
      </c>
      <c r="K310" s="616">
        <f t="shared" si="95"/>
        <v>5704078.4863156481</v>
      </c>
      <c r="L310" s="616">
        <f t="shared" si="96"/>
        <v>6916496.7736843526</v>
      </c>
      <c r="M310" s="617">
        <f t="shared" si="91"/>
        <v>1991314.0725637272</v>
      </c>
    </row>
    <row r="311" spans="5:13" x14ac:dyDescent="0.35">
      <c r="E311" s="515">
        <f t="shared" si="92"/>
        <v>307</v>
      </c>
      <c r="F311" s="331">
        <f t="shared" si="93"/>
        <v>55365</v>
      </c>
      <c r="G311" s="616">
        <f t="shared" si="94"/>
        <v>1991314.0725637272</v>
      </c>
      <c r="H311" s="616">
        <f t="shared" si="88"/>
        <v>41243.709999999992</v>
      </c>
      <c r="I311" s="616">
        <f t="shared" si="89"/>
        <v>32970.152948269504</v>
      </c>
      <c r="J311" s="616">
        <f t="shared" si="90"/>
        <v>8273.5570517304914</v>
      </c>
      <c r="K311" s="616">
        <f t="shared" si="95"/>
        <v>5737048.6392639177</v>
      </c>
      <c r="L311" s="616">
        <f t="shared" si="96"/>
        <v>6924770.330736083</v>
      </c>
      <c r="M311" s="617">
        <f t="shared" si="91"/>
        <v>1958343.9196154578</v>
      </c>
    </row>
    <row r="312" spans="5:13" x14ac:dyDescent="0.35">
      <c r="E312" s="515">
        <f t="shared" si="92"/>
        <v>308</v>
      </c>
      <c r="F312" s="331">
        <f t="shared" si="93"/>
        <v>55396</v>
      </c>
      <c r="G312" s="616">
        <f t="shared" si="94"/>
        <v>1958343.9196154578</v>
      </c>
      <c r="H312" s="616">
        <f t="shared" si="88"/>
        <v>41243.71</v>
      </c>
      <c r="I312" s="616">
        <f t="shared" si="89"/>
        <v>33107.138090482957</v>
      </c>
      <c r="J312" s="616">
        <f t="shared" si="90"/>
        <v>8136.5719095170416</v>
      </c>
      <c r="K312" s="616">
        <f t="shared" si="95"/>
        <v>5770155.7773544006</v>
      </c>
      <c r="L312" s="616">
        <f t="shared" si="96"/>
        <v>6932906.9026456</v>
      </c>
      <c r="M312" s="617">
        <f t="shared" si="91"/>
        <v>1925236.7815249749</v>
      </c>
    </row>
    <row r="313" spans="5:13" x14ac:dyDescent="0.35">
      <c r="E313" s="515">
        <f t="shared" si="92"/>
        <v>309</v>
      </c>
      <c r="F313" s="331">
        <f t="shared" si="93"/>
        <v>55426</v>
      </c>
      <c r="G313" s="616">
        <f t="shared" si="94"/>
        <v>1925236.7815249749</v>
      </c>
      <c r="H313" s="616">
        <f t="shared" si="88"/>
        <v>41243.71</v>
      </c>
      <c r="I313" s="616">
        <f t="shared" si="89"/>
        <v>33244.692381684486</v>
      </c>
      <c r="J313" s="616">
        <f t="shared" si="90"/>
        <v>7999.0176183155145</v>
      </c>
      <c r="K313" s="616">
        <f t="shared" si="95"/>
        <v>5803400.4697360853</v>
      </c>
      <c r="L313" s="616">
        <f t="shared" si="96"/>
        <v>6940905.9202639153</v>
      </c>
      <c r="M313" s="617">
        <f t="shared" si="91"/>
        <v>1891992.0891432904</v>
      </c>
    </row>
    <row r="314" spans="5:13" x14ac:dyDescent="0.35">
      <c r="E314" s="515">
        <f t="shared" si="92"/>
        <v>310</v>
      </c>
      <c r="F314" s="331">
        <f t="shared" si="93"/>
        <v>55457</v>
      </c>
      <c r="G314" s="616">
        <f t="shared" si="94"/>
        <v>1891992.0891432904</v>
      </c>
      <c r="H314" s="616">
        <f t="shared" si="88"/>
        <v>41243.71</v>
      </c>
      <c r="I314" s="616">
        <f t="shared" si="89"/>
        <v>33382.818186587261</v>
      </c>
      <c r="J314" s="616">
        <f t="shared" si="90"/>
        <v>7860.8918134127352</v>
      </c>
      <c r="K314" s="616">
        <f t="shared" si="95"/>
        <v>5836783.2879226729</v>
      </c>
      <c r="L314" s="616">
        <f t="shared" si="96"/>
        <v>6948766.8120773276</v>
      </c>
      <c r="M314" s="617">
        <f t="shared" si="91"/>
        <v>1858609.2709567032</v>
      </c>
    </row>
    <row r="315" spans="5:13" x14ac:dyDescent="0.35">
      <c r="E315" s="515">
        <f t="shared" si="92"/>
        <v>311</v>
      </c>
      <c r="F315" s="331">
        <f t="shared" si="93"/>
        <v>55487</v>
      </c>
      <c r="G315" s="616">
        <f t="shared" si="94"/>
        <v>1858609.2709567032</v>
      </c>
      <c r="H315" s="616">
        <f t="shared" si="88"/>
        <v>41243.71</v>
      </c>
      <c r="I315" s="616">
        <f t="shared" si="89"/>
        <v>33521.517879729436</v>
      </c>
      <c r="J315" s="616">
        <f t="shared" si="90"/>
        <v>7722.1921202705644</v>
      </c>
      <c r="K315" s="616">
        <f t="shared" si="95"/>
        <v>5870304.8058024021</v>
      </c>
      <c r="L315" s="616">
        <f t="shared" si="96"/>
        <v>6956489.0041975984</v>
      </c>
      <c r="M315" s="617">
        <f t="shared" si="91"/>
        <v>1825087.7530769738</v>
      </c>
    </row>
    <row r="316" spans="5:13" x14ac:dyDescent="0.35">
      <c r="E316" s="515">
        <f t="shared" si="92"/>
        <v>312</v>
      </c>
      <c r="F316" s="331">
        <f t="shared" si="93"/>
        <v>55518</v>
      </c>
      <c r="G316" s="616">
        <f t="shared" si="94"/>
        <v>1825087.7530769738</v>
      </c>
      <c r="H316" s="616">
        <f t="shared" si="88"/>
        <v>41243.71</v>
      </c>
      <c r="I316" s="616">
        <f t="shared" si="89"/>
        <v>33660.79384551492</v>
      </c>
      <c r="J316" s="616">
        <f t="shared" si="90"/>
        <v>7582.9161544850767</v>
      </c>
      <c r="K316" s="616">
        <f t="shared" si="95"/>
        <v>5903965.5996479169</v>
      </c>
      <c r="L316" s="616">
        <f t="shared" si="96"/>
        <v>6964071.9203520836</v>
      </c>
      <c r="M316" s="617">
        <f t="shared" si="91"/>
        <v>1791426.9592314588</v>
      </c>
    </row>
    <row r="317" spans="5:13" x14ac:dyDescent="0.35">
      <c r="E317" s="515">
        <f t="shared" si="92"/>
        <v>313</v>
      </c>
      <c r="F317" s="331">
        <f t="shared" si="93"/>
        <v>55549</v>
      </c>
      <c r="G317" s="616">
        <f t="shared" si="94"/>
        <v>1791426.9592314588</v>
      </c>
      <c r="H317" s="616">
        <f t="shared" si="88"/>
        <v>41243.71</v>
      </c>
      <c r="I317" s="616">
        <f t="shared" si="89"/>
        <v>33800.648478254428</v>
      </c>
      <c r="J317" s="616">
        <f t="shared" si="90"/>
        <v>7443.0615217455725</v>
      </c>
      <c r="K317" s="616">
        <f t="shared" si="95"/>
        <v>5937766.2481261715</v>
      </c>
      <c r="L317" s="616">
        <f t="shared" si="96"/>
        <v>6971514.9818738289</v>
      </c>
      <c r="M317" s="617">
        <f t="shared" si="91"/>
        <v>1757626.3107532044</v>
      </c>
    </row>
    <row r="318" spans="5:13" x14ac:dyDescent="0.35">
      <c r="E318" s="515">
        <f t="shared" si="92"/>
        <v>314</v>
      </c>
      <c r="F318" s="331">
        <f t="shared" si="93"/>
        <v>55578</v>
      </c>
      <c r="G318" s="616">
        <f t="shared" si="94"/>
        <v>1757626.3107532044</v>
      </c>
      <c r="H318" s="616">
        <f t="shared" si="88"/>
        <v>41243.71</v>
      </c>
      <c r="I318" s="616">
        <f t="shared" si="89"/>
        <v>33941.084182206585</v>
      </c>
      <c r="J318" s="616">
        <f t="shared" si="90"/>
        <v>7302.6258177934151</v>
      </c>
      <c r="K318" s="616">
        <f t="shared" si="95"/>
        <v>5971707.3323083781</v>
      </c>
      <c r="L318" s="616">
        <f t="shared" si="96"/>
        <v>6978817.6076916223</v>
      </c>
      <c r="M318" s="617">
        <f t="shared" si="91"/>
        <v>1723685.2265709979</v>
      </c>
    </row>
    <row r="319" spans="5:13" x14ac:dyDescent="0.35">
      <c r="E319" s="515">
        <f t="shared" si="92"/>
        <v>315</v>
      </c>
      <c r="F319" s="331">
        <f t="shared" si="93"/>
        <v>55609</v>
      </c>
      <c r="G319" s="616">
        <f t="shared" si="94"/>
        <v>1723685.2265709979</v>
      </c>
      <c r="H319" s="616">
        <f t="shared" si="88"/>
        <v>41243.710000000006</v>
      </c>
      <c r="I319" s="616">
        <f t="shared" si="89"/>
        <v>34082.103371619305</v>
      </c>
      <c r="J319" s="616">
        <f t="shared" si="90"/>
        <v>7161.6066283806977</v>
      </c>
      <c r="K319" s="616">
        <f t="shared" si="95"/>
        <v>6005789.4356799973</v>
      </c>
      <c r="L319" s="616">
        <f t="shared" si="96"/>
        <v>6985979.2143200031</v>
      </c>
      <c r="M319" s="617">
        <f t="shared" si="91"/>
        <v>1689603.1231993786</v>
      </c>
    </row>
    <row r="320" spans="5:13" x14ac:dyDescent="0.35">
      <c r="E320" s="515">
        <f t="shared" si="92"/>
        <v>316</v>
      </c>
      <c r="F320" s="331">
        <f t="shared" si="93"/>
        <v>55639</v>
      </c>
      <c r="G320" s="616">
        <f t="shared" si="94"/>
        <v>1689603.1231993786</v>
      </c>
      <c r="H320" s="616">
        <f t="shared" si="88"/>
        <v>41243.71</v>
      </c>
      <c r="I320" s="616">
        <f t="shared" si="89"/>
        <v>34223.708470771257</v>
      </c>
      <c r="J320" s="616">
        <f t="shared" si="90"/>
        <v>7020.0015292287435</v>
      </c>
      <c r="K320" s="616">
        <f t="shared" si="95"/>
        <v>6040013.1441507684</v>
      </c>
      <c r="L320" s="616">
        <f t="shared" si="96"/>
        <v>6992999.2158492319</v>
      </c>
      <c r="M320" s="617">
        <f t="shared" si="91"/>
        <v>1655379.4147286073</v>
      </c>
    </row>
    <row r="321" spans="5:13" x14ac:dyDescent="0.35">
      <c r="E321" s="515">
        <f t="shared" si="92"/>
        <v>317</v>
      </c>
      <c r="F321" s="331">
        <f t="shared" si="93"/>
        <v>55670</v>
      </c>
      <c r="G321" s="616">
        <f t="shared" si="94"/>
        <v>1655379.4147286073</v>
      </c>
      <c r="H321" s="616">
        <f t="shared" si="88"/>
        <v>41243.71</v>
      </c>
      <c r="I321" s="616">
        <f t="shared" si="89"/>
        <v>34365.901914013572</v>
      </c>
      <c r="J321" s="616">
        <f t="shared" si="90"/>
        <v>6877.8080859864258</v>
      </c>
      <c r="K321" s="616">
        <f t="shared" si="95"/>
        <v>6074379.046064782</v>
      </c>
      <c r="L321" s="616">
        <f t="shared" si="96"/>
        <v>6999877.0239352183</v>
      </c>
      <c r="M321" s="617">
        <f t="shared" si="91"/>
        <v>1621013.5128145937</v>
      </c>
    </row>
    <row r="322" spans="5:13" x14ac:dyDescent="0.35">
      <c r="E322" s="515">
        <f t="shared" si="92"/>
        <v>318</v>
      </c>
      <c r="F322" s="331">
        <f t="shared" si="93"/>
        <v>55700</v>
      </c>
      <c r="G322" s="616">
        <f t="shared" si="94"/>
        <v>1621013.5128145937</v>
      </c>
      <c r="H322" s="616">
        <f t="shared" si="88"/>
        <v>41243.71</v>
      </c>
      <c r="I322" s="616">
        <f t="shared" si="89"/>
        <v>34508.686145811676</v>
      </c>
      <c r="J322" s="616">
        <f t="shared" si="90"/>
        <v>6735.0238541883227</v>
      </c>
      <c r="K322" s="616">
        <f t="shared" si="95"/>
        <v>6108887.7322105933</v>
      </c>
      <c r="L322" s="616">
        <f t="shared" si="96"/>
        <v>7006612.047789407</v>
      </c>
      <c r="M322" s="617">
        <f t="shared" si="91"/>
        <v>1586504.8266687822</v>
      </c>
    </row>
    <row r="323" spans="5:13" x14ac:dyDescent="0.35">
      <c r="E323" s="515">
        <f t="shared" si="92"/>
        <v>319</v>
      </c>
      <c r="F323" s="331">
        <f t="shared" si="93"/>
        <v>55731</v>
      </c>
      <c r="G323" s="616">
        <f t="shared" si="94"/>
        <v>1586504.8266687822</v>
      </c>
      <c r="H323" s="616">
        <f t="shared" si="88"/>
        <v>41243.71</v>
      </c>
      <c r="I323" s="616">
        <f t="shared" si="89"/>
        <v>34652.06362078731</v>
      </c>
      <c r="J323" s="616">
        <f t="shared" si="90"/>
        <v>6591.6463792126879</v>
      </c>
      <c r="K323" s="616">
        <f t="shared" si="95"/>
        <v>6143539.7958313804</v>
      </c>
      <c r="L323" s="616">
        <f t="shared" si="96"/>
        <v>7013203.6941686198</v>
      </c>
      <c r="M323" s="617">
        <f t="shared" si="91"/>
        <v>1551852.7630479948</v>
      </c>
    </row>
    <row r="324" spans="5:13" x14ac:dyDescent="0.35">
      <c r="E324" s="515">
        <f t="shared" si="92"/>
        <v>320</v>
      </c>
      <c r="F324" s="331">
        <f t="shared" si="93"/>
        <v>55762</v>
      </c>
      <c r="G324" s="616">
        <f t="shared" si="94"/>
        <v>1551852.7630479948</v>
      </c>
      <c r="H324" s="616">
        <f t="shared" si="88"/>
        <v>41243.71</v>
      </c>
      <c r="I324" s="616">
        <f t="shared" si="89"/>
        <v>34796.03680376074</v>
      </c>
      <c r="J324" s="616">
        <f t="shared" si="90"/>
        <v>6447.6731962392605</v>
      </c>
      <c r="K324" s="616">
        <f t="shared" si="95"/>
        <v>6178335.832635141</v>
      </c>
      <c r="L324" s="616">
        <f t="shared" si="96"/>
        <v>7019651.3673648592</v>
      </c>
      <c r="M324" s="617">
        <f t="shared" si="91"/>
        <v>1517056.726244234</v>
      </c>
    </row>
    <row r="325" spans="5:13" x14ac:dyDescent="0.35">
      <c r="E325" s="515">
        <f t="shared" si="92"/>
        <v>321</v>
      </c>
      <c r="F325" s="331">
        <f t="shared" si="93"/>
        <v>55792</v>
      </c>
      <c r="G325" s="616">
        <f t="shared" si="94"/>
        <v>1517056.726244234</v>
      </c>
      <c r="H325" s="616">
        <f t="shared" ref="H325:H364" si="97">J325+I325</f>
        <v>41243.71</v>
      </c>
      <c r="I325" s="616">
        <f t="shared" ref="I325:I364" si="98">IF(E325&lt;=$C$6,0,$C$12-J325)</f>
        <v>34940.608169793115</v>
      </c>
      <c r="J325" s="616">
        <f t="shared" ref="J325:J364" si="99">G325*($C$9/12)</f>
        <v>6303.101830206886</v>
      </c>
      <c r="K325" s="616">
        <f t="shared" si="95"/>
        <v>6213276.4408049341</v>
      </c>
      <c r="L325" s="616">
        <f t="shared" si="96"/>
        <v>7025954.469195066</v>
      </c>
      <c r="M325" s="617">
        <f t="shared" ref="M325:M364" si="100">G325-I325</f>
        <v>1482116.1180744409</v>
      </c>
    </row>
    <row r="326" spans="5:13" x14ac:dyDescent="0.35">
      <c r="E326" s="515">
        <f t="shared" ref="E326:E364" si="101">1+E325</f>
        <v>322</v>
      </c>
      <c r="F326" s="331">
        <f t="shared" ref="F326:F364" si="102">EOMONTH(F325,1)</f>
        <v>55823</v>
      </c>
      <c r="G326" s="616">
        <f t="shared" ref="G326:G364" si="103">M325</f>
        <v>1482116.1180744409</v>
      </c>
      <c r="H326" s="616">
        <f t="shared" si="97"/>
        <v>41243.71</v>
      </c>
      <c r="I326" s="616">
        <f t="shared" si="98"/>
        <v>35085.780204229028</v>
      </c>
      <c r="J326" s="616">
        <f t="shared" si="99"/>
        <v>6157.9297957709705</v>
      </c>
      <c r="K326" s="616">
        <f t="shared" ref="K326:K364" si="104">I326+K325</f>
        <v>6248362.2210091632</v>
      </c>
      <c r="L326" s="616">
        <f t="shared" ref="L326:L364" si="105">L325+J326</f>
        <v>7032112.3989908369</v>
      </c>
      <c r="M326" s="617">
        <f t="shared" si="100"/>
        <v>1447030.3378702118</v>
      </c>
    </row>
    <row r="327" spans="5:13" x14ac:dyDescent="0.35">
      <c r="E327" s="515">
        <f t="shared" si="101"/>
        <v>323</v>
      </c>
      <c r="F327" s="331">
        <f t="shared" si="102"/>
        <v>55853</v>
      </c>
      <c r="G327" s="616">
        <f t="shared" si="103"/>
        <v>1447030.3378702118</v>
      </c>
      <c r="H327" s="616">
        <f t="shared" si="97"/>
        <v>41243.71</v>
      </c>
      <c r="I327" s="616">
        <f t="shared" si="98"/>
        <v>35231.555402739243</v>
      </c>
      <c r="J327" s="616">
        <f t="shared" si="99"/>
        <v>6012.1545972607546</v>
      </c>
      <c r="K327" s="616">
        <f t="shared" si="104"/>
        <v>6283593.7764119022</v>
      </c>
      <c r="L327" s="616">
        <f t="shared" si="105"/>
        <v>7038124.5535880979</v>
      </c>
      <c r="M327" s="617">
        <f t="shared" si="100"/>
        <v>1411798.7824674726</v>
      </c>
    </row>
    <row r="328" spans="5:13" x14ac:dyDescent="0.35">
      <c r="E328" s="515">
        <f t="shared" si="101"/>
        <v>324</v>
      </c>
      <c r="F328" s="331">
        <f t="shared" si="102"/>
        <v>55884</v>
      </c>
      <c r="G328" s="616">
        <f t="shared" si="103"/>
        <v>1411798.7824674726</v>
      </c>
      <c r="H328" s="616">
        <f t="shared" si="97"/>
        <v>41243.71</v>
      </c>
      <c r="I328" s="616">
        <f t="shared" si="98"/>
        <v>35377.936271363593</v>
      </c>
      <c r="J328" s="616">
        <f t="shared" si="99"/>
        <v>5865.7737286364063</v>
      </c>
      <c r="K328" s="616">
        <f t="shared" si="104"/>
        <v>6318971.712683266</v>
      </c>
      <c r="L328" s="616">
        <f t="shared" si="105"/>
        <v>7043990.327316734</v>
      </c>
      <c r="M328" s="617">
        <f t="shared" si="100"/>
        <v>1376420.846196109</v>
      </c>
    </row>
    <row r="329" spans="5:13" x14ac:dyDescent="0.35">
      <c r="E329" s="515">
        <f t="shared" si="101"/>
        <v>325</v>
      </c>
      <c r="F329" s="331">
        <f t="shared" si="102"/>
        <v>55915</v>
      </c>
      <c r="G329" s="616">
        <f t="shared" si="103"/>
        <v>1376420.846196109</v>
      </c>
      <c r="H329" s="616">
        <f t="shared" si="97"/>
        <v>41243.71</v>
      </c>
      <c r="I329" s="616">
        <f t="shared" si="98"/>
        <v>35524.925326554054</v>
      </c>
      <c r="J329" s="616">
        <f t="shared" si="99"/>
        <v>5718.7846734459445</v>
      </c>
      <c r="K329" s="616">
        <f t="shared" si="104"/>
        <v>6354496.6380098201</v>
      </c>
      <c r="L329" s="616">
        <f t="shared" si="105"/>
        <v>7049709.1119901799</v>
      </c>
      <c r="M329" s="617">
        <f t="shared" si="100"/>
        <v>1340895.9208695549</v>
      </c>
    </row>
    <row r="330" spans="5:13" x14ac:dyDescent="0.35">
      <c r="E330" s="515">
        <f t="shared" si="101"/>
        <v>326</v>
      </c>
      <c r="F330" s="331">
        <f t="shared" si="102"/>
        <v>55943</v>
      </c>
      <c r="G330" s="616">
        <f t="shared" si="103"/>
        <v>1340895.9208695549</v>
      </c>
      <c r="H330" s="616">
        <f t="shared" si="97"/>
        <v>41243.71</v>
      </c>
      <c r="I330" s="616">
        <f t="shared" si="98"/>
        <v>35672.525095218021</v>
      </c>
      <c r="J330" s="616">
        <f t="shared" si="99"/>
        <v>5571.184904781976</v>
      </c>
      <c r="K330" s="616">
        <f t="shared" si="104"/>
        <v>6390169.163105038</v>
      </c>
      <c r="L330" s="616">
        <f t="shared" si="105"/>
        <v>7055280.296894962</v>
      </c>
      <c r="M330" s="617">
        <f t="shared" si="100"/>
        <v>1305223.3957743368</v>
      </c>
    </row>
    <row r="331" spans="5:13" x14ac:dyDescent="0.35">
      <c r="E331" s="515">
        <f t="shared" si="101"/>
        <v>327</v>
      </c>
      <c r="F331" s="331">
        <f t="shared" si="102"/>
        <v>55974</v>
      </c>
      <c r="G331" s="616">
        <f t="shared" si="103"/>
        <v>1305223.3957743368</v>
      </c>
      <c r="H331" s="616">
        <f t="shared" si="97"/>
        <v>41243.71</v>
      </c>
      <c r="I331" s="616">
        <f t="shared" si="98"/>
        <v>35820.738114761742</v>
      </c>
      <c r="J331" s="616">
        <f t="shared" si="99"/>
        <v>5422.9718852382548</v>
      </c>
      <c r="K331" s="616">
        <f t="shared" si="104"/>
        <v>6425989.9012198001</v>
      </c>
      <c r="L331" s="616">
        <f t="shared" si="105"/>
        <v>7060703.2687801998</v>
      </c>
      <c r="M331" s="617">
        <f t="shared" si="100"/>
        <v>1269402.6576595751</v>
      </c>
    </row>
    <row r="332" spans="5:13" x14ac:dyDescent="0.35">
      <c r="E332" s="515">
        <f t="shared" si="101"/>
        <v>328</v>
      </c>
      <c r="F332" s="331">
        <f t="shared" si="102"/>
        <v>56004</v>
      </c>
      <c r="G332" s="616">
        <f t="shared" si="103"/>
        <v>1269402.6576595751</v>
      </c>
      <c r="H332" s="616">
        <f t="shared" si="97"/>
        <v>41243.71</v>
      </c>
      <c r="I332" s="616">
        <f t="shared" si="98"/>
        <v>35969.566933133938</v>
      </c>
      <c r="J332" s="616">
        <f t="shared" si="99"/>
        <v>5274.1430668660623</v>
      </c>
      <c r="K332" s="616">
        <f t="shared" si="104"/>
        <v>6461959.4681529338</v>
      </c>
      <c r="L332" s="616">
        <f t="shared" si="105"/>
        <v>7065977.4118470661</v>
      </c>
      <c r="M332" s="617">
        <f t="shared" si="100"/>
        <v>1233433.0907264412</v>
      </c>
    </row>
    <row r="333" spans="5:13" x14ac:dyDescent="0.35">
      <c r="E333" s="515">
        <f t="shared" si="101"/>
        <v>329</v>
      </c>
      <c r="F333" s="331">
        <f t="shared" si="102"/>
        <v>56035</v>
      </c>
      <c r="G333" s="616">
        <f t="shared" si="103"/>
        <v>1233433.0907264412</v>
      </c>
      <c r="H333" s="616">
        <f t="shared" si="97"/>
        <v>41243.71</v>
      </c>
      <c r="I333" s="616">
        <f t="shared" si="98"/>
        <v>36119.014108869596</v>
      </c>
      <c r="J333" s="616">
        <f t="shared" si="99"/>
        <v>5124.6958911304037</v>
      </c>
      <c r="K333" s="616">
        <f t="shared" si="104"/>
        <v>6498078.482261803</v>
      </c>
      <c r="L333" s="616">
        <f t="shared" si="105"/>
        <v>7071102.1077381968</v>
      </c>
      <c r="M333" s="617">
        <f t="shared" si="100"/>
        <v>1197314.0766175715</v>
      </c>
    </row>
    <row r="334" spans="5:13" x14ac:dyDescent="0.35">
      <c r="E334" s="515">
        <f t="shared" si="101"/>
        <v>330</v>
      </c>
      <c r="F334" s="331">
        <f t="shared" si="102"/>
        <v>56065</v>
      </c>
      <c r="G334" s="616">
        <f t="shared" si="103"/>
        <v>1197314.0766175715</v>
      </c>
      <c r="H334" s="616">
        <f t="shared" si="97"/>
        <v>41243.71</v>
      </c>
      <c r="I334" s="616">
        <f t="shared" si="98"/>
        <v>36269.082211133973</v>
      </c>
      <c r="J334" s="616">
        <f t="shared" si="99"/>
        <v>4974.6277888660243</v>
      </c>
      <c r="K334" s="616">
        <f t="shared" si="104"/>
        <v>6534347.564472937</v>
      </c>
      <c r="L334" s="616">
        <f t="shared" si="105"/>
        <v>7076076.7355270628</v>
      </c>
      <c r="M334" s="617">
        <f t="shared" si="100"/>
        <v>1161044.9944064375</v>
      </c>
    </row>
    <row r="335" spans="5:13" x14ac:dyDescent="0.35">
      <c r="E335" s="515">
        <f t="shared" si="101"/>
        <v>331</v>
      </c>
      <c r="F335" s="331">
        <f t="shared" si="102"/>
        <v>56096</v>
      </c>
      <c r="G335" s="616">
        <f t="shared" si="103"/>
        <v>1161044.9944064375</v>
      </c>
      <c r="H335" s="616">
        <f t="shared" si="97"/>
        <v>41243.71</v>
      </c>
      <c r="I335" s="616">
        <f t="shared" si="98"/>
        <v>36419.773819766757</v>
      </c>
      <c r="J335" s="616">
        <f t="shared" si="99"/>
        <v>4823.9361802332442</v>
      </c>
      <c r="K335" s="616">
        <f t="shared" si="104"/>
        <v>6570767.338292704</v>
      </c>
      <c r="L335" s="616">
        <f t="shared" si="105"/>
        <v>7080900.6717072958</v>
      </c>
      <c r="M335" s="617">
        <f t="shared" si="100"/>
        <v>1124625.2205866708</v>
      </c>
    </row>
    <row r="336" spans="5:13" x14ac:dyDescent="0.35">
      <c r="E336" s="515">
        <f t="shared" si="101"/>
        <v>332</v>
      </c>
      <c r="F336" s="331">
        <f t="shared" si="102"/>
        <v>56127</v>
      </c>
      <c r="G336" s="616">
        <f t="shared" si="103"/>
        <v>1124625.2205866708</v>
      </c>
      <c r="H336" s="616">
        <f t="shared" si="97"/>
        <v>41243.71</v>
      </c>
      <c r="I336" s="616">
        <f t="shared" si="98"/>
        <v>36571.091525326396</v>
      </c>
      <c r="J336" s="616">
        <f t="shared" si="99"/>
        <v>4672.6184746736062</v>
      </c>
      <c r="K336" s="616">
        <f t="shared" si="104"/>
        <v>6607338.4298180304</v>
      </c>
      <c r="L336" s="616">
        <f t="shared" si="105"/>
        <v>7085573.2901819693</v>
      </c>
      <c r="M336" s="617">
        <f t="shared" si="100"/>
        <v>1088054.1290613443</v>
      </c>
    </row>
    <row r="337" spans="5:13" x14ac:dyDescent="0.35">
      <c r="E337" s="515">
        <f t="shared" si="101"/>
        <v>333</v>
      </c>
      <c r="F337" s="331">
        <f t="shared" si="102"/>
        <v>56157</v>
      </c>
      <c r="G337" s="616">
        <f t="shared" si="103"/>
        <v>1088054.1290613443</v>
      </c>
      <c r="H337" s="616">
        <f t="shared" si="97"/>
        <v>41243.71</v>
      </c>
      <c r="I337" s="616">
        <f t="shared" si="98"/>
        <v>36723.037929134654</v>
      </c>
      <c r="J337" s="616">
        <f t="shared" si="99"/>
        <v>4520.6720708653429</v>
      </c>
      <c r="K337" s="616">
        <f t="shared" si="104"/>
        <v>6644061.4677471649</v>
      </c>
      <c r="L337" s="616">
        <f t="shared" si="105"/>
        <v>7090093.9622528348</v>
      </c>
      <c r="M337" s="617">
        <f t="shared" si="100"/>
        <v>1051331.0911322096</v>
      </c>
    </row>
    <row r="338" spans="5:13" x14ac:dyDescent="0.35">
      <c r="E338" s="515">
        <f t="shared" si="101"/>
        <v>334</v>
      </c>
      <c r="F338" s="331">
        <f t="shared" si="102"/>
        <v>56188</v>
      </c>
      <c r="G338" s="616">
        <f t="shared" si="103"/>
        <v>1051331.0911322096</v>
      </c>
      <c r="H338" s="616">
        <f t="shared" si="97"/>
        <v>41243.71</v>
      </c>
      <c r="I338" s="616">
        <f t="shared" si="98"/>
        <v>36875.615643321347</v>
      </c>
      <c r="J338" s="616">
        <f t="shared" si="99"/>
        <v>4368.0943566786545</v>
      </c>
      <c r="K338" s="616">
        <f t="shared" si="104"/>
        <v>6680937.0833904864</v>
      </c>
      <c r="L338" s="616">
        <f t="shared" si="105"/>
        <v>7094462.0566095132</v>
      </c>
      <c r="M338" s="617">
        <f t="shared" si="100"/>
        <v>1014455.4754888883</v>
      </c>
    </row>
    <row r="339" spans="5:13" x14ac:dyDescent="0.35">
      <c r="E339" s="515">
        <f t="shared" si="101"/>
        <v>335</v>
      </c>
      <c r="F339" s="331">
        <f t="shared" si="102"/>
        <v>56218</v>
      </c>
      <c r="G339" s="616">
        <f t="shared" si="103"/>
        <v>1014455.4754888883</v>
      </c>
      <c r="H339" s="616">
        <f t="shared" si="97"/>
        <v>41243.71</v>
      </c>
      <c r="I339" s="616">
        <f t="shared" si="98"/>
        <v>37028.827290869194</v>
      </c>
      <c r="J339" s="616">
        <f t="shared" si="99"/>
        <v>4214.8827091308067</v>
      </c>
      <c r="K339" s="616">
        <f t="shared" si="104"/>
        <v>6717965.9106813557</v>
      </c>
      <c r="L339" s="616">
        <f t="shared" si="105"/>
        <v>7098676.9393186439</v>
      </c>
      <c r="M339" s="617">
        <f t="shared" si="100"/>
        <v>977426.64819801913</v>
      </c>
    </row>
    <row r="340" spans="5:13" x14ac:dyDescent="0.35">
      <c r="E340" s="515">
        <f t="shared" si="101"/>
        <v>336</v>
      </c>
      <c r="F340" s="331">
        <f t="shared" si="102"/>
        <v>56249</v>
      </c>
      <c r="G340" s="616">
        <f t="shared" si="103"/>
        <v>977426.64819801913</v>
      </c>
      <c r="H340" s="616">
        <f t="shared" si="97"/>
        <v>41243.71</v>
      </c>
      <c r="I340" s="616">
        <f t="shared" si="98"/>
        <v>37182.675505658968</v>
      </c>
      <c r="J340" s="616">
        <f t="shared" si="99"/>
        <v>4061.0344943410337</v>
      </c>
      <c r="K340" s="616">
        <f t="shared" si="104"/>
        <v>6755148.5861870144</v>
      </c>
      <c r="L340" s="616">
        <f t="shared" si="105"/>
        <v>7102737.9738129852</v>
      </c>
      <c r="M340" s="617">
        <f t="shared" si="100"/>
        <v>940243.97269236017</v>
      </c>
    </row>
    <row r="341" spans="5:13" x14ac:dyDescent="0.35">
      <c r="E341" s="515">
        <f t="shared" si="101"/>
        <v>337</v>
      </c>
      <c r="F341" s="331">
        <f t="shared" si="102"/>
        <v>56280</v>
      </c>
      <c r="G341" s="616">
        <f t="shared" si="103"/>
        <v>940243.97269236017</v>
      </c>
      <c r="H341" s="616">
        <f t="shared" si="97"/>
        <v>41243.71</v>
      </c>
      <c r="I341" s="616">
        <f t="shared" si="98"/>
        <v>37337.162932514737</v>
      </c>
      <c r="J341" s="616">
        <f t="shared" si="99"/>
        <v>3906.547067485265</v>
      </c>
      <c r="K341" s="616">
        <f t="shared" si="104"/>
        <v>6792485.7491195295</v>
      </c>
      <c r="L341" s="616">
        <f t="shared" si="105"/>
        <v>7106644.5208804701</v>
      </c>
      <c r="M341" s="617">
        <f t="shared" si="100"/>
        <v>902906.80975984549</v>
      </c>
    </row>
    <row r="342" spans="5:13" x14ac:dyDescent="0.35">
      <c r="E342" s="515">
        <f t="shared" si="101"/>
        <v>338</v>
      </c>
      <c r="F342" s="331">
        <f t="shared" si="102"/>
        <v>56308</v>
      </c>
      <c r="G342" s="616">
        <f t="shared" si="103"/>
        <v>902906.80975984549</v>
      </c>
      <c r="H342" s="616">
        <f t="shared" si="97"/>
        <v>41243.71</v>
      </c>
      <c r="I342" s="616">
        <f t="shared" si="98"/>
        <v>37492.292227249345</v>
      </c>
      <c r="J342" s="616">
        <f t="shared" si="99"/>
        <v>3751.417772750654</v>
      </c>
      <c r="K342" s="616">
        <f t="shared" si="104"/>
        <v>6829978.0413467791</v>
      </c>
      <c r="L342" s="616">
        <f t="shared" si="105"/>
        <v>7110395.9386532204</v>
      </c>
      <c r="M342" s="617">
        <f t="shared" si="100"/>
        <v>865414.51753259613</v>
      </c>
    </row>
    <row r="343" spans="5:13" x14ac:dyDescent="0.35">
      <c r="E343" s="515">
        <f t="shared" si="101"/>
        <v>339</v>
      </c>
      <c r="F343" s="331">
        <f t="shared" si="102"/>
        <v>56339</v>
      </c>
      <c r="G343" s="616">
        <f t="shared" si="103"/>
        <v>865414.51753259613</v>
      </c>
      <c r="H343" s="616">
        <f t="shared" si="97"/>
        <v>41243.71</v>
      </c>
      <c r="I343" s="616">
        <f t="shared" si="98"/>
        <v>37648.066056710079</v>
      </c>
      <c r="J343" s="616">
        <f t="shared" si="99"/>
        <v>3595.643943289921</v>
      </c>
      <c r="K343" s="616">
        <f t="shared" si="104"/>
        <v>6867626.1074034888</v>
      </c>
      <c r="L343" s="616">
        <f t="shared" si="105"/>
        <v>7113991.5825965106</v>
      </c>
      <c r="M343" s="617">
        <f t="shared" si="100"/>
        <v>827766.45147588605</v>
      </c>
    </row>
    <row r="344" spans="5:13" x14ac:dyDescent="0.35">
      <c r="E344" s="515">
        <f t="shared" si="101"/>
        <v>340</v>
      </c>
      <c r="F344" s="331">
        <f t="shared" si="102"/>
        <v>56369</v>
      </c>
      <c r="G344" s="616">
        <f t="shared" si="103"/>
        <v>827766.45147588605</v>
      </c>
      <c r="H344" s="616">
        <f t="shared" si="97"/>
        <v>41243.71</v>
      </c>
      <c r="I344" s="616">
        <f t="shared" si="98"/>
        <v>37804.487098824487</v>
      </c>
      <c r="J344" s="616">
        <f t="shared" si="99"/>
        <v>3439.2229011755107</v>
      </c>
      <c r="K344" s="616">
        <f t="shared" si="104"/>
        <v>6905430.5945023131</v>
      </c>
      <c r="L344" s="616">
        <f t="shared" si="105"/>
        <v>7117430.8054976864</v>
      </c>
      <c r="M344" s="617">
        <f t="shared" si="100"/>
        <v>789961.96437706158</v>
      </c>
    </row>
    <row r="345" spans="5:13" x14ac:dyDescent="0.35">
      <c r="E345" s="515">
        <f t="shared" si="101"/>
        <v>341</v>
      </c>
      <c r="F345" s="331">
        <f t="shared" si="102"/>
        <v>56400</v>
      </c>
      <c r="G345" s="616">
        <f t="shared" si="103"/>
        <v>789961.96437706158</v>
      </c>
      <c r="H345" s="616">
        <f t="shared" si="97"/>
        <v>41243.709999999992</v>
      </c>
      <c r="I345" s="616">
        <f t="shared" si="98"/>
        <v>37961.558042646444</v>
      </c>
      <c r="J345" s="616">
        <f t="shared" si="99"/>
        <v>3282.1519573535516</v>
      </c>
      <c r="K345" s="616">
        <f t="shared" si="104"/>
        <v>6943392.1525449594</v>
      </c>
      <c r="L345" s="616">
        <f t="shared" si="105"/>
        <v>7120712.95745504</v>
      </c>
      <c r="M345" s="617">
        <f t="shared" si="100"/>
        <v>752000.40633441508</v>
      </c>
    </row>
    <row r="346" spans="5:13" x14ac:dyDescent="0.35">
      <c r="E346" s="515">
        <f t="shared" si="101"/>
        <v>342</v>
      </c>
      <c r="F346" s="331">
        <f t="shared" si="102"/>
        <v>56430</v>
      </c>
      <c r="G346" s="616">
        <f t="shared" si="103"/>
        <v>752000.40633441508</v>
      </c>
      <c r="H346" s="616">
        <f t="shared" si="97"/>
        <v>41243.71</v>
      </c>
      <c r="I346" s="616">
        <f t="shared" si="98"/>
        <v>38119.281588402366</v>
      </c>
      <c r="J346" s="616">
        <f t="shared" si="99"/>
        <v>3124.4284115976307</v>
      </c>
      <c r="K346" s="616">
        <f t="shared" si="104"/>
        <v>6981511.434133362</v>
      </c>
      <c r="L346" s="616">
        <f t="shared" si="105"/>
        <v>7123837.3858666373</v>
      </c>
      <c r="M346" s="617">
        <f t="shared" si="100"/>
        <v>713881.12474601273</v>
      </c>
    </row>
    <row r="347" spans="5:13" x14ac:dyDescent="0.35">
      <c r="E347" s="515">
        <f t="shared" si="101"/>
        <v>343</v>
      </c>
      <c r="F347" s="331">
        <f t="shared" si="102"/>
        <v>56461</v>
      </c>
      <c r="G347" s="616">
        <f t="shared" si="103"/>
        <v>713881.12474601273</v>
      </c>
      <c r="H347" s="616">
        <f t="shared" si="97"/>
        <v>41243.709999999992</v>
      </c>
      <c r="I347" s="616">
        <f t="shared" si="98"/>
        <v>38277.660447537623</v>
      </c>
      <c r="J347" s="616">
        <f t="shared" si="99"/>
        <v>2966.049552462373</v>
      </c>
      <c r="K347" s="616">
        <f t="shared" si="104"/>
        <v>7019789.0945808999</v>
      </c>
      <c r="L347" s="616">
        <f t="shared" si="105"/>
        <v>7126803.4354190994</v>
      </c>
      <c r="M347" s="617">
        <f t="shared" si="100"/>
        <v>675603.46429847507</v>
      </c>
    </row>
    <row r="348" spans="5:13" x14ac:dyDescent="0.35">
      <c r="E348" s="515">
        <f t="shared" si="101"/>
        <v>344</v>
      </c>
      <c r="F348" s="331">
        <f t="shared" si="102"/>
        <v>56492</v>
      </c>
      <c r="G348" s="616">
        <f t="shared" si="103"/>
        <v>675603.46429847507</v>
      </c>
      <c r="H348" s="616">
        <f t="shared" si="97"/>
        <v>41243.710000000006</v>
      </c>
      <c r="I348" s="616">
        <f t="shared" si="98"/>
        <v>38436.697342763175</v>
      </c>
      <c r="J348" s="616">
        <f t="shared" si="99"/>
        <v>2807.0126572368281</v>
      </c>
      <c r="K348" s="616">
        <f t="shared" si="104"/>
        <v>7058225.7919236626</v>
      </c>
      <c r="L348" s="616">
        <f t="shared" si="105"/>
        <v>7129610.4480763366</v>
      </c>
      <c r="M348" s="617">
        <f t="shared" si="100"/>
        <v>637166.76695571188</v>
      </c>
    </row>
    <row r="349" spans="5:13" x14ac:dyDescent="0.35">
      <c r="E349" s="515">
        <f t="shared" si="101"/>
        <v>345</v>
      </c>
      <c r="F349" s="331">
        <f t="shared" si="102"/>
        <v>56522</v>
      </c>
      <c r="G349" s="616">
        <f t="shared" si="103"/>
        <v>637166.76695571188</v>
      </c>
      <c r="H349" s="616">
        <f t="shared" si="97"/>
        <v>41243.71</v>
      </c>
      <c r="I349" s="616">
        <f t="shared" si="98"/>
        <v>38596.395008102336</v>
      </c>
      <c r="J349" s="616">
        <f t="shared" si="99"/>
        <v>2647.3149918976646</v>
      </c>
      <c r="K349" s="616">
        <f t="shared" si="104"/>
        <v>7096822.1869317647</v>
      </c>
      <c r="L349" s="616">
        <f t="shared" si="105"/>
        <v>7132257.7630682345</v>
      </c>
      <c r="M349" s="617">
        <f t="shared" si="100"/>
        <v>598570.37194760959</v>
      </c>
    </row>
    <row r="350" spans="5:13" x14ac:dyDescent="0.35">
      <c r="E350" s="515">
        <f t="shared" si="101"/>
        <v>346</v>
      </c>
      <c r="F350" s="331">
        <f t="shared" si="102"/>
        <v>56553</v>
      </c>
      <c r="G350" s="616">
        <f t="shared" si="103"/>
        <v>598570.37194760959</v>
      </c>
      <c r="H350" s="616">
        <f t="shared" si="97"/>
        <v>41243.71</v>
      </c>
      <c r="I350" s="616">
        <f t="shared" si="98"/>
        <v>38756.756188937834</v>
      </c>
      <c r="J350" s="616">
        <f t="shared" si="99"/>
        <v>2486.9538110621684</v>
      </c>
      <c r="K350" s="616">
        <f t="shared" si="104"/>
        <v>7135578.9431207022</v>
      </c>
      <c r="L350" s="616">
        <f t="shared" si="105"/>
        <v>7134744.716879297</v>
      </c>
      <c r="M350" s="617">
        <f t="shared" si="100"/>
        <v>559813.61575867177</v>
      </c>
    </row>
    <row r="351" spans="5:13" x14ac:dyDescent="0.35">
      <c r="E351" s="515">
        <f t="shared" si="101"/>
        <v>347</v>
      </c>
      <c r="F351" s="331">
        <f t="shared" si="102"/>
        <v>56583</v>
      </c>
      <c r="G351" s="616">
        <f t="shared" si="103"/>
        <v>559813.61575867177</v>
      </c>
      <c r="H351" s="616">
        <f t="shared" si="97"/>
        <v>41243.71</v>
      </c>
      <c r="I351" s="616">
        <f t="shared" si="98"/>
        <v>38917.783642058952</v>
      </c>
      <c r="J351" s="616">
        <f t="shared" si="99"/>
        <v>2325.9263579410467</v>
      </c>
      <c r="K351" s="616">
        <f t="shared" si="104"/>
        <v>7174496.7267627614</v>
      </c>
      <c r="L351" s="616">
        <f t="shared" si="105"/>
        <v>7137070.6432372378</v>
      </c>
      <c r="M351" s="617">
        <f t="shared" si="100"/>
        <v>520895.83211661282</v>
      </c>
    </row>
    <row r="352" spans="5:13" x14ac:dyDescent="0.35">
      <c r="E352" s="515">
        <f t="shared" si="101"/>
        <v>348</v>
      </c>
      <c r="F352" s="331">
        <f t="shared" si="102"/>
        <v>56614</v>
      </c>
      <c r="G352" s="616">
        <f t="shared" si="103"/>
        <v>520895.83211661282</v>
      </c>
      <c r="H352" s="616">
        <f t="shared" si="97"/>
        <v>41243.709999999992</v>
      </c>
      <c r="I352" s="616">
        <f t="shared" si="98"/>
        <v>39079.48013570896</v>
      </c>
      <c r="J352" s="616">
        <f t="shared" si="99"/>
        <v>2164.2298642910355</v>
      </c>
      <c r="K352" s="616">
        <f t="shared" si="104"/>
        <v>7213576.2068984704</v>
      </c>
      <c r="L352" s="616">
        <f t="shared" si="105"/>
        <v>7139234.8731015287</v>
      </c>
      <c r="M352" s="617">
        <f t="shared" si="100"/>
        <v>481816.35198090388</v>
      </c>
    </row>
    <row r="353" spans="5:13" x14ac:dyDescent="0.35">
      <c r="E353" s="515">
        <f t="shared" si="101"/>
        <v>349</v>
      </c>
      <c r="F353" s="331">
        <f t="shared" si="102"/>
        <v>56645</v>
      </c>
      <c r="G353" s="616">
        <f t="shared" si="103"/>
        <v>481816.35198090388</v>
      </c>
      <c r="H353" s="616">
        <f t="shared" si="97"/>
        <v>41243.71</v>
      </c>
      <c r="I353" s="616">
        <f t="shared" si="98"/>
        <v>39241.848449632686</v>
      </c>
      <c r="J353" s="616">
        <f t="shared" si="99"/>
        <v>2001.8615503673116</v>
      </c>
      <c r="K353" s="616">
        <f t="shared" si="104"/>
        <v>7252818.0553481029</v>
      </c>
      <c r="L353" s="616">
        <f t="shared" si="105"/>
        <v>7141236.7346518962</v>
      </c>
      <c r="M353" s="617">
        <f t="shared" si="100"/>
        <v>442574.50353127118</v>
      </c>
    </row>
    <row r="354" spans="5:13" x14ac:dyDescent="0.35">
      <c r="E354" s="515">
        <f t="shared" si="101"/>
        <v>350</v>
      </c>
      <c r="F354" s="331">
        <f t="shared" si="102"/>
        <v>56673</v>
      </c>
      <c r="G354" s="616">
        <f t="shared" si="103"/>
        <v>442574.50353127118</v>
      </c>
      <c r="H354" s="616">
        <f t="shared" si="97"/>
        <v>41243.71</v>
      </c>
      <c r="I354" s="616">
        <f t="shared" si="98"/>
        <v>39404.891375124294</v>
      </c>
      <c r="J354" s="616">
        <f t="shared" si="99"/>
        <v>1838.8186248757038</v>
      </c>
      <c r="K354" s="616">
        <f t="shared" si="104"/>
        <v>7292222.9467232274</v>
      </c>
      <c r="L354" s="616">
        <f t="shared" si="105"/>
        <v>7143075.5532767717</v>
      </c>
      <c r="M354" s="617">
        <f t="shared" si="100"/>
        <v>403169.6121561469</v>
      </c>
    </row>
    <row r="355" spans="5:13" x14ac:dyDescent="0.35">
      <c r="E355" s="515">
        <f t="shared" si="101"/>
        <v>351</v>
      </c>
      <c r="F355" s="331">
        <f t="shared" si="102"/>
        <v>56704</v>
      </c>
      <c r="G355" s="616">
        <f t="shared" si="103"/>
        <v>403169.6121561469</v>
      </c>
      <c r="H355" s="616">
        <f t="shared" si="97"/>
        <v>41243.71</v>
      </c>
      <c r="I355" s="616">
        <f t="shared" si="98"/>
        <v>39568.611715075291</v>
      </c>
      <c r="J355" s="616">
        <f t="shared" si="99"/>
        <v>1675.0982849247089</v>
      </c>
      <c r="K355" s="616">
        <f t="shared" si="104"/>
        <v>7331791.5584383029</v>
      </c>
      <c r="L355" s="616">
        <f t="shared" si="105"/>
        <v>7144750.6515616961</v>
      </c>
      <c r="M355" s="617">
        <f t="shared" si="100"/>
        <v>363601.00044107164</v>
      </c>
    </row>
    <row r="356" spans="5:13" x14ac:dyDescent="0.35">
      <c r="E356" s="515">
        <f t="shared" si="101"/>
        <v>352</v>
      </c>
      <c r="F356" s="331">
        <f t="shared" si="102"/>
        <v>56734</v>
      </c>
      <c r="G356" s="616">
        <f t="shared" si="103"/>
        <v>363601.00044107164</v>
      </c>
      <c r="H356" s="616">
        <f t="shared" si="97"/>
        <v>41243.71</v>
      </c>
      <c r="I356" s="616">
        <f t="shared" si="98"/>
        <v>39733.01228402269</v>
      </c>
      <c r="J356" s="616">
        <f t="shared" si="99"/>
        <v>1510.697715977306</v>
      </c>
      <c r="K356" s="616">
        <f t="shared" si="104"/>
        <v>7371524.5707223257</v>
      </c>
      <c r="L356" s="616">
        <f t="shared" si="105"/>
        <v>7146261.3492776733</v>
      </c>
      <c r="M356" s="617">
        <f t="shared" si="100"/>
        <v>323867.98815704894</v>
      </c>
    </row>
    <row r="357" spans="5:13" x14ac:dyDescent="0.35">
      <c r="E357" s="515">
        <f t="shared" si="101"/>
        <v>353</v>
      </c>
      <c r="F357" s="331">
        <f t="shared" si="102"/>
        <v>56765</v>
      </c>
      <c r="G357" s="616">
        <f t="shared" si="103"/>
        <v>323867.98815704894</v>
      </c>
      <c r="H357" s="616">
        <f t="shared" si="97"/>
        <v>41243.71</v>
      </c>
      <c r="I357" s="616">
        <f t="shared" si="98"/>
        <v>39898.095908197429</v>
      </c>
      <c r="J357" s="616">
        <f t="shared" si="99"/>
        <v>1345.6140918025715</v>
      </c>
      <c r="K357" s="616">
        <f t="shared" si="104"/>
        <v>7411422.6666305233</v>
      </c>
      <c r="L357" s="616">
        <f t="shared" si="105"/>
        <v>7147606.9633694757</v>
      </c>
      <c r="M357" s="617">
        <f t="shared" si="100"/>
        <v>283969.89224885148</v>
      </c>
    </row>
    <row r="358" spans="5:13" x14ac:dyDescent="0.35">
      <c r="E358" s="515">
        <f t="shared" si="101"/>
        <v>354</v>
      </c>
      <c r="F358" s="331">
        <f t="shared" si="102"/>
        <v>56795</v>
      </c>
      <c r="G358" s="616">
        <f t="shared" si="103"/>
        <v>283969.89224885148</v>
      </c>
      <c r="H358" s="616">
        <f t="shared" si="97"/>
        <v>41243.71</v>
      </c>
      <c r="I358" s="616">
        <f t="shared" si="98"/>
        <v>40063.865425572905</v>
      </c>
      <c r="J358" s="616">
        <f t="shared" si="99"/>
        <v>1179.8445744270934</v>
      </c>
      <c r="K358" s="616">
        <f t="shared" si="104"/>
        <v>7451486.532056096</v>
      </c>
      <c r="L358" s="616">
        <f t="shared" si="105"/>
        <v>7148786.8079439029</v>
      </c>
      <c r="M358" s="617">
        <f t="shared" si="100"/>
        <v>243906.02682327857</v>
      </c>
    </row>
    <row r="359" spans="5:13" x14ac:dyDescent="0.35">
      <c r="E359" s="515">
        <f t="shared" si="101"/>
        <v>355</v>
      </c>
      <c r="F359" s="331">
        <f t="shared" si="102"/>
        <v>56826</v>
      </c>
      <c r="G359" s="616">
        <f t="shared" si="103"/>
        <v>243906.02682327857</v>
      </c>
      <c r="H359" s="616">
        <f t="shared" si="97"/>
        <v>41243.71</v>
      </c>
      <c r="I359" s="616">
        <f t="shared" si="98"/>
        <v>40230.323685913812</v>
      </c>
      <c r="J359" s="616">
        <f t="shared" si="99"/>
        <v>1013.3863140861838</v>
      </c>
      <c r="K359" s="616">
        <f t="shared" si="104"/>
        <v>7491716.8557420094</v>
      </c>
      <c r="L359" s="616">
        <f t="shared" si="105"/>
        <v>7149800.1942579895</v>
      </c>
      <c r="M359" s="617">
        <f t="shared" si="100"/>
        <v>203675.70313736476</v>
      </c>
    </row>
    <row r="360" spans="5:13" x14ac:dyDescent="0.35">
      <c r="E360" s="515">
        <f t="shared" si="101"/>
        <v>356</v>
      </c>
      <c r="F360" s="331">
        <f t="shared" si="102"/>
        <v>56857</v>
      </c>
      <c r="G360" s="616">
        <f t="shared" si="103"/>
        <v>203675.70313736476</v>
      </c>
      <c r="H360" s="616">
        <f t="shared" si="97"/>
        <v>41243.71</v>
      </c>
      <c r="I360" s="616">
        <f t="shared" si="98"/>
        <v>40397.473550825111</v>
      </c>
      <c r="J360" s="616">
        <f t="shared" si="99"/>
        <v>846.23644917488639</v>
      </c>
      <c r="K360" s="616">
        <f t="shared" si="104"/>
        <v>7532114.3292928347</v>
      </c>
      <c r="L360" s="616">
        <f t="shared" si="105"/>
        <v>7150646.4307071641</v>
      </c>
      <c r="M360" s="617">
        <f t="shared" si="100"/>
        <v>163278.22958653964</v>
      </c>
    </row>
    <row r="361" spans="5:13" x14ac:dyDescent="0.35">
      <c r="E361" s="515">
        <f t="shared" si="101"/>
        <v>357</v>
      </c>
      <c r="F361" s="331">
        <f t="shared" si="102"/>
        <v>56887</v>
      </c>
      <c r="G361" s="616">
        <f t="shared" si="103"/>
        <v>163278.22958653964</v>
      </c>
      <c r="H361" s="616">
        <f t="shared" si="97"/>
        <v>41243.71</v>
      </c>
      <c r="I361" s="616">
        <f t="shared" si="98"/>
        <v>40565.317893801213</v>
      </c>
      <c r="J361" s="616">
        <f t="shared" si="99"/>
        <v>678.39210619878418</v>
      </c>
      <c r="K361" s="616">
        <f t="shared" si="104"/>
        <v>7572679.647186636</v>
      </c>
      <c r="L361" s="616">
        <f t="shared" si="105"/>
        <v>7151324.8228133628</v>
      </c>
      <c r="M361" s="617">
        <f t="shared" si="100"/>
        <v>122712.91169273843</v>
      </c>
    </row>
    <row r="362" spans="5:13" x14ac:dyDescent="0.35">
      <c r="E362" s="515">
        <f t="shared" si="101"/>
        <v>358</v>
      </c>
      <c r="F362" s="331">
        <f t="shared" si="102"/>
        <v>56918</v>
      </c>
      <c r="G362" s="616">
        <f t="shared" si="103"/>
        <v>122712.91169273843</v>
      </c>
      <c r="H362" s="616">
        <f t="shared" si="97"/>
        <v>41243.71</v>
      </c>
      <c r="I362" s="616">
        <f t="shared" si="98"/>
        <v>40733.859600275398</v>
      </c>
      <c r="J362" s="616">
        <f t="shared" si="99"/>
        <v>509.85039972459987</v>
      </c>
      <c r="K362" s="616">
        <f t="shared" si="104"/>
        <v>7613413.5067869117</v>
      </c>
      <c r="L362" s="616">
        <f t="shared" si="105"/>
        <v>7151834.673213087</v>
      </c>
      <c r="M362" s="617">
        <f t="shared" si="100"/>
        <v>81979.05209246304</v>
      </c>
    </row>
    <row r="363" spans="5:13" x14ac:dyDescent="0.35">
      <c r="E363" s="515">
        <f t="shared" si="101"/>
        <v>359</v>
      </c>
      <c r="F363" s="331">
        <f t="shared" si="102"/>
        <v>56948</v>
      </c>
      <c r="G363" s="616">
        <f t="shared" si="103"/>
        <v>81979.05209246304</v>
      </c>
      <c r="H363" s="616">
        <f t="shared" si="97"/>
        <v>41243.71</v>
      </c>
      <c r="I363" s="616">
        <f t="shared" si="98"/>
        <v>40903.101567669408</v>
      </c>
      <c r="J363" s="616">
        <f t="shared" si="99"/>
        <v>340.60843233059256</v>
      </c>
      <c r="K363" s="616">
        <f t="shared" si="104"/>
        <v>7654316.6083545815</v>
      </c>
      <c r="L363" s="616">
        <f t="shared" si="105"/>
        <v>7152175.2816454172</v>
      </c>
      <c r="M363" s="617">
        <f t="shared" si="100"/>
        <v>41075.950524793632</v>
      </c>
    </row>
    <row r="364" spans="5:13" ht="15" thickBot="1" x14ac:dyDescent="0.4">
      <c r="E364" s="564">
        <f t="shared" si="101"/>
        <v>360</v>
      </c>
      <c r="F364" s="649">
        <f t="shared" si="102"/>
        <v>56979</v>
      </c>
      <c r="G364" s="650">
        <f t="shared" si="103"/>
        <v>41075.950524793632</v>
      </c>
      <c r="H364" s="650">
        <f t="shared" si="97"/>
        <v>41243.71</v>
      </c>
      <c r="I364" s="650">
        <f t="shared" si="98"/>
        <v>41073.046705443252</v>
      </c>
      <c r="J364" s="650">
        <f t="shared" si="99"/>
        <v>170.66329455674716</v>
      </c>
      <c r="K364" s="650">
        <f t="shared" si="104"/>
        <v>7695389.6550600249</v>
      </c>
      <c r="L364" s="650">
        <f t="shared" si="105"/>
        <v>7152345.9449399738</v>
      </c>
      <c r="M364" s="651">
        <f t="shared" si="100"/>
        <v>2.9038193503802177</v>
      </c>
    </row>
  </sheetData>
  <mergeCells count="9">
    <mergeCell ref="S13:T13"/>
    <mergeCell ref="B2:C2"/>
    <mergeCell ref="E2:M2"/>
    <mergeCell ref="O2:Q2"/>
    <mergeCell ref="W2:FS2"/>
    <mergeCell ref="B3:C3"/>
    <mergeCell ref="E3:M3"/>
    <mergeCell ref="W3:FS3"/>
    <mergeCell ref="S12:T12"/>
  </mergeCells>
  <conditionalFormatting sqref="X16:FH16">
    <cfRule type="expression" dxfId="3" priority="1">
      <formula>X$16&gt;X$23</formula>
    </cfRule>
  </conditionalFormatting>
  <conditionalFormatting sqref="X21:FH21">
    <cfRule type="expression" dxfId="2" priority="2">
      <formula>X$21&gt;X$23</formula>
    </cfRule>
  </conditionalFormatting>
  <conditionalFormatting sqref="AI12:FS12">
    <cfRule type="expression" dxfId="1" priority="3">
      <formula>AI$12&gt;AI$23</formula>
    </cfRule>
  </conditionalFormatting>
  <conditionalFormatting sqref="AI23:FS23">
    <cfRule type="expression" dxfId="0" priority="4">
      <formula>$AI12&gt;$AI23</formula>
    </cfRule>
  </conditionalFormatting>
  <pageMargins left="0.25" right="0.25" top="0.75" bottom="0.75" header="0.3" footer="0.3"/>
  <pageSetup scale="3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4A4F1-E06D-4495-9D37-C8A9351FF064}">
  <sheetPr codeName="Sheet6">
    <tabColor theme="7" tint="-0.499984740745262"/>
    <pageSetUpPr fitToPage="1"/>
  </sheetPr>
  <dimension ref="B1:L77"/>
  <sheetViews>
    <sheetView zoomScale="70" zoomScaleNormal="70" zoomScaleSheetLayoutView="55" zoomScalePageLayoutView="85" workbookViewId="0">
      <selection activeCell="E27" sqref="E27"/>
    </sheetView>
  </sheetViews>
  <sheetFormatPr defaultColWidth="5.81640625" defaultRowHeight="14.5" x14ac:dyDescent="0.35"/>
  <cols>
    <col min="1" max="1" width="5.81640625" style="652"/>
    <col min="2" max="2" width="42.1796875" style="652" bestFit="1" customWidth="1"/>
    <col min="3" max="3" width="30.7265625" style="652" customWidth="1"/>
    <col min="4" max="4" width="33.1796875" style="652" bestFit="1" customWidth="1"/>
    <col min="5" max="5" width="76.26953125" style="653" customWidth="1"/>
    <col min="6" max="6" width="5.81640625" style="652" customWidth="1"/>
    <col min="7" max="7" width="10.1796875" style="652" bestFit="1" customWidth="1"/>
    <col min="8" max="8" width="5.81640625" style="652"/>
    <col min="9" max="9" width="11.81640625" style="652" bestFit="1" customWidth="1"/>
    <col min="10" max="10" width="7.1796875" style="652" bestFit="1" customWidth="1"/>
    <col min="11" max="11" width="5.81640625" style="652"/>
    <col min="12" max="12" width="7" style="652" bestFit="1" customWidth="1"/>
    <col min="13" max="16384" width="5.81640625" style="652"/>
  </cols>
  <sheetData>
    <row r="1" spans="2:9" ht="15" customHeight="1" thickBot="1" x14ac:dyDescent="0.4"/>
    <row r="2" spans="2:9" ht="15" customHeight="1" thickBot="1" x14ac:dyDescent="0.35">
      <c r="B2" s="654" t="s">
        <v>375</v>
      </c>
      <c r="C2" s="655"/>
      <c r="D2" s="655"/>
      <c r="E2" s="656">
        <f ca="1">TODAY()</f>
        <v>46097</v>
      </c>
    </row>
    <row r="3" spans="2:9" s="660" customFormat="1" ht="15" customHeight="1" x14ac:dyDescent="0.5">
      <c r="B3" s="657"/>
      <c r="C3" s="658"/>
      <c r="D3" s="658"/>
      <c r="E3" s="659"/>
    </row>
    <row r="4" spans="2:9" s="653" customFormat="1" ht="15" customHeight="1" x14ac:dyDescent="0.35">
      <c r="B4" s="661" t="s">
        <v>376</v>
      </c>
      <c r="C4" s="662" t="s">
        <v>465</v>
      </c>
      <c r="D4" s="662" t="s">
        <v>377</v>
      </c>
      <c r="E4" s="663" t="s">
        <v>457</v>
      </c>
    </row>
    <row r="5" spans="2:9" s="653" customFormat="1" ht="15" customHeight="1" x14ac:dyDescent="0.35">
      <c r="B5" s="661" t="s">
        <v>378</v>
      </c>
      <c r="C5" s="664">
        <f>SF</f>
        <v>18754</v>
      </c>
      <c r="D5" s="662" t="s">
        <v>379</v>
      </c>
      <c r="E5" s="665">
        <f>Budget!Q6</f>
        <v>6550000</v>
      </c>
    </row>
    <row r="6" spans="2:9" s="653" customFormat="1" ht="15" customHeight="1" x14ac:dyDescent="0.35">
      <c r="B6" s="661" t="s">
        <v>380</v>
      </c>
      <c r="C6" s="666">
        <v>1997</v>
      </c>
      <c r="D6" s="662" t="s">
        <v>381</v>
      </c>
      <c r="E6" s="667">
        <f>Budget!S24</f>
        <v>0.64245855309343336</v>
      </c>
      <c r="I6" s="668"/>
    </row>
    <row r="7" spans="2:9" s="653" customFormat="1" ht="15" customHeight="1" x14ac:dyDescent="0.35">
      <c r="B7" s="661" t="s">
        <v>382</v>
      </c>
      <c r="C7" s="662" t="s">
        <v>506</v>
      </c>
      <c r="D7" s="662" t="s">
        <v>383</v>
      </c>
      <c r="E7" s="663" t="s">
        <v>507</v>
      </c>
    </row>
    <row r="8" spans="2:9" s="653" customFormat="1" ht="15" customHeight="1" x14ac:dyDescent="0.35">
      <c r="B8" s="661" t="s">
        <v>384</v>
      </c>
      <c r="C8" s="662" t="s">
        <v>385</v>
      </c>
      <c r="D8" s="662" t="s">
        <v>386</v>
      </c>
      <c r="E8" s="674">
        <v>46203</v>
      </c>
    </row>
    <row r="9" spans="2:9" s="653" customFormat="1" ht="15" customHeight="1" x14ac:dyDescent="0.35">
      <c r="B9" s="661" t="s">
        <v>387</v>
      </c>
      <c r="C9" s="775">
        <f ca="1">'Offering Memorandum'!AF10</f>
        <v>5.043835616438356</v>
      </c>
      <c r="D9" s="662" t="s">
        <v>463</v>
      </c>
      <c r="E9" s="663" t="s">
        <v>458</v>
      </c>
    </row>
    <row r="10" spans="2:9" s="653" customFormat="1" ht="15" customHeight="1" x14ac:dyDescent="0.35">
      <c r="B10" s="661" t="s">
        <v>388</v>
      </c>
      <c r="C10" s="669">
        <v>1</v>
      </c>
      <c r="D10" s="662" t="s">
        <v>389</v>
      </c>
      <c r="E10" s="665">
        <f>Budget!Q7</f>
        <v>3551440.2100000009</v>
      </c>
    </row>
    <row r="11" spans="2:9" s="653" customFormat="1" ht="15" customHeight="1" x14ac:dyDescent="0.35">
      <c r="B11" s="661" t="s">
        <v>390</v>
      </c>
      <c r="C11" s="670">
        <f>C10</f>
        <v>1</v>
      </c>
      <c r="D11" s="662" t="s">
        <v>391</v>
      </c>
      <c r="E11" s="671">
        <f>1-E6</f>
        <v>0.35754144690656664</v>
      </c>
    </row>
    <row r="12" spans="2:9" s="653" customFormat="1" ht="15" customHeight="1" x14ac:dyDescent="0.35">
      <c r="B12" s="661" t="s">
        <v>392</v>
      </c>
      <c r="C12" s="731">
        <f>'Property CF'!H7</f>
        <v>45120</v>
      </c>
      <c r="D12" s="662" t="s">
        <v>393</v>
      </c>
      <c r="E12" s="671">
        <f>'Property CF'!C28</f>
        <v>0.11</v>
      </c>
    </row>
    <row r="13" spans="2:9" s="653" customFormat="1" ht="15" customHeight="1" x14ac:dyDescent="0.35">
      <c r="B13" s="661" t="s">
        <v>394</v>
      </c>
      <c r="C13" s="672">
        <f>Budget!F33</f>
        <v>35.436907232051112</v>
      </c>
      <c r="D13" s="662" t="s">
        <v>395</v>
      </c>
      <c r="E13" s="671">
        <f>'Property CF'!C30</f>
        <v>0.2</v>
      </c>
    </row>
    <row r="14" spans="2:9" s="653" customFormat="1" ht="15" customHeight="1" x14ac:dyDescent="0.35">
      <c r="B14" s="661" t="s">
        <v>396</v>
      </c>
      <c r="C14" s="673">
        <f>C5*C13</f>
        <v>664583.75822988653</v>
      </c>
      <c r="D14" s="662" t="s">
        <v>459</v>
      </c>
      <c r="E14" s="674">
        <f>'Property CF'!H7</f>
        <v>45120</v>
      </c>
    </row>
    <row r="15" spans="2:9" s="653" customFormat="1" ht="15" customHeight="1" x14ac:dyDescent="0.35">
      <c r="B15" s="661" t="s">
        <v>397</v>
      </c>
      <c r="C15" s="673">
        <f>Budget!E31</f>
        <v>10395210.210000001</v>
      </c>
      <c r="D15" s="662" t="s">
        <v>398</v>
      </c>
      <c r="E15" s="674">
        <f>'Property CF'!AN7</f>
        <v>46081</v>
      </c>
    </row>
    <row r="16" spans="2:9" s="653" customFormat="1" ht="15" customHeight="1" x14ac:dyDescent="0.35">
      <c r="B16" s="661" t="s">
        <v>399</v>
      </c>
      <c r="C16" s="675">
        <f>C15/C5</f>
        <v>554.29296203476599</v>
      </c>
      <c r="D16" s="662" t="s">
        <v>400</v>
      </c>
      <c r="E16" s="676">
        <f>'Property CF'!AN5</f>
        <v>32</v>
      </c>
    </row>
    <row r="17" spans="2:10" s="653" customFormat="1" ht="15" customHeight="1" x14ac:dyDescent="0.35">
      <c r="B17" s="677" t="s">
        <v>401</v>
      </c>
      <c r="C17" s="678">
        <f>C14/C15</f>
        <v>6.3931728633113083E-2</v>
      </c>
      <c r="D17" s="662" t="s">
        <v>402</v>
      </c>
      <c r="E17" s="671" t="s">
        <v>460</v>
      </c>
    </row>
    <row r="18" spans="2:10" s="653" customFormat="1" ht="15" customHeight="1" thickBot="1" x14ac:dyDescent="0.4">
      <c r="B18" s="679"/>
      <c r="C18" s="680"/>
      <c r="D18" s="681"/>
      <c r="E18" s="682"/>
    </row>
    <row r="19" spans="2:10" s="653" customFormat="1" ht="15" customHeight="1" thickBot="1" x14ac:dyDescent="0.4">
      <c r="B19" s="683" t="s">
        <v>403</v>
      </c>
      <c r="C19" s="684"/>
      <c r="D19" s="684"/>
      <c r="E19" s="685"/>
      <c r="J19" s="668"/>
    </row>
    <row r="20" spans="2:10" s="653" customFormat="1" ht="15" customHeight="1" x14ac:dyDescent="0.35">
      <c r="B20" s="686"/>
      <c r="C20" s="687"/>
      <c r="D20" s="687"/>
      <c r="E20" s="688"/>
    </row>
    <row r="21" spans="2:10" s="653" customFormat="1" ht="15" customHeight="1" x14ac:dyDescent="0.35">
      <c r="B21" s="661" t="s">
        <v>461</v>
      </c>
      <c r="C21" s="689">
        <f>'Property CF'!AL132+'Property CF'!AL115</f>
        <v>4220564.41</v>
      </c>
      <c r="D21" s="662" t="s">
        <v>395</v>
      </c>
      <c r="E21" s="690">
        <f>'Property CF'!AL139</f>
        <v>0</v>
      </c>
    </row>
    <row r="22" spans="2:10" s="653" customFormat="1" ht="15" customHeight="1" x14ac:dyDescent="0.35">
      <c r="B22" s="661" t="s">
        <v>464</v>
      </c>
      <c r="C22" s="691">
        <f>E5</f>
        <v>6550000</v>
      </c>
      <c r="D22" s="662" t="s">
        <v>159</v>
      </c>
      <c r="E22" s="690">
        <f>E26-E21</f>
        <v>801032.8599999994</v>
      </c>
      <c r="G22" s="776"/>
    </row>
    <row r="23" spans="2:10" s="653" customFormat="1" ht="15" customHeight="1" x14ac:dyDescent="0.35">
      <c r="B23" s="661" t="s">
        <v>404</v>
      </c>
      <c r="C23" s="691">
        <f>E5+C21</f>
        <v>10770564.41</v>
      </c>
      <c r="D23" s="662" t="s">
        <v>405</v>
      </c>
      <c r="E23" s="667">
        <f>'Property CF'!AK163</f>
        <v>5.0909655433370442E-2</v>
      </c>
      <c r="G23" s="776"/>
    </row>
    <row r="24" spans="2:10" s="653" customFormat="1" ht="15" customHeight="1" x14ac:dyDescent="0.35">
      <c r="B24" s="661" t="s">
        <v>406</v>
      </c>
      <c r="C24" s="670">
        <f>'Property CF'!C35</f>
        <v>8.1093133084275598E-2</v>
      </c>
      <c r="D24" s="692" t="s">
        <v>407</v>
      </c>
      <c r="E24" s="693">
        <f>'Property CF'!F144</f>
        <v>8.9599493145942719E-2</v>
      </c>
    </row>
    <row r="25" spans="2:10" s="653" customFormat="1" ht="15" customHeight="1" x14ac:dyDescent="0.35">
      <c r="B25" s="677" t="s">
        <v>408</v>
      </c>
      <c r="C25" s="694">
        <f>'Property CF'!AW12</f>
        <v>692585.33029914449</v>
      </c>
      <c r="D25" s="692" t="s">
        <v>409</v>
      </c>
      <c r="E25" s="695">
        <f>'Property CF'!BJ30</f>
        <v>1.2056383681260932</v>
      </c>
    </row>
    <row r="26" spans="2:10" s="653" customFormat="1" ht="15" customHeight="1" x14ac:dyDescent="0.35">
      <c r="B26" s="661" t="s">
        <v>410</v>
      </c>
      <c r="C26" s="670">
        <f>(C25-C14)/C14</f>
        <v>4.2133999999999887E-2</v>
      </c>
      <c r="D26" s="692" t="s">
        <v>411</v>
      </c>
      <c r="E26" s="696">
        <f>'Property CF'!BJ26</f>
        <v>801032.8599999994</v>
      </c>
    </row>
    <row r="27" spans="2:10" s="653" customFormat="1" ht="15" customHeight="1" x14ac:dyDescent="0.35">
      <c r="B27" s="677" t="s">
        <v>412</v>
      </c>
      <c r="C27" s="670">
        <f>C25/C23</f>
        <v>6.4303531730993513E-2</v>
      </c>
      <c r="D27" s="692" t="s">
        <v>413</v>
      </c>
      <c r="E27" s="697">
        <f>'Property CF'!BJ34</f>
        <v>0</v>
      </c>
    </row>
    <row r="28" spans="2:10" s="653" customFormat="1" ht="15" customHeight="1" x14ac:dyDescent="0.35">
      <c r="B28" s="677" t="s">
        <v>414</v>
      </c>
      <c r="C28" s="670">
        <f>'Property CF'!AS14</f>
        <v>5.9499999999999997E-2</v>
      </c>
      <c r="D28" s="662" t="s">
        <v>415</v>
      </c>
      <c r="E28" s="697">
        <f ca="1">'Property CF'!BR15</f>
        <v>480321.98649874161</v>
      </c>
    </row>
    <row r="29" spans="2:10" s="653" customFormat="1" ht="15" customHeight="1" x14ac:dyDescent="0.35">
      <c r="B29" s="661" t="s">
        <v>416</v>
      </c>
      <c r="C29" s="669">
        <f>C27-C28</f>
        <v>4.8035317309935155E-3</v>
      </c>
      <c r="D29" s="662" t="s">
        <v>417</v>
      </c>
      <c r="E29" s="671">
        <f>'Property CF'!F51</f>
        <v>7.5689134001731856E-2</v>
      </c>
    </row>
    <row r="30" spans="2:10" s="653" customFormat="1" ht="15" customHeight="1" x14ac:dyDescent="0.35">
      <c r="B30" s="677" t="s">
        <v>418</v>
      </c>
      <c r="C30" s="698">
        <f>C25/C28</f>
        <v>11640089.584859572</v>
      </c>
      <c r="D30" s="692" t="s">
        <v>419</v>
      </c>
      <c r="E30" s="699">
        <f>'Property CF'!F61</f>
        <v>8.9599493145942719E-2</v>
      </c>
    </row>
    <row r="31" spans="2:10" s="653" customFormat="1" ht="15" customHeight="1" x14ac:dyDescent="0.35">
      <c r="B31" s="661" t="s">
        <v>420</v>
      </c>
      <c r="C31" s="669">
        <f>'Property CF'!AS26</f>
        <v>0.05</v>
      </c>
      <c r="D31" s="662" t="s">
        <v>421</v>
      </c>
      <c r="E31" s="697">
        <f>'Property CF'!BJ8</f>
        <v>801032.8599999994</v>
      </c>
    </row>
    <row r="32" spans="2:10" s="653" customFormat="1" ht="15" customHeight="1" x14ac:dyDescent="0.35">
      <c r="B32" s="661" t="s">
        <v>422</v>
      </c>
      <c r="C32" s="689">
        <f>'Property CF'!AL49</f>
        <v>10806492.985218363</v>
      </c>
      <c r="D32" s="692" t="s">
        <v>423</v>
      </c>
      <c r="E32" s="700">
        <f>'Property CF'!BJ11</f>
        <v>1.2056383681260932</v>
      </c>
    </row>
    <row r="33" spans="2:5" s="653" customFormat="1" ht="15" customHeight="1" x14ac:dyDescent="0.35">
      <c r="B33" s="677" t="s">
        <v>424</v>
      </c>
      <c r="C33" s="701">
        <f>C30/C5</f>
        <v>620.67236775405638</v>
      </c>
      <c r="D33" s="662" t="s">
        <v>425</v>
      </c>
      <c r="E33" s="667" t="s">
        <v>196</v>
      </c>
    </row>
    <row r="34" spans="2:5" s="653" customFormat="1" ht="15" customHeight="1" x14ac:dyDescent="0.35">
      <c r="B34" s="661" t="s">
        <v>426</v>
      </c>
      <c r="C34" s="775">
        <f>'Property CF'!AS10</f>
        <v>15.25</v>
      </c>
      <c r="D34" s="692" t="s">
        <v>427</v>
      </c>
      <c r="E34" s="702" t="s">
        <v>77</v>
      </c>
    </row>
    <row r="35" spans="2:5" s="653" customFormat="1" ht="15" customHeight="1" x14ac:dyDescent="0.35">
      <c r="B35" s="661" t="s">
        <v>428</v>
      </c>
      <c r="C35" s="703" t="s">
        <v>196</v>
      </c>
      <c r="D35" s="692" t="s">
        <v>429</v>
      </c>
      <c r="E35" s="704" t="s">
        <v>77</v>
      </c>
    </row>
    <row r="36" spans="2:5" s="653" customFormat="1" ht="15" customHeight="1" thickBot="1" x14ac:dyDescent="0.4">
      <c r="B36" s="705"/>
      <c r="C36" s="681"/>
      <c r="D36" s="706"/>
      <c r="E36" s="707"/>
    </row>
    <row r="37" spans="2:5" s="653" customFormat="1" ht="15" customHeight="1" thickBot="1" x14ac:dyDescent="0.4">
      <c r="B37" s="1319" t="s">
        <v>430</v>
      </c>
      <c r="C37" s="1320"/>
      <c r="D37" s="708"/>
      <c r="E37" s="709"/>
    </row>
    <row r="38" spans="2:5" s="653" customFormat="1" ht="15" customHeight="1" x14ac:dyDescent="0.35">
      <c r="B38" s="710"/>
      <c r="C38" s="711"/>
      <c r="D38" s="711"/>
      <c r="E38" s="712"/>
    </row>
    <row r="39" spans="2:5" s="653" customFormat="1" ht="15" customHeight="1" x14ac:dyDescent="0.35">
      <c r="B39" s="661" t="s">
        <v>431</v>
      </c>
      <c r="C39" s="731">
        <f>E15</f>
        <v>46081</v>
      </c>
      <c r="D39" s="732" t="s">
        <v>408</v>
      </c>
      <c r="E39" s="713">
        <f>C25</f>
        <v>692585.33029914449</v>
      </c>
    </row>
    <row r="40" spans="2:5" s="653" customFormat="1" ht="15" customHeight="1" x14ac:dyDescent="0.35">
      <c r="B40" s="714" t="s">
        <v>432</v>
      </c>
      <c r="C40" s="733">
        <f>'Refinance Analysis'!T26</f>
        <v>1.25</v>
      </c>
      <c r="D40" s="734" t="s">
        <v>433</v>
      </c>
      <c r="E40" s="715">
        <f>'Refinance Analysis'!X14</f>
        <v>0.06</v>
      </c>
    </row>
    <row r="41" spans="2:5" s="653" customFormat="1" ht="15" customHeight="1" x14ac:dyDescent="0.35">
      <c r="B41" s="714" t="s">
        <v>436</v>
      </c>
      <c r="C41" s="735">
        <f>'Refinance Analysis'!T27</f>
        <v>4.9857873244949211E-2</v>
      </c>
      <c r="D41" s="461" t="s">
        <v>434</v>
      </c>
      <c r="E41" s="713">
        <f>E39/E40</f>
        <v>11543088.838319076</v>
      </c>
    </row>
    <row r="42" spans="2:5" s="653" customFormat="1" ht="15" customHeight="1" x14ac:dyDescent="0.35">
      <c r="B42" s="714" t="s">
        <v>438</v>
      </c>
      <c r="C42" s="733">
        <f>'Refinance Analysis'!T28</f>
        <v>324</v>
      </c>
      <c r="D42" s="461" t="s">
        <v>435</v>
      </c>
      <c r="E42" s="716">
        <f>'Refinance Analysis'!T17</f>
        <v>0.7</v>
      </c>
    </row>
    <row r="43" spans="2:5" s="653" customFormat="1" ht="15" customHeight="1" x14ac:dyDescent="0.35">
      <c r="B43" s="714" t="s">
        <v>440</v>
      </c>
      <c r="C43" s="718">
        <f>C25</f>
        <v>692585.33029914449</v>
      </c>
      <c r="D43" s="461" t="s">
        <v>437</v>
      </c>
      <c r="E43" s="717">
        <f>E41*E42</f>
        <v>8080162.1868233532</v>
      </c>
    </row>
    <row r="44" spans="2:5" s="653" customFormat="1" ht="15" customHeight="1" x14ac:dyDescent="0.35">
      <c r="B44" s="714" t="s">
        <v>441</v>
      </c>
      <c r="C44" s="736">
        <f>C43/C40</f>
        <v>554068.26423931564</v>
      </c>
      <c r="D44" s="734" t="s">
        <v>439</v>
      </c>
      <c r="E44" s="717">
        <f>-(E43-SUM('Refinance Analysis'!C29:C32))</f>
        <v>2407224.0742266476</v>
      </c>
    </row>
    <row r="45" spans="2:5" s="653" customFormat="1" ht="15" customHeight="1" x14ac:dyDescent="0.35">
      <c r="B45" s="714" t="s">
        <v>443</v>
      </c>
      <c r="C45" s="720">
        <f>(C41/12)/(1 - (1 / (1 + C41/12))^C42)*12</f>
        <v>6.7463366399155109E-2</v>
      </c>
      <c r="D45" s="734"/>
      <c r="E45" s="719"/>
    </row>
    <row r="46" spans="2:5" s="653" customFormat="1" ht="15" customHeight="1" x14ac:dyDescent="0.35">
      <c r="B46" s="714" t="s">
        <v>445</v>
      </c>
      <c r="C46" s="736">
        <f>C44/C45</f>
        <v>8212876.0216486119</v>
      </c>
      <c r="D46" s="461" t="s">
        <v>442</v>
      </c>
      <c r="E46" s="716">
        <f>'Refinance Analysis'!T21</f>
        <v>0.09</v>
      </c>
    </row>
    <row r="47" spans="2:5" s="653" customFormat="1" ht="15" customHeight="1" x14ac:dyDescent="0.35">
      <c r="B47" s="721" t="s">
        <v>439</v>
      </c>
      <c r="C47" s="736">
        <f>-(C46-SUM('Refinance Analysis'!C29:C32))</f>
        <v>2274510.2394013889</v>
      </c>
      <c r="D47" s="461" t="s">
        <v>444</v>
      </c>
      <c r="E47" s="713">
        <f>'Refinance Analysis'!T22</f>
        <v>692585.33029914449</v>
      </c>
    </row>
    <row r="48" spans="2:5" s="653" customFormat="1" ht="15" customHeight="1" x14ac:dyDescent="0.35">
      <c r="B48" s="661"/>
      <c r="C48" s="662"/>
      <c r="D48" s="461" t="s">
        <v>446</v>
      </c>
      <c r="E48" s="717">
        <f>E47/E46</f>
        <v>7695392.5588793838</v>
      </c>
    </row>
    <row r="49" spans="2:8" s="653" customFormat="1" ht="15" customHeight="1" x14ac:dyDescent="0.35">
      <c r="B49" s="661"/>
      <c r="C49" s="662"/>
      <c r="D49" s="734" t="s">
        <v>439</v>
      </c>
      <c r="E49" s="722">
        <f>-(E48-SUM('Refinance Analysis'!C29:C32))</f>
        <v>2791993.7021706169</v>
      </c>
    </row>
    <row r="50" spans="2:8" s="653" customFormat="1" ht="15" customHeight="1" thickBot="1" x14ac:dyDescent="0.4">
      <c r="B50" s="723"/>
      <c r="C50" s="724"/>
      <c r="D50" s="724"/>
      <c r="E50" s="725"/>
    </row>
    <row r="51" spans="2:8" s="653" customFormat="1" ht="15" customHeight="1" thickBot="1" x14ac:dyDescent="0.4">
      <c r="B51" s="683" t="s">
        <v>447</v>
      </c>
      <c r="C51" s="684"/>
      <c r="D51" s="684"/>
      <c r="E51" s="726"/>
    </row>
    <row r="52" spans="2:8" s="653" customFormat="1" ht="15" customHeight="1" x14ac:dyDescent="0.35">
      <c r="B52" s="727"/>
      <c r="C52" s="782"/>
      <c r="D52" s="782"/>
      <c r="E52" s="728"/>
    </row>
    <row r="53" spans="2:8" s="653" customFormat="1" ht="15" customHeight="1" x14ac:dyDescent="0.35">
      <c r="B53" s="677"/>
      <c r="C53" s="692"/>
      <c r="D53" s="692"/>
      <c r="E53" s="729"/>
      <c r="G53" s="777"/>
    </row>
    <row r="54" spans="2:8" s="653" customFormat="1" ht="15" customHeight="1" x14ac:dyDescent="0.35">
      <c r="B54" s="677"/>
      <c r="C54" s="692"/>
      <c r="D54" s="692"/>
      <c r="E54" s="729"/>
      <c r="G54" s="778"/>
      <c r="H54" s="822"/>
    </row>
    <row r="55" spans="2:8" s="653" customFormat="1" ht="15" customHeight="1" x14ac:dyDescent="0.35">
      <c r="B55" s="677"/>
      <c r="C55" s="692"/>
      <c r="D55" s="692"/>
      <c r="E55" s="730"/>
      <c r="G55" s="778"/>
      <c r="H55" s="822"/>
    </row>
    <row r="56" spans="2:8" s="653" customFormat="1" ht="15" customHeight="1" x14ac:dyDescent="0.35">
      <c r="B56" s="677"/>
      <c r="C56" s="692"/>
      <c r="D56" s="692"/>
      <c r="E56" s="730"/>
      <c r="G56" s="778"/>
    </row>
    <row r="57" spans="2:8" s="653" customFormat="1" ht="15" customHeight="1" x14ac:dyDescent="0.35">
      <c r="B57" s="677"/>
      <c r="C57" s="692"/>
      <c r="D57" s="692"/>
      <c r="E57" s="730"/>
      <c r="G57" s="778"/>
      <c r="H57" s="822"/>
    </row>
    <row r="58" spans="2:8" s="653" customFormat="1" ht="15" customHeight="1" x14ac:dyDescent="0.35">
      <c r="B58" s="677"/>
      <c r="C58" s="692"/>
      <c r="D58" s="692"/>
      <c r="E58" s="730"/>
      <c r="G58" s="778"/>
    </row>
    <row r="59" spans="2:8" s="653" customFormat="1" ht="15" customHeight="1" x14ac:dyDescent="0.35">
      <c r="B59" s="677"/>
      <c r="C59" s="692"/>
      <c r="D59" s="692"/>
      <c r="E59" s="730"/>
      <c r="G59" s="778"/>
    </row>
    <row r="60" spans="2:8" s="653" customFormat="1" ht="15" customHeight="1" x14ac:dyDescent="0.35">
      <c r="B60" s="677"/>
      <c r="C60" s="692"/>
      <c r="D60" s="692"/>
      <c r="E60" s="730"/>
    </row>
    <row r="61" spans="2:8" s="653" customFormat="1" ht="15" customHeight="1" x14ac:dyDescent="0.35">
      <c r="B61" s="677"/>
      <c r="C61" s="692"/>
      <c r="D61" s="692"/>
      <c r="E61" s="730"/>
      <c r="G61" s="777"/>
    </row>
    <row r="62" spans="2:8" s="653" customFormat="1" ht="15" customHeight="1" x14ac:dyDescent="0.35">
      <c r="B62" s="677"/>
      <c r="C62" s="692"/>
      <c r="D62" s="692"/>
      <c r="E62" s="730"/>
      <c r="G62" s="778"/>
    </row>
    <row r="63" spans="2:8" s="653" customFormat="1" ht="15" customHeight="1" x14ac:dyDescent="0.35">
      <c r="B63" s="677"/>
      <c r="C63" s="692"/>
      <c r="D63" s="692"/>
      <c r="E63" s="730"/>
      <c r="G63" s="778"/>
    </row>
    <row r="64" spans="2:8" s="653" customFormat="1" ht="15" customHeight="1" x14ac:dyDescent="0.35">
      <c r="B64" s="677"/>
      <c r="C64" s="692"/>
      <c r="D64" s="692"/>
      <c r="E64" s="730"/>
      <c r="G64" s="777"/>
    </row>
    <row r="65" spans="2:12" s="653" customFormat="1" ht="15" customHeight="1" x14ac:dyDescent="0.35">
      <c r="B65" s="677"/>
      <c r="C65" s="692"/>
      <c r="D65" s="692"/>
      <c r="E65" s="730"/>
      <c r="G65" s="778"/>
    </row>
    <row r="66" spans="2:12" s="653" customFormat="1" ht="15" customHeight="1" x14ac:dyDescent="0.35">
      <c r="B66" s="677"/>
      <c r="C66" s="692"/>
      <c r="D66" s="692"/>
      <c r="E66" s="730"/>
    </row>
    <row r="67" spans="2:12" s="653" customFormat="1" ht="15" customHeight="1" x14ac:dyDescent="0.35">
      <c r="B67" s="677"/>
      <c r="C67" s="692"/>
      <c r="D67" s="692"/>
      <c r="E67" s="730"/>
    </row>
    <row r="68" spans="2:12" s="653" customFormat="1" ht="15" customHeight="1" x14ac:dyDescent="0.35">
      <c r="B68" s="677"/>
      <c r="C68" s="692"/>
      <c r="D68" s="692"/>
      <c r="E68" s="730"/>
    </row>
    <row r="69" spans="2:12" s="653" customFormat="1" ht="15" customHeight="1" x14ac:dyDescent="0.35">
      <c r="B69" s="677"/>
      <c r="C69" s="692"/>
      <c r="D69" s="692"/>
      <c r="E69" s="730"/>
    </row>
    <row r="70" spans="2:12" s="653" customFormat="1" ht="15" customHeight="1" x14ac:dyDescent="0.35">
      <c r="B70" s="677"/>
      <c r="C70" s="692"/>
      <c r="D70" s="692"/>
      <c r="E70" s="730"/>
      <c r="I70" s="780"/>
      <c r="J70" s="781"/>
      <c r="K70" s="781"/>
      <c r="L70" s="781"/>
    </row>
    <row r="71" spans="2:12" s="653" customFormat="1" ht="15" customHeight="1" x14ac:dyDescent="0.35">
      <c r="B71" s="677"/>
      <c r="C71" s="692"/>
      <c r="D71" s="692"/>
      <c r="E71" s="730"/>
      <c r="I71" s="780"/>
      <c r="J71" s="781"/>
    </row>
    <row r="72" spans="2:12" s="653" customFormat="1" ht="15" customHeight="1" x14ac:dyDescent="0.35">
      <c r="B72" s="677"/>
      <c r="C72" s="692"/>
      <c r="D72" s="692"/>
      <c r="E72" s="730"/>
      <c r="I72" s="780"/>
      <c r="J72" s="781"/>
    </row>
    <row r="73" spans="2:12" s="653" customFormat="1" ht="15" customHeight="1" thickBot="1" x14ac:dyDescent="0.4">
      <c r="B73" s="679"/>
      <c r="C73" s="742"/>
      <c r="D73" s="742"/>
      <c r="E73" s="743"/>
    </row>
    <row r="74" spans="2:12" x14ac:dyDescent="0.35">
      <c r="B74" s="653"/>
      <c r="C74" s="653"/>
      <c r="D74" s="653"/>
    </row>
    <row r="75" spans="2:12" x14ac:dyDescent="0.35">
      <c r="B75" s="653"/>
      <c r="C75" s="653"/>
      <c r="D75" s="653"/>
    </row>
    <row r="76" spans="2:12" x14ac:dyDescent="0.35">
      <c r="B76" s="653"/>
      <c r="C76" s="653"/>
      <c r="D76" s="653"/>
    </row>
    <row r="77" spans="2:12" x14ac:dyDescent="0.35">
      <c r="B77" s="653"/>
      <c r="C77" s="653"/>
      <c r="D77" s="653"/>
    </row>
  </sheetData>
  <mergeCells count="1">
    <mergeCell ref="B37:C37"/>
  </mergeCells>
  <printOptions horizontalCentered="1"/>
  <pageMargins left="0.25" right="0.25" top="0.5" bottom="0.75" header="0.3" footer="0.3"/>
  <pageSetup scale="55" fitToHeight="0" orientation="portrait" r:id="rId1"/>
  <headerFooter alignWithMargins="0">
    <oddHeader xml:space="preserve">&amp;R&amp;"Garamond,Antiqua"&amp;12 </oddHeader>
    <oddFooter xml:space="preserve">&amp;C&amp;P
&amp;R&amp;D
</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23AD2-0E8E-44D3-B868-9718DF99D367}">
  <sheetPr codeName="Sheet5">
    <tabColor theme="7" tint="-0.249977111117893"/>
  </sheetPr>
  <dimension ref="B1:EO128"/>
  <sheetViews>
    <sheetView topLeftCell="BZ1" zoomScale="70" zoomScaleNormal="70" workbookViewId="0">
      <selection activeCell="BH16" sqref="BH16"/>
    </sheetView>
  </sheetViews>
  <sheetFormatPr defaultColWidth="8.7265625" defaultRowHeight="14.5" x14ac:dyDescent="0.35"/>
  <cols>
    <col min="1" max="1" width="4.1796875" style="403" customWidth="1"/>
    <col min="2" max="2" width="36.26953125" style="403" bestFit="1" customWidth="1"/>
    <col min="3" max="3" width="11.81640625" style="403" customWidth="1"/>
    <col min="4" max="4" width="9.1796875" style="403" customWidth="1"/>
    <col min="5" max="5" width="11.81640625" style="403" customWidth="1"/>
    <col min="6" max="6" width="9.1796875" style="403" customWidth="1"/>
    <col min="7" max="7" width="11.81640625" style="403" customWidth="1"/>
    <col min="8" max="8" width="9.1796875" style="403" customWidth="1"/>
    <col min="9" max="9" width="4.54296875" style="403" customWidth="1"/>
    <col min="10" max="10" width="27.1796875" style="403" bestFit="1" customWidth="1"/>
    <col min="11" max="12" width="8.81640625" style="403" bestFit="1" customWidth="1"/>
    <col min="13" max="13" width="11" style="403" bestFit="1" customWidth="1"/>
    <col min="14" max="14" width="8.81640625" style="403" bestFit="1" customWidth="1"/>
    <col min="15" max="15" width="9.453125" style="403" bestFit="1" customWidth="1"/>
    <col min="16" max="16" width="24.54296875" style="403" bestFit="1" customWidth="1"/>
    <col min="17" max="17" width="9.54296875" style="403" bestFit="1" customWidth="1"/>
    <col min="18" max="18" width="9.453125" style="403" bestFit="1" customWidth="1"/>
    <col min="19" max="19" width="4.54296875" style="403" customWidth="1"/>
    <col min="20" max="20" width="5.1796875" style="403" customWidth="1"/>
    <col min="21" max="21" width="29.81640625" style="403" bestFit="1" customWidth="1"/>
    <col min="22" max="22" width="9.453125" style="403" bestFit="1" customWidth="1"/>
    <col min="23" max="23" width="9.54296875" style="403" customWidth="1"/>
    <col min="24" max="24" width="11.453125" style="403" bestFit="1" customWidth="1"/>
    <col min="25" max="25" width="12.54296875" style="403" bestFit="1" customWidth="1"/>
    <col min="26" max="26" width="9.54296875" style="403" customWidth="1"/>
    <col min="27" max="27" width="11.1796875" style="403" bestFit="1" customWidth="1"/>
    <col min="28" max="28" width="12.1796875" style="403" bestFit="1" customWidth="1"/>
    <col min="29" max="29" width="12" style="403" bestFit="1" customWidth="1"/>
    <col min="30" max="30" width="18.7265625" style="403" bestFit="1" customWidth="1"/>
    <col min="31" max="31" width="28.81640625" style="403" bestFit="1" customWidth="1"/>
    <col min="32" max="32" width="11.26953125" style="403" bestFit="1" customWidth="1"/>
    <col min="33" max="33" width="4.54296875" style="403" customWidth="1"/>
    <col min="34" max="34" width="8.7265625" style="403"/>
    <col min="35" max="35" width="29.81640625" style="403" bestFit="1" customWidth="1"/>
    <col min="36" max="36" width="10.7265625" style="403" bestFit="1" customWidth="1"/>
    <col min="37" max="37" width="13.1796875" style="403" bestFit="1" customWidth="1"/>
    <col min="38" max="38" width="11.453125" style="403" bestFit="1" customWidth="1"/>
    <col min="39" max="40" width="11.453125" style="403" customWidth="1"/>
    <col min="41" max="41" width="11.54296875" style="403" bestFit="1" customWidth="1"/>
    <col min="42" max="42" width="40.26953125" style="403" bestFit="1" customWidth="1"/>
    <col min="43" max="43" width="21.26953125" style="403" bestFit="1" customWidth="1"/>
    <col min="44" max="44" width="13" style="403" customWidth="1"/>
    <col min="45" max="45" width="4.54296875" style="403" customWidth="1"/>
    <col min="46" max="46" width="24.453125" style="403" customWidth="1"/>
    <col min="47" max="47" width="46.26953125" style="403" bestFit="1" customWidth="1"/>
    <col min="48" max="48" width="4.54296875" style="403" customWidth="1"/>
    <col min="49" max="49" width="21.26953125" style="403" customWidth="1"/>
    <col min="50" max="50" width="14.453125" style="403" customWidth="1"/>
    <col min="51" max="51" width="4.54296875" style="403" customWidth="1"/>
    <col min="52" max="52" width="29.1796875" style="403" bestFit="1" customWidth="1"/>
    <col min="53" max="53" width="13.1796875" style="403" customWidth="1"/>
    <col min="54" max="54" width="4.54296875" style="403" customWidth="1"/>
    <col min="55" max="55" width="8.26953125" style="842" bestFit="1" customWidth="1"/>
    <col min="56" max="57" width="14.1796875" style="297" customWidth="1"/>
    <col min="58" max="58" width="16.1796875" style="297" bestFit="1" customWidth="1"/>
    <col min="59" max="59" width="14.453125" style="297" customWidth="1"/>
    <col min="60" max="60" width="10.81640625" style="297" bestFit="1" customWidth="1"/>
    <col min="61" max="61" width="14.453125" style="297" customWidth="1"/>
    <col min="62" max="62" width="9.6328125" style="297" bestFit="1" customWidth="1"/>
    <col min="63" max="63" width="11" style="297" bestFit="1" customWidth="1"/>
    <col min="64" max="64" width="13.54296875" style="297" bestFit="1" customWidth="1"/>
    <col min="65" max="65" width="10.453125" style="297" bestFit="1" customWidth="1"/>
    <col min="66" max="66" width="8.7265625" style="297"/>
    <col min="67" max="67" width="12.7265625" style="297" bestFit="1" customWidth="1"/>
    <col min="68" max="69" width="12.26953125" style="297" bestFit="1" customWidth="1"/>
    <col min="70" max="70" width="4.54296875" style="403" customWidth="1"/>
    <col min="71" max="71" width="16.81640625" style="297" customWidth="1"/>
    <col min="72" max="72" width="9.81640625" style="297" customWidth="1"/>
    <col min="73" max="73" width="4.54296875" style="403" customWidth="1"/>
    <col min="74" max="74" width="29.26953125" style="403" bestFit="1" customWidth="1"/>
    <col min="75" max="75" width="12.1796875" style="403" customWidth="1"/>
    <col min="76" max="79" width="11.6328125" style="403" customWidth="1"/>
    <col min="80" max="80" width="4.6328125" style="403" customWidth="1"/>
    <col min="81" max="81" width="45.81640625" style="403" customWidth="1"/>
    <col min="82" max="82" width="14.90625" style="403" customWidth="1"/>
    <col min="83" max="83" width="8.7265625" style="403"/>
    <col min="84" max="84" width="20.90625" style="403" customWidth="1"/>
    <col min="85" max="85" width="24.26953125" style="403" bestFit="1" customWidth="1"/>
    <col min="86" max="90" width="12.6328125" style="403" customWidth="1"/>
    <col min="91" max="91" width="13.1796875" style="403" bestFit="1" customWidth="1"/>
    <col min="92" max="95" width="13.7265625" style="403" customWidth="1"/>
    <col min="96" max="96" width="10.26953125" style="403" bestFit="1" customWidth="1"/>
    <col min="97" max="97" width="33.1796875" style="842" bestFit="1" customWidth="1"/>
    <col min="98" max="99" width="12.81640625" style="842" bestFit="1" customWidth="1"/>
    <col min="100" max="102" width="12.26953125" style="842" bestFit="1" customWidth="1"/>
    <col min="103" max="105" width="12.81640625" style="842" bestFit="1" customWidth="1"/>
    <col min="106" max="108" width="12.26953125" style="842" bestFit="1" customWidth="1"/>
    <col min="109" max="109" width="8.7265625" style="403"/>
    <col min="110" max="110" width="15" style="842" customWidth="1"/>
    <col min="111" max="111" width="10.54296875" style="842" customWidth="1"/>
    <col min="112" max="112" width="11.54296875" style="842" bestFit="1" customWidth="1"/>
    <col min="113" max="113" width="10.453125" style="842" bestFit="1" customWidth="1"/>
    <col min="114" max="114" width="11.1796875" style="842" bestFit="1" customWidth="1"/>
    <col min="115" max="115" width="10.7265625" style="842" bestFit="1" customWidth="1"/>
    <col min="116" max="116" width="11.54296875" style="842" bestFit="1" customWidth="1"/>
    <col min="117" max="117" width="10.453125" style="842" bestFit="1" customWidth="1"/>
    <col min="118" max="118" width="11.1796875" style="842" bestFit="1" customWidth="1"/>
    <col min="119" max="119" width="10.7265625" style="842" bestFit="1" customWidth="1"/>
    <col min="120" max="120" width="11.54296875" style="842" bestFit="1" customWidth="1"/>
    <col min="121" max="121" width="4.54296875" style="403" customWidth="1"/>
    <col min="122" max="122" width="25" style="403" bestFit="1" customWidth="1"/>
    <col min="123" max="123" width="12.1796875" style="403" bestFit="1" customWidth="1"/>
    <col min="124" max="124" width="10" style="403" bestFit="1" customWidth="1"/>
    <col min="125" max="125" width="9.26953125" style="403" bestFit="1" customWidth="1"/>
    <col min="126" max="126" width="11.453125" style="403" bestFit="1" customWidth="1"/>
    <col min="127" max="127" width="12.1796875" style="403" bestFit="1" customWidth="1"/>
    <col min="128" max="128" width="8.7265625" style="403" customWidth="1"/>
    <col min="129" max="129" width="11.6328125" style="403" bestFit="1" customWidth="1"/>
    <col min="130" max="130" width="13.1796875" style="403" bestFit="1" customWidth="1"/>
    <col min="131" max="131" width="4.6328125" style="403" customWidth="1"/>
    <col min="132" max="132" width="12.1796875" style="403" customWidth="1"/>
    <col min="133" max="133" width="15.81640625" style="403" customWidth="1"/>
    <col min="134" max="134" width="4.6328125" style="403" customWidth="1"/>
    <col min="135" max="135" width="12.08984375" style="403" customWidth="1"/>
    <col min="136" max="136" width="18.54296875" style="403" bestFit="1" customWidth="1"/>
    <col min="137" max="146" width="12.6328125" style="403" customWidth="1"/>
    <col min="147" max="16384" width="8.7265625" style="403"/>
  </cols>
  <sheetData>
    <row r="1" spans="2:145" ht="15" thickBot="1" x14ac:dyDescent="0.4">
      <c r="E1" s="925"/>
      <c r="BD1" s="843"/>
    </row>
    <row r="2" spans="2:145" ht="15" thickBot="1" x14ac:dyDescent="0.4">
      <c r="B2" s="404" t="s">
        <v>216</v>
      </c>
      <c r="C2" s="1328"/>
      <c r="D2" s="1328"/>
      <c r="E2" s="1328"/>
      <c r="F2" s="1328"/>
      <c r="G2" s="1328"/>
      <c r="H2" s="1329"/>
      <c r="J2" s="1333" t="s">
        <v>218</v>
      </c>
      <c r="K2" s="1334"/>
      <c r="L2" s="1334"/>
      <c r="M2" s="1334"/>
      <c r="N2" s="1334"/>
      <c r="O2" s="1334"/>
      <c r="P2" s="1334"/>
      <c r="Q2" s="1334"/>
      <c r="R2" s="1335"/>
      <c r="T2" s="1330" t="s">
        <v>628</v>
      </c>
      <c r="U2" s="1331"/>
      <c r="V2" s="1331"/>
      <c r="W2" s="1331"/>
      <c r="X2" s="1331"/>
      <c r="Y2" s="1331"/>
      <c r="Z2" s="1331"/>
      <c r="AA2" s="1331"/>
      <c r="AB2" s="1331"/>
      <c r="AC2" s="1331"/>
      <c r="AD2" s="1331"/>
      <c r="AE2" s="1331"/>
      <c r="AF2" s="1332"/>
      <c r="AG2" s="405"/>
      <c r="AH2" s="1330" t="s">
        <v>274</v>
      </c>
      <c r="AI2" s="1331"/>
      <c r="AJ2" s="1331"/>
      <c r="AK2" s="1331"/>
      <c r="AL2" s="1331"/>
      <c r="AM2" s="1331"/>
      <c r="AN2" s="1331"/>
      <c r="AO2" s="1331"/>
      <c r="AP2" s="1331"/>
      <c r="AQ2" s="1331"/>
      <c r="AR2" s="1332"/>
      <c r="AT2" s="503" t="s">
        <v>367</v>
      </c>
      <c r="AU2" s="505"/>
      <c r="AW2" s="1342" t="s">
        <v>503</v>
      </c>
      <c r="AX2" s="1343"/>
      <c r="AZ2" s="1336" t="s">
        <v>501</v>
      </c>
      <c r="BA2" s="1337"/>
      <c r="BC2" s="1336" t="s">
        <v>526</v>
      </c>
      <c r="BD2" s="1344"/>
      <c r="BE2" s="1344"/>
      <c r="BF2" s="1344"/>
      <c r="BG2" s="1344"/>
      <c r="BH2" s="1344"/>
      <c r="BI2" s="1344"/>
      <c r="BJ2" s="1344"/>
      <c r="BK2" s="1344"/>
      <c r="BL2" s="1344"/>
      <c r="BM2" s="1344"/>
      <c r="BN2" s="1344"/>
      <c r="BO2" s="1344"/>
      <c r="BP2" s="1344"/>
      <c r="BQ2" s="1337"/>
      <c r="BS2" s="1336" t="s">
        <v>527</v>
      </c>
      <c r="BT2" s="1337"/>
      <c r="BV2" s="887" t="s">
        <v>569</v>
      </c>
      <c r="BW2" s="888"/>
      <c r="BX2" s="888"/>
      <c r="BY2" s="888"/>
      <c r="BZ2" s="888"/>
      <c r="CA2" s="889"/>
      <c r="CC2" s="1281" t="s">
        <v>571</v>
      </c>
      <c r="CD2" s="1282"/>
      <c r="CE2" s="1282"/>
      <c r="CF2" s="1282"/>
      <c r="CG2" s="1282"/>
      <c r="CH2" s="1282"/>
      <c r="CI2" s="1282"/>
      <c r="CJ2" s="1282"/>
      <c r="CK2" s="1282"/>
      <c r="CL2" s="1282"/>
      <c r="CM2" s="1282"/>
      <c r="CN2" s="1282"/>
      <c r="CO2" s="1282"/>
      <c r="CP2" s="1282"/>
      <c r="CQ2" s="1283"/>
      <c r="CS2" s="1351" t="s">
        <v>583</v>
      </c>
      <c r="CT2" s="1352"/>
      <c r="CU2" s="1352"/>
      <c r="CV2" s="1352"/>
      <c r="CW2" s="1352"/>
      <c r="CX2" s="1352"/>
      <c r="CY2" s="1352"/>
      <c r="CZ2" s="1352"/>
      <c r="DA2" s="1352"/>
      <c r="DB2" s="1352"/>
      <c r="DC2" s="1352"/>
      <c r="DD2" s="1353"/>
      <c r="DF2" s="1345" t="s">
        <v>590</v>
      </c>
      <c r="DG2" s="1346"/>
      <c r="DH2" s="1346"/>
      <c r="DI2" s="1346"/>
      <c r="DJ2" s="1346"/>
      <c r="DK2" s="1346"/>
      <c r="DL2" s="1346"/>
      <c r="DM2" s="1346"/>
      <c r="DN2" s="1346"/>
      <c r="DO2" s="1346"/>
      <c r="DP2" s="1347"/>
      <c r="DR2" s="887" t="s">
        <v>603</v>
      </c>
      <c r="DS2" s="888"/>
      <c r="DT2" s="888"/>
      <c r="DU2" s="888"/>
      <c r="DV2" s="888"/>
      <c r="DW2" s="889"/>
      <c r="DY2" s="1326" t="s">
        <v>707</v>
      </c>
      <c r="DZ2" s="1326"/>
      <c r="EB2" s="1326" t="s">
        <v>708</v>
      </c>
      <c r="EC2" s="1326"/>
      <c r="EG2" s="1326" t="s">
        <v>707</v>
      </c>
      <c r="EH2" s="1326"/>
      <c r="EN2" s="1036"/>
      <c r="EO2" s="1036"/>
    </row>
    <row r="3" spans="2:145" ht="15" customHeight="1" thickBot="1" x14ac:dyDescent="0.4">
      <c r="B3" s="406" t="s">
        <v>650</v>
      </c>
      <c r="C3" s="395" t="s">
        <v>606</v>
      </c>
      <c r="D3" s="395" t="s">
        <v>206</v>
      </c>
      <c r="E3" s="395" t="s">
        <v>607</v>
      </c>
      <c r="F3" s="395" t="s">
        <v>206</v>
      </c>
      <c r="G3" s="395" t="s">
        <v>608</v>
      </c>
      <c r="H3" s="396" t="s">
        <v>206</v>
      </c>
      <c r="J3" s="394" t="s">
        <v>215</v>
      </c>
      <c r="K3" s="395" t="s">
        <v>214</v>
      </c>
      <c r="L3" s="395" t="s">
        <v>213</v>
      </c>
      <c r="M3" s="395" t="s">
        <v>475</v>
      </c>
      <c r="N3" s="395" t="s">
        <v>212</v>
      </c>
      <c r="O3" s="395" t="s">
        <v>211</v>
      </c>
      <c r="P3" s="395" t="s">
        <v>210</v>
      </c>
      <c r="Q3" s="395" t="s">
        <v>209</v>
      </c>
      <c r="R3" s="396" t="s">
        <v>99</v>
      </c>
      <c r="T3" s="443" t="s">
        <v>254</v>
      </c>
      <c r="U3" s="444" t="s">
        <v>253</v>
      </c>
      <c r="V3" s="445" t="s">
        <v>261</v>
      </c>
      <c r="W3" s="445" t="s">
        <v>258</v>
      </c>
      <c r="X3" s="445" t="s">
        <v>257</v>
      </c>
      <c r="Y3" s="445" t="s">
        <v>256</v>
      </c>
      <c r="Z3" s="445" t="s">
        <v>206</v>
      </c>
      <c r="AA3" s="445" t="s">
        <v>255</v>
      </c>
      <c r="AB3" s="456" t="s">
        <v>262</v>
      </c>
      <c r="AC3" s="445" t="s">
        <v>198</v>
      </c>
      <c r="AD3" s="445" t="s">
        <v>263</v>
      </c>
      <c r="AE3" s="445" t="s">
        <v>260</v>
      </c>
      <c r="AF3" s="446" t="s">
        <v>259</v>
      </c>
      <c r="AH3" s="443" t="s">
        <v>254</v>
      </c>
      <c r="AI3" s="444" t="s">
        <v>253</v>
      </c>
      <c r="AJ3" s="445" t="s">
        <v>258</v>
      </c>
      <c r="AK3" s="445" t="s">
        <v>270</v>
      </c>
      <c r="AL3" s="445" t="s">
        <v>268</v>
      </c>
      <c r="AM3" s="445" t="s">
        <v>271</v>
      </c>
      <c r="AN3" s="456" t="s">
        <v>264</v>
      </c>
      <c r="AO3" s="445" t="s">
        <v>272</v>
      </c>
      <c r="AP3" s="445" t="s">
        <v>269</v>
      </c>
      <c r="AQ3" s="445" t="s">
        <v>259</v>
      </c>
      <c r="AR3" s="446" t="s">
        <v>273</v>
      </c>
      <c r="AT3" s="506" t="s">
        <v>477</v>
      </c>
      <c r="AU3" s="507"/>
      <c r="AW3" s="1340" t="s">
        <v>502</v>
      </c>
      <c r="AX3" s="1341"/>
      <c r="AZ3" s="1338" t="s">
        <v>500</v>
      </c>
      <c r="BA3" s="1339"/>
      <c r="BC3" s="844" t="s">
        <v>528</v>
      </c>
      <c r="BD3" s="825" t="s">
        <v>508</v>
      </c>
      <c r="BE3" s="825" t="s">
        <v>74</v>
      </c>
      <c r="BF3" s="825" t="s">
        <v>646</v>
      </c>
      <c r="BG3" s="825" t="s">
        <v>509</v>
      </c>
      <c r="BH3" s="825" t="s">
        <v>647</v>
      </c>
      <c r="BI3" s="825" t="s">
        <v>648</v>
      </c>
      <c r="BJ3" s="825" t="s">
        <v>649</v>
      </c>
      <c r="BK3" s="825" t="s">
        <v>510</v>
      </c>
      <c r="BL3" s="825" t="s">
        <v>511</v>
      </c>
      <c r="BM3" s="825" t="s">
        <v>529</v>
      </c>
      <c r="BN3" s="825" t="s">
        <v>512</v>
      </c>
      <c r="BO3" s="825" t="s">
        <v>513</v>
      </c>
      <c r="BP3" s="825" t="s">
        <v>530</v>
      </c>
      <c r="BQ3" s="823" t="s">
        <v>531</v>
      </c>
      <c r="BS3" s="1338" t="s">
        <v>532</v>
      </c>
      <c r="BT3" s="1339"/>
      <c r="BV3" s="890" t="s">
        <v>570</v>
      </c>
      <c r="BW3" s="901"/>
      <c r="BX3" s="891"/>
      <c r="BY3" s="891"/>
      <c r="BZ3" s="891"/>
      <c r="CA3" s="892"/>
      <c r="CC3" s="1340" t="s">
        <v>572</v>
      </c>
      <c r="CD3" s="1357"/>
      <c r="CE3" s="1357"/>
      <c r="CF3" s="1357"/>
      <c r="CG3" s="1357"/>
      <c r="CH3" s="1357"/>
      <c r="CI3" s="1357"/>
      <c r="CJ3" s="1357"/>
      <c r="CK3" s="1357"/>
      <c r="CL3" s="1357"/>
      <c r="CM3" s="1357"/>
      <c r="CN3" s="1357"/>
      <c r="CO3" s="1357"/>
      <c r="CP3" s="1357"/>
      <c r="CQ3" s="1341"/>
      <c r="CS3" s="1354" t="s">
        <v>584</v>
      </c>
      <c r="CT3" s="1355"/>
      <c r="CU3" s="1355"/>
      <c r="CV3" s="1355"/>
      <c r="CW3" s="1355"/>
      <c r="CX3" s="1355"/>
      <c r="CY3" s="1355"/>
      <c r="CZ3" s="1355"/>
      <c r="DA3" s="1355"/>
      <c r="DB3" s="1355"/>
      <c r="DC3" s="1355"/>
      <c r="DD3" s="1356"/>
      <c r="DF3" s="1348" t="s">
        <v>591</v>
      </c>
      <c r="DG3" s="1349"/>
      <c r="DH3" s="1349"/>
      <c r="DI3" s="1349"/>
      <c r="DJ3" s="1349"/>
      <c r="DK3" s="1349"/>
      <c r="DL3" s="1349"/>
      <c r="DM3" s="1349"/>
      <c r="DN3" s="1349"/>
      <c r="DO3" s="1349"/>
      <c r="DP3" s="1350"/>
      <c r="DR3" s="890" t="s">
        <v>570</v>
      </c>
      <c r="DS3" s="901"/>
      <c r="DT3" s="891"/>
      <c r="DU3" s="891"/>
      <c r="DV3" s="891"/>
      <c r="DW3" s="892"/>
      <c r="DY3" s="1325" t="s">
        <v>700</v>
      </c>
      <c r="DZ3" s="1325"/>
      <c r="EA3" s="1037"/>
      <c r="EB3" s="1325" t="s">
        <v>701</v>
      </c>
      <c r="EC3" s="1325"/>
      <c r="EE3" s="1325" t="s">
        <v>700</v>
      </c>
      <c r="EF3" s="1325"/>
      <c r="EG3" s="1325"/>
      <c r="EH3" s="1325"/>
      <c r="EI3" s="1325"/>
      <c r="EJ3" s="1325"/>
      <c r="EM3" s="403">
        <v>1</v>
      </c>
    </row>
    <row r="4" spans="2:145" x14ac:dyDescent="0.35">
      <c r="B4" s="379"/>
      <c r="C4" s="380"/>
      <c r="D4" s="909"/>
      <c r="E4" s="380"/>
      <c r="F4" s="909"/>
      <c r="G4" s="380"/>
      <c r="H4" s="910"/>
      <c r="J4" s="379"/>
      <c r="K4" s="380"/>
      <c r="L4" s="380"/>
      <c r="M4" s="380"/>
      <c r="N4" s="380"/>
      <c r="O4" s="380"/>
      <c r="P4" s="380"/>
      <c r="Q4" s="380"/>
      <c r="R4" s="381"/>
      <c r="T4" s="432"/>
      <c r="U4" s="433"/>
      <c r="V4" s="434"/>
      <c r="W4" s="434"/>
      <c r="X4" s="434"/>
      <c r="Y4" s="434"/>
      <c r="Z4" s="434"/>
      <c r="AA4" s="434"/>
      <c r="AB4" s="458"/>
      <c r="AC4" s="434"/>
      <c r="AD4" s="434"/>
      <c r="AE4" s="434"/>
      <c r="AF4" s="435"/>
      <c r="AH4" s="432"/>
      <c r="AI4" s="433"/>
      <c r="AJ4" s="491"/>
      <c r="AK4" s="492"/>
      <c r="AL4" s="434"/>
      <c r="AM4" s="434"/>
      <c r="AN4" s="458"/>
      <c r="AO4" s="493"/>
      <c r="AP4" s="434"/>
      <c r="AQ4" s="494"/>
      <c r="AR4" s="495"/>
      <c r="AT4" s="379"/>
      <c r="AU4" s="410"/>
      <c r="AW4" s="502" t="s">
        <v>262</v>
      </c>
      <c r="AX4" s="803">
        <f>Budget!E33</f>
        <v>664583.75822988653</v>
      </c>
      <c r="AZ4" s="798" t="s">
        <v>491</v>
      </c>
      <c r="BA4" s="1097">
        <v>252.59399999999999</v>
      </c>
      <c r="BC4" s="845">
        <v>1</v>
      </c>
      <c r="BD4" s="846">
        <f>'Forward Curve'!A2</f>
        <v>45211</v>
      </c>
      <c r="BE4" s="826">
        <f>Budget!Q24</f>
        <v>6550000</v>
      </c>
      <c r="BF4" s="847">
        <f>'Forward Curve'!B2</f>
        <v>5.33E-2</v>
      </c>
      <c r="BG4" s="848">
        <v>1.9E-2</v>
      </c>
      <c r="BH4" s="848">
        <v>2E-3</v>
      </c>
      <c r="BI4" s="848">
        <v>5.9999999999999995E-4</v>
      </c>
      <c r="BJ4" s="848">
        <v>1E-3</v>
      </c>
      <c r="BK4" s="849">
        <f>BF4+BG4+BH4+BI4+BJ4</f>
        <v>7.5900000000000009E-2</v>
      </c>
      <c r="BL4" s="827">
        <f>BK4*(_xlfn.DAYS(BD5,BD4)/360)*BE4</f>
        <v>42809.708333333343</v>
      </c>
      <c r="BM4" s="850">
        <f>BN4-BG4-BH4-BI4-BJ4</f>
        <v>4.1099999999999998E-2</v>
      </c>
      <c r="BN4" s="828">
        <v>6.3700000000000007E-2</v>
      </c>
      <c r="BO4" s="827">
        <f>BN4*(_xlfn.DAYS(BD5,BD4)/360)*BE4</f>
        <v>35928.569444444445</v>
      </c>
      <c r="BP4" s="939">
        <f t="shared" ref="BP4:BP39" si="0">NPV((1+BK4)^(BC4/12)-1,BL4:BL4)</f>
        <v>42549.514592916603</v>
      </c>
      <c r="BQ4" s="940">
        <f t="shared" ref="BQ4:BQ39" si="1">NPV((1+BK4)^(BC4/12)-1,BO4)</f>
        <v>35710.198676795611</v>
      </c>
      <c r="BS4" s="798" t="s">
        <v>533</v>
      </c>
      <c r="BT4" s="858">
        <v>45118</v>
      </c>
      <c r="BV4" s="893"/>
      <c r="BW4" s="902"/>
      <c r="BX4" s="894"/>
      <c r="BY4" s="894"/>
      <c r="BZ4" s="894"/>
      <c r="CA4" s="410"/>
      <c r="CC4" s="502"/>
      <c r="CD4" s="1198"/>
      <c r="CE4" s="1198"/>
      <c r="CF4" s="1198"/>
      <c r="CG4" s="1222">
        <v>46022</v>
      </c>
      <c r="CH4" s="1223">
        <f>EOMONTH(CG4,6)</f>
        <v>46203</v>
      </c>
      <c r="CI4" s="1223">
        <f>EOMONTH(CH4,12)</f>
        <v>46568</v>
      </c>
      <c r="CJ4" s="1223">
        <f t="shared" ref="CJ4:CP4" si="2">EOMONTH(CI4,12)</f>
        <v>46934</v>
      </c>
      <c r="CK4" s="1223">
        <f t="shared" si="2"/>
        <v>47299</v>
      </c>
      <c r="CL4" s="1223">
        <f t="shared" si="2"/>
        <v>47664</v>
      </c>
      <c r="CM4" s="1223">
        <f t="shared" si="2"/>
        <v>48029</v>
      </c>
      <c r="CN4" s="1223">
        <f t="shared" si="2"/>
        <v>48395</v>
      </c>
      <c r="CO4" s="1223">
        <f t="shared" si="2"/>
        <v>48760</v>
      </c>
      <c r="CP4" s="1223">
        <f t="shared" si="2"/>
        <v>49125</v>
      </c>
      <c r="CQ4" s="1224">
        <f>EOMONTH(CP4,18)</f>
        <v>49674</v>
      </c>
      <c r="CS4" s="971"/>
      <c r="CT4" s="972"/>
      <c r="CU4" s="972"/>
      <c r="CV4" s="972"/>
      <c r="CW4" s="972"/>
      <c r="CX4" s="972"/>
      <c r="CY4" s="972"/>
      <c r="CZ4" s="972"/>
      <c r="DA4" s="972"/>
      <c r="DB4" s="972"/>
      <c r="DC4" s="972"/>
      <c r="DD4" s="973"/>
      <c r="DF4" s="995"/>
      <c r="DG4" s="996"/>
      <c r="DH4" s="996"/>
      <c r="DI4" s="996"/>
      <c r="DJ4" s="996"/>
      <c r="DK4" s="996"/>
      <c r="DL4" s="996"/>
      <c r="DM4" s="996"/>
      <c r="DN4" s="996"/>
      <c r="DO4" s="996"/>
      <c r="DP4" s="997"/>
      <c r="DR4" s="893"/>
      <c r="DS4" s="902"/>
      <c r="DT4" s="894"/>
      <c r="DU4" s="894"/>
      <c r="DV4" s="894"/>
      <c r="DW4" s="410"/>
      <c r="DY4" s="1327">
        <v>43983</v>
      </c>
      <c r="DZ4" s="1327"/>
      <c r="EB4" s="1327">
        <v>45231</v>
      </c>
      <c r="EC4" s="1327"/>
      <c r="ED4" s="946"/>
      <c r="EE4" s="1038" t="s">
        <v>514</v>
      </c>
      <c r="EF4" s="1038" t="s">
        <v>703</v>
      </c>
      <c r="EG4" s="1039">
        <v>44196</v>
      </c>
      <c r="EH4" s="1039">
        <f>EOMONTH(EG4,12)</f>
        <v>44561</v>
      </c>
      <c r="EI4" s="1039">
        <f t="shared" ref="EI4:EJ4" si="3">EOMONTH(EH4,12)</f>
        <v>44926</v>
      </c>
      <c r="EJ4" s="1039">
        <f t="shared" si="3"/>
        <v>45291</v>
      </c>
      <c r="EK4" s="1036"/>
      <c r="EM4" s="403">
        <f>EM3+1</f>
        <v>2</v>
      </c>
    </row>
    <row r="5" spans="2:145" ht="15" thickBot="1" x14ac:dyDescent="0.4">
      <c r="B5" s="382" t="s">
        <v>204</v>
      </c>
      <c r="C5" s="384"/>
      <c r="D5" s="408"/>
      <c r="E5" s="384"/>
      <c r="F5" s="408"/>
      <c r="G5" s="384"/>
      <c r="H5" s="409"/>
      <c r="J5" s="397" t="s">
        <v>474</v>
      </c>
      <c r="K5" s="398">
        <f>SF</f>
        <v>18754</v>
      </c>
      <c r="L5" s="399">
        <f>K5/SF</f>
        <v>1</v>
      </c>
      <c r="M5" s="400">
        <v>47938</v>
      </c>
      <c r="N5" s="401">
        <f>'Property CF'!AS7</f>
        <v>36.930005881366348</v>
      </c>
      <c r="O5" s="398">
        <f>K5*N5</f>
        <v>692585.33029914449</v>
      </c>
      <c r="P5" s="402" t="s">
        <v>490</v>
      </c>
      <c r="Q5" s="398" t="s">
        <v>205</v>
      </c>
      <c r="R5" s="797">
        <f ca="1">_xlfn.DAYS(M5,TODAY())/365</f>
        <v>5.043835616438356</v>
      </c>
      <c r="T5" s="436">
        <v>1</v>
      </c>
      <c r="U5" s="437" t="s">
        <v>613</v>
      </c>
      <c r="V5" s="441">
        <v>45078</v>
      </c>
      <c r="W5" s="469" t="s">
        <v>614</v>
      </c>
      <c r="X5" s="439">
        <v>31492</v>
      </c>
      <c r="Y5" s="439">
        <v>20514154.929577462</v>
      </c>
      <c r="Z5" s="453">
        <f>Y5/X5</f>
        <v>651.40845070422529</v>
      </c>
      <c r="AA5" s="451">
        <v>5.6800000000000003E-2</v>
      </c>
      <c r="AB5" s="459">
        <f>AA5*Y5</f>
        <v>1165204</v>
      </c>
      <c r="AC5" s="451">
        <v>1</v>
      </c>
      <c r="AD5" s="440" t="s">
        <v>265</v>
      </c>
      <c r="AE5" s="441" t="s">
        <v>615</v>
      </c>
      <c r="AF5" s="462">
        <v>13</v>
      </c>
      <c r="AH5" s="436">
        <v>1</v>
      </c>
      <c r="AI5" s="437" t="s">
        <v>613</v>
      </c>
      <c r="AJ5" s="469" t="s">
        <v>614</v>
      </c>
      <c r="AK5" s="439">
        <v>31492</v>
      </c>
      <c r="AL5" s="441">
        <v>45292</v>
      </c>
      <c r="AM5" s="439">
        <v>31492</v>
      </c>
      <c r="AN5" s="460">
        <v>37</v>
      </c>
      <c r="AO5" s="451">
        <v>0.02</v>
      </c>
      <c r="AP5" s="441" t="s">
        <v>615</v>
      </c>
      <c r="AQ5" s="486">
        <v>13</v>
      </c>
      <c r="AR5" s="462" t="s">
        <v>205</v>
      </c>
      <c r="AT5" s="382" t="s">
        <v>46</v>
      </c>
      <c r="AU5" s="508">
        <f>Budget!Q24</f>
        <v>6550000</v>
      </c>
      <c r="AW5" s="385" t="s">
        <v>74</v>
      </c>
      <c r="AX5" s="864">
        <f>Budget!Q6+Budget!Q11</f>
        <v>6550000</v>
      </c>
      <c r="AZ5" s="541" t="s">
        <v>492</v>
      </c>
      <c r="BA5" s="1099">
        <v>545178.96</v>
      </c>
      <c r="BC5" s="851">
        <f>BC4+1</f>
        <v>2</v>
      </c>
      <c r="BD5" s="1049">
        <f>'Forward Curve'!A3</f>
        <v>45242</v>
      </c>
      <c r="BE5" s="829">
        <f>BE4</f>
        <v>6550000</v>
      </c>
      <c r="BF5" s="857">
        <f>'Forward Curve'!B3</f>
        <v>5.3600000000000002E-2</v>
      </c>
      <c r="BG5" s="852">
        <f>BG4</f>
        <v>1.9E-2</v>
      </c>
      <c r="BH5" s="857">
        <f>BH4</f>
        <v>2E-3</v>
      </c>
      <c r="BI5" s="857">
        <f t="shared" ref="BI5:BJ5" si="4">BI4</f>
        <v>5.9999999999999995E-4</v>
      </c>
      <c r="BJ5" s="857">
        <f t="shared" si="4"/>
        <v>1E-3</v>
      </c>
      <c r="BK5" s="831">
        <f t="shared" ref="BK5:BK39" si="5">BF5+BG5+BH5+BI5+BJ5</f>
        <v>7.6200000000000004E-2</v>
      </c>
      <c r="BL5" s="830">
        <f t="shared" ref="BL5:BL39" si="6">BK5*(_xlfn.DAYS(BD6,BD5)/360)*BE5</f>
        <v>41592.5</v>
      </c>
      <c r="BM5" s="853">
        <f>BM4</f>
        <v>4.1099999999999998E-2</v>
      </c>
      <c r="BN5" s="831">
        <f>BN4</f>
        <v>6.3700000000000007E-2</v>
      </c>
      <c r="BO5" s="830">
        <f t="shared" ref="BO5:BO39" si="7">BN5*(_xlfn.DAYS(BD6,BD5)/360)*BE5</f>
        <v>34769.583333333336</v>
      </c>
      <c r="BP5" s="941">
        <f t="shared" si="0"/>
        <v>41086.535984167276</v>
      </c>
      <c r="BQ5" s="942">
        <f t="shared" si="1"/>
        <v>34346.618663929868</v>
      </c>
      <c r="BS5" s="541" t="s">
        <v>534</v>
      </c>
      <c r="BT5" s="859">
        <v>45260</v>
      </c>
      <c r="BV5" s="382"/>
      <c r="BW5" s="895" t="s">
        <v>30</v>
      </c>
      <c r="BX5" s="895" t="s">
        <v>221</v>
      </c>
      <c r="BY5" s="895" t="s">
        <v>222</v>
      </c>
      <c r="BZ5" s="895" t="s">
        <v>288</v>
      </c>
      <c r="CA5" s="896" t="s">
        <v>14</v>
      </c>
      <c r="CC5" s="1199" t="s">
        <v>266</v>
      </c>
      <c r="CD5" s="1200"/>
      <c r="CE5" s="1200"/>
      <c r="CF5" s="1200" t="s">
        <v>80</v>
      </c>
      <c r="CG5" s="1201">
        <v>0</v>
      </c>
      <c r="CH5" s="1201">
        <v>1</v>
      </c>
      <c r="CI5" s="1201">
        <v>2</v>
      </c>
      <c r="CJ5" s="1201">
        <v>3</v>
      </c>
      <c r="CK5" s="1201">
        <v>4</v>
      </c>
      <c r="CL5" s="1201">
        <v>5</v>
      </c>
      <c r="CM5" s="1201">
        <v>6</v>
      </c>
      <c r="CN5" s="1201">
        <v>7</v>
      </c>
      <c r="CO5" s="1201">
        <v>8</v>
      </c>
      <c r="CP5" s="1201">
        <v>9</v>
      </c>
      <c r="CQ5" s="1202">
        <v>10</v>
      </c>
      <c r="CS5" s="974" t="s">
        <v>585</v>
      </c>
      <c r="CT5" s="975">
        <v>5.7500000000000002E-2</v>
      </c>
      <c r="CU5" s="975">
        <f t="shared" ref="CU5:DD5" si="8">CT5+0.0005</f>
        <v>5.8000000000000003E-2</v>
      </c>
      <c r="CV5" s="975">
        <f t="shared" si="8"/>
        <v>5.8500000000000003E-2</v>
      </c>
      <c r="CW5" s="975">
        <f t="shared" si="8"/>
        <v>5.9000000000000004E-2</v>
      </c>
      <c r="CX5" s="975">
        <f t="shared" si="8"/>
        <v>5.9500000000000004E-2</v>
      </c>
      <c r="CY5" s="975">
        <f t="shared" si="8"/>
        <v>6.0000000000000005E-2</v>
      </c>
      <c r="CZ5" s="975">
        <f t="shared" si="8"/>
        <v>6.0500000000000005E-2</v>
      </c>
      <c r="DA5" s="975">
        <f t="shared" si="8"/>
        <v>6.1000000000000006E-2</v>
      </c>
      <c r="DB5" s="975">
        <f t="shared" si="8"/>
        <v>6.1500000000000006E-2</v>
      </c>
      <c r="DC5" s="975">
        <f t="shared" si="8"/>
        <v>6.2000000000000006E-2</v>
      </c>
      <c r="DD5" s="976">
        <f t="shared" si="8"/>
        <v>6.25E-2</v>
      </c>
      <c r="DF5" s="851"/>
      <c r="DG5" s="998" t="s">
        <v>592</v>
      </c>
      <c r="DH5" s="998" t="s">
        <v>593</v>
      </c>
      <c r="DI5" s="998" t="s">
        <v>594</v>
      </c>
      <c r="DJ5" s="998" t="s">
        <v>595</v>
      </c>
      <c r="DK5" s="998" t="s">
        <v>596</v>
      </c>
      <c r="DL5" s="998" t="s">
        <v>597</v>
      </c>
      <c r="DM5" s="998" t="s">
        <v>598</v>
      </c>
      <c r="DN5" s="998" t="s">
        <v>599</v>
      </c>
      <c r="DO5" s="998" t="s">
        <v>600</v>
      </c>
      <c r="DP5" s="999" t="s">
        <v>601</v>
      </c>
      <c r="DR5" s="382"/>
      <c r="DS5" s="895" t="s">
        <v>30</v>
      </c>
      <c r="DT5" s="895" t="s">
        <v>221</v>
      </c>
      <c r="DU5" s="895" t="s">
        <v>222</v>
      </c>
      <c r="DV5" s="895" t="s">
        <v>288</v>
      </c>
      <c r="DW5" s="896" t="s">
        <v>14</v>
      </c>
      <c r="DY5" s="946">
        <f>BT8/12*2.5</f>
        <v>113578.94999999998</v>
      </c>
      <c r="DZ5" s="1032" t="s">
        <v>695</v>
      </c>
      <c r="EA5" s="1032"/>
      <c r="EB5" s="936">
        <f>SUM(EG14:EL14)</f>
        <v>404738.20794350619</v>
      </c>
      <c r="EC5" s="1032" t="s">
        <v>695</v>
      </c>
      <c r="EE5" s="1026">
        <f>EG5+NPV(0.07,EH5:EJ5)</f>
        <v>113578.94999999998</v>
      </c>
      <c r="EF5" s="403" t="s">
        <v>695</v>
      </c>
      <c r="EG5" s="936">
        <f>DY5</f>
        <v>113578.94999999998</v>
      </c>
      <c r="EH5" s="936">
        <v>0</v>
      </c>
      <c r="EI5" s="936">
        <v>0</v>
      </c>
      <c r="EJ5" s="936">
        <v>0</v>
      </c>
      <c r="EM5" s="403">
        <f t="shared" ref="EM5:EM12" si="9">EM4+1</f>
        <v>3</v>
      </c>
    </row>
    <row r="6" spans="2:145" x14ac:dyDescent="0.35">
      <c r="B6" s="411" t="s">
        <v>203</v>
      </c>
      <c r="C6" s="412">
        <f>Budget!E33</f>
        <v>664583.75822988653</v>
      </c>
      <c r="D6" s="413">
        <f>+C6/SF</f>
        <v>35.436907232051112</v>
      </c>
      <c r="E6" s="412">
        <f>SUM('Property CF'!V12:AG12)</f>
        <v>616955.25555674464</v>
      </c>
      <c r="F6" s="413">
        <f>+E6/SF</f>
        <v>32.897262213754111</v>
      </c>
      <c r="G6" s="412">
        <f>E6</f>
        <v>616955.25555674464</v>
      </c>
      <c r="H6" s="414">
        <f>+G6/SF</f>
        <v>32.897262213754111</v>
      </c>
      <c r="T6" s="436"/>
      <c r="U6" s="437" t="s">
        <v>616</v>
      </c>
      <c r="V6" s="438"/>
      <c r="W6" s="468"/>
      <c r="X6" s="438"/>
      <c r="Y6" s="438"/>
      <c r="Z6" s="453"/>
      <c r="AA6" s="438"/>
      <c r="AB6" s="461"/>
      <c r="AC6" s="451"/>
      <c r="AD6" s="438"/>
      <c r="AE6" s="438"/>
      <c r="AF6" s="462"/>
      <c r="AH6" s="436"/>
      <c r="AI6" s="437" t="s">
        <v>616</v>
      </c>
      <c r="AJ6" s="468"/>
      <c r="AK6" s="439"/>
      <c r="AL6" s="438"/>
      <c r="AM6" s="439"/>
      <c r="AN6" s="460"/>
      <c r="AO6" s="451"/>
      <c r="AP6" s="438"/>
      <c r="AQ6" s="486"/>
      <c r="AR6" s="462"/>
      <c r="AT6" s="382" t="s">
        <v>99</v>
      </c>
      <c r="AU6" s="509" t="s">
        <v>478</v>
      </c>
      <c r="AW6" s="807" t="s">
        <v>482</v>
      </c>
      <c r="AX6" s="808">
        <f>AX4/AX5</f>
        <v>0.10146316919540252</v>
      </c>
      <c r="AZ6" s="541" t="s">
        <v>493</v>
      </c>
      <c r="BA6" s="799">
        <f>BA5/SF</f>
        <v>29.070009597952435</v>
      </c>
      <c r="BC6" s="851">
        <f t="shared" ref="BC6:BC39" si="10">BC5+1</f>
        <v>3</v>
      </c>
      <c r="BD6" s="1049">
        <f>'Forward Curve'!A4</f>
        <v>45272</v>
      </c>
      <c r="BE6" s="829">
        <f t="shared" ref="BE6:BE39" si="11">BE5</f>
        <v>6550000</v>
      </c>
      <c r="BF6" s="857">
        <f>'Forward Curve'!B4</f>
        <v>5.4300000000000001E-2</v>
      </c>
      <c r="BG6" s="852">
        <f t="shared" ref="BG6:BH39" si="12">BG5</f>
        <v>1.9E-2</v>
      </c>
      <c r="BH6" s="857">
        <f t="shared" si="12"/>
        <v>2E-3</v>
      </c>
      <c r="BI6" s="857">
        <v>5.9999999999999995E-4</v>
      </c>
      <c r="BJ6" s="857">
        <f t="shared" ref="BJ6" si="13">BJ5</f>
        <v>1E-3</v>
      </c>
      <c r="BK6" s="831">
        <f t="shared" si="5"/>
        <v>7.690000000000001E-2</v>
      </c>
      <c r="BL6" s="830">
        <f t="shared" si="6"/>
        <v>43373.736111111117</v>
      </c>
      <c r="BM6" s="853">
        <f t="shared" ref="BM6:BN21" si="14">BM5</f>
        <v>4.1099999999999998E-2</v>
      </c>
      <c r="BN6" s="831">
        <f t="shared" si="14"/>
        <v>6.3700000000000007E-2</v>
      </c>
      <c r="BO6" s="830">
        <f t="shared" si="7"/>
        <v>35928.569444444445</v>
      </c>
      <c r="BP6" s="941">
        <f t="shared" si="0"/>
        <v>42577.777547648679</v>
      </c>
      <c r="BQ6" s="942">
        <f t="shared" si="1"/>
        <v>35269.238358715484</v>
      </c>
      <c r="BS6" s="541" t="s">
        <v>535</v>
      </c>
      <c r="BT6" s="800">
        <f>_xlfn.DAYS(BT5,BT4)</f>
        <v>142</v>
      </c>
      <c r="BV6" s="382"/>
      <c r="BW6" s="383"/>
      <c r="BX6" s="897"/>
      <c r="BY6" s="897"/>
      <c r="BZ6" s="897"/>
      <c r="CA6" s="898"/>
      <c r="CC6" s="385"/>
      <c r="CD6" s="1203"/>
      <c r="CE6" s="1203"/>
      <c r="CF6" s="1203"/>
      <c r="CG6" s="1204"/>
      <c r="CH6" s="1204"/>
      <c r="CI6" s="1204"/>
      <c r="CJ6" s="1204"/>
      <c r="CK6" s="1204"/>
      <c r="CL6" s="1204"/>
      <c r="CM6" s="1204"/>
      <c r="CN6" s="1204"/>
      <c r="CO6" s="1204"/>
      <c r="CP6" s="1204"/>
      <c r="CQ6" s="1205"/>
      <c r="CS6" s="974" t="s">
        <v>586</v>
      </c>
      <c r="CT6" s="977">
        <f>$CH$7/CT5</f>
        <v>12044962.266072078</v>
      </c>
      <c r="CU6" s="977">
        <f t="shared" ref="CU6:DD6" si="15">$CH$7/CU5</f>
        <v>11941126.384468008</v>
      </c>
      <c r="CV6" s="977">
        <f t="shared" si="15"/>
        <v>11839065.475199051</v>
      </c>
      <c r="CW6" s="977">
        <f t="shared" si="15"/>
        <v>11738734.411849907</v>
      </c>
      <c r="CX6" s="977">
        <f t="shared" si="15"/>
        <v>11640089.58485957</v>
      </c>
      <c r="CY6" s="977">
        <f t="shared" si="15"/>
        <v>11543088.838319074</v>
      </c>
      <c r="CZ6" s="977">
        <f t="shared" si="15"/>
        <v>11447691.409903213</v>
      </c>
      <c r="DA6" s="977">
        <f t="shared" si="15"/>
        <v>11353857.873756466</v>
      </c>
      <c r="DB6" s="977">
        <f t="shared" si="15"/>
        <v>11261550.086164949</v>
      </c>
      <c r="DC6" s="977">
        <f t="shared" si="15"/>
        <v>11170731.133857168</v>
      </c>
      <c r="DD6" s="978">
        <f t="shared" si="15"/>
        <v>11081365.284786312</v>
      </c>
      <c r="DF6" s="1000" t="s">
        <v>602</v>
      </c>
      <c r="DG6" s="1001">
        <f>'Property CF'!K151</f>
        <v>45199</v>
      </c>
      <c r="DH6" s="1001">
        <f>EOMONTH(DG6,3)</f>
        <v>45291</v>
      </c>
      <c r="DI6" s="1001">
        <f t="shared" ref="DI6:DP6" si="16">EOMONTH(DH6,3)</f>
        <v>45382</v>
      </c>
      <c r="DJ6" s="1001">
        <f t="shared" si="16"/>
        <v>45473</v>
      </c>
      <c r="DK6" s="1001">
        <f t="shared" si="16"/>
        <v>45565</v>
      </c>
      <c r="DL6" s="1001">
        <f t="shared" si="16"/>
        <v>45657</v>
      </c>
      <c r="DM6" s="1001">
        <f t="shared" si="16"/>
        <v>45747</v>
      </c>
      <c r="DN6" s="1001">
        <f t="shared" si="16"/>
        <v>45838</v>
      </c>
      <c r="DO6" s="1001">
        <f t="shared" si="16"/>
        <v>45930</v>
      </c>
      <c r="DP6" s="1002">
        <f t="shared" si="16"/>
        <v>46022</v>
      </c>
      <c r="DR6" s="382"/>
      <c r="DS6" s="383"/>
      <c r="DT6" s="897"/>
      <c r="DU6" s="897"/>
      <c r="DV6" s="897"/>
      <c r="DW6" s="898"/>
      <c r="DY6" s="936">
        <f>93770+83716</f>
        <v>177486</v>
      </c>
      <c r="DZ6" s="1032" t="s">
        <v>696</v>
      </c>
      <c r="EA6" s="1032"/>
      <c r="EB6" s="936">
        <v>200000</v>
      </c>
      <c r="EC6" s="1032" t="s">
        <v>696</v>
      </c>
      <c r="EE6" s="1026">
        <f t="shared" ref="EE6:EE7" si="17">EG6+NPV(0.07,EH6:EJ6)</f>
        <v>149665.04849217535</v>
      </c>
      <c r="EF6" s="403" t="s">
        <v>702</v>
      </c>
      <c r="EG6" s="936">
        <v>0</v>
      </c>
      <c r="EH6" s="936">
        <v>0</v>
      </c>
      <c r="EI6" s="936">
        <v>83716</v>
      </c>
      <c r="EJ6" s="936">
        <v>93770</v>
      </c>
      <c r="EM6" s="403">
        <f t="shared" si="9"/>
        <v>4</v>
      </c>
    </row>
    <row r="7" spans="2:145" ht="15" thickBot="1" x14ac:dyDescent="0.4">
      <c r="B7" s="411" t="s">
        <v>202</v>
      </c>
      <c r="C7" s="412">
        <f>SUM('Property CF'!J11:U11)</f>
        <v>300064</v>
      </c>
      <c r="D7" s="413">
        <f>+C7/SF</f>
        <v>16</v>
      </c>
      <c r="E7" s="412">
        <f>SUM('Property CF'!V11:AG11)</f>
        <v>306065.27999999997</v>
      </c>
      <c r="F7" s="413">
        <f>+E7/SF</f>
        <v>16.319999999999997</v>
      </c>
      <c r="G7" s="412">
        <f>SUM('Property CF'!AH11*12)</f>
        <v>312186.58559999999</v>
      </c>
      <c r="H7" s="414">
        <f>+G7/SF</f>
        <v>16.6464</v>
      </c>
      <c r="T7" s="436"/>
      <c r="U7" s="437"/>
      <c r="V7" s="438"/>
      <c r="W7" s="438"/>
      <c r="X7" s="438"/>
      <c r="Y7" s="438"/>
      <c r="Z7" s="438"/>
      <c r="AA7" s="438"/>
      <c r="AB7" s="461"/>
      <c r="AC7" s="438"/>
      <c r="AD7" s="438"/>
      <c r="AE7" s="438"/>
      <c r="AF7" s="498"/>
      <c r="AH7" s="436"/>
      <c r="AI7" s="437"/>
      <c r="AJ7" s="468"/>
      <c r="AK7" s="439"/>
      <c r="AL7" s="438"/>
      <c r="AM7" s="439"/>
      <c r="AN7" s="460"/>
      <c r="AO7" s="451"/>
      <c r="AP7" s="438"/>
      <c r="AQ7" s="486"/>
      <c r="AR7" s="462"/>
      <c r="AT7" s="382" t="s">
        <v>76</v>
      </c>
      <c r="AU7" s="510" t="s">
        <v>611</v>
      </c>
      <c r="AW7" s="385"/>
      <c r="AX7" s="500"/>
      <c r="AZ7" s="541"/>
      <c r="BA7" s="800"/>
      <c r="BC7" s="851">
        <f t="shared" si="10"/>
        <v>4</v>
      </c>
      <c r="BD7" s="1049">
        <f>'Forward Curve'!A5</f>
        <v>45303</v>
      </c>
      <c r="BE7" s="829">
        <f t="shared" si="11"/>
        <v>6550000</v>
      </c>
      <c r="BF7" s="857">
        <f>'Forward Curve'!B5</f>
        <v>5.4399999999999997E-2</v>
      </c>
      <c r="BG7" s="852">
        <f t="shared" si="12"/>
        <v>1.9E-2</v>
      </c>
      <c r="BH7" s="857">
        <f t="shared" si="12"/>
        <v>2E-3</v>
      </c>
      <c r="BI7" s="857">
        <v>5.9999999999999995E-4</v>
      </c>
      <c r="BJ7" s="857">
        <f t="shared" ref="BJ7" si="18">BJ6</f>
        <v>1E-3</v>
      </c>
      <c r="BK7" s="831">
        <f t="shared" si="5"/>
        <v>7.6999999999999999E-2</v>
      </c>
      <c r="BL7" s="830">
        <f t="shared" si="6"/>
        <v>43430.138888888891</v>
      </c>
      <c r="BM7" s="853">
        <f t="shared" si="14"/>
        <v>4.1099999999999998E-2</v>
      </c>
      <c r="BN7" s="831">
        <f t="shared" si="14"/>
        <v>6.3700000000000007E-2</v>
      </c>
      <c r="BO7" s="830">
        <f t="shared" si="7"/>
        <v>35928.569444444445</v>
      </c>
      <c r="BP7" s="941">
        <f t="shared" si="0"/>
        <v>42369.432832166538</v>
      </c>
      <c r="BQ7" s="942">
        <f t="shared" si="1"/>
        <v>35051.076252065046</v>
      </c>
      <c r="BS7" s="541"/>
      <c r="BT7" s="800"/>
      <c r="BV7" s="397" t="s">
        <v>36</v>
      </c>
      <c r="BW7" s="899">
        <f>-Budget!I6</f>
        <v>-3551440.2100000009</v>
      </c>
      <c r="BX7" s="899">
        <f>'Property CF'!N115</f>
        <v>0</v>
      </c>
      <c r="BY7" s="899">
        <f>'Property CF'!Z115</f>
        <v>0</v>
      </c>
      <c r="BZ7" s="899">
        <f>'Property CF'!AK115</f>
        <v>-293770</v>
      </c>
      <c r="CA7" s="900">
        <f>SUM(BW7:BZ7)</f>
        <v>-3845210.2100000009</v>
      </c>
      <c r="CC7" s="385" t="s">
        <v>249</v>
      </c>
      <c r="CD7" s="1206">
        <f>'Property CF'!AS68</f>
        <v>11640089.584859572</v>
      </c>
      <c r="CE7" s="1203"/>
      <c r="CF7" s="1203" t="s">
        <v>95</v>
      </c>
      <c r="CG7" s="1203"/>
      <c r="CH7" s="1206">
        <f>'Property CF'!AW12</f>
        <v>692585.33029914449</v>
      </c>
      <c r="CI7" s="1206">
        <f>'Property CF'!AY12</f>
        <v>706437.03690512734</v>
      </c>
      <c r="CJ7" s="1206">
        <f>'Property CF'!AZ12</f>
        <v>720565.77764322993</v>
      </c>
      <c r="CK7" s="1206">
        <f>'Property CF'!BA12</f>
        <v>734977.0931960945</v>
      </c>
      <c r="CL7" s="1206">
        <f>'Property CF'!BB12</f>
        <v>749676.63506001642</v>
      </c>
      <c r="CM7" s="1206">
        <f>'Property CF'!BC12</f>
        <v>764670.16776121676</v>
      </c>
      <c r="CN7" s="1206">
        <f>'Property CF'!BD12</f>
        <v>779963.57111644105</v>
      </c>
      <c r="CO7" s="1206">
        <f>'Property CF'!BE12</f>
        <v>795562.84253876982</v>
      </c>
      <c r="CP7" s="1206">
        <f>'Property CF'!BF12</f>
        <v>811474.09938954527</v>
      </c>
      <c r="CQ7" s="501">
        <f>'Property CF'!BG12</f>
        <v>827703.58137733617</v>
      </c>
      <c r="CR7" s="1026"/>
      <c r="CS7" s="979" t="s">
        <v>587</v>
      </c>
      <c r="CT7" s="980">
        <f t="shared" ref="CT7:DB7" si="19">CT6/SF</f>
        <v>642.26097184984951</v>
      </c>
      <c r="CU7" s="980">
        <f t="shared" si="19"/>
        <v>636.72423933390257</v>
      </c>
      <c r="CV7" s="980">
        <f t="shared" si="19"/>
        <v>631.28215181822816</v>
      </c>
      <c r="CW7" s="980">
        <f t="shared" si="19"/>
        <v>625.93230307400586</v>
      </c>
      <c r="CX7" s="980">
        <f t="shared" si="19"/>
        <v>620.67236775405627</v>
      </c>
      <c r="CY7" s="980">
        <f t="shared" si="19"/>
        <v>615.50009802277248</v>
      </c>
      <c r="CZ7" s="980">
        <f t="shared" si="19"/>
        <v>610.4133203531627</v>
      </c>
      <c r="DA7" s="980">
        <f t="shared" si="19"/>
        <v>605.40993248141547</v>
      </c>
      <c r="DB7" s="980">
        <f t="shared" si="19"/>
        <v>600.48790051002186</v>
      </c>
      <c r="DC7" s="980">
        <f t="shared" ref="DC7:DD7" si="20">DC6/SF</f>
        <v>595.64525615107004</v>
      </c>
      <c r="DD7" s="981">
        <f t="shared" si="20"/>
        <v>590.88009410186157</v>
      </c>
      <c r="DF7" s="851"/>
      <c r="DG7" s="932"/>
      <c r="DH7" s="932"/>
      <c r="DI7" s="932"/>
      <c r="DJ7" s="932"/>
      <c r="DK7" s="932"/>
      <c r="DL7" s="932"/>
      <c r="DM7" s="932"/>
      <c r="DN7" s="932"/>
      <c r="DO7" s="932"/>
      <c r="DP7" s="1003"/>
      <c r="DR7" s="382" t="s">
        <v>36</v>
      </c>
      <c r="DS7" s="412">
        <f>BW7</f>
        <v>-3551440.2100000009</v>
      </c>
      <c r="DT7" s="412">
        <f>BX7</f>
        <v>0</v>
      </c>
      <c r="DU7" s="412">
        <f>BY7</f>
        <v>0</v>
      </c>
      <c r="DV7" s="412">
        <f>BZ7</f>
        <v>-293770</v>
      </c>
      <c r="DW7" s="903">
        <f>SUM(DS7:DV7)</f>
        <v>-3845210.2100000009</v>
      </c>
      <c r="DY7" s="936">
        <f>Budget!AL32</f>
        <v>139989.83816232526</v>
      </c>
      <c r="DZ7" s="1032" t="s">
        <v>699</v>
      </c>
      <c r="EA7" s="1032"/>
      <c r="EB7" s="1032">
        <v>0</v>
      </c>
      <c r="EC7" s="1032" t="s">
        <v>699</v>
      </c>
      <c r="ED7" s="946"/>
      <c r="EE7" s="1026">
        <f t="shared" si="17"/>
        <v>139989.83816232526</v>
      </c>
      <c r="EF7" s="403" t="s">
        <v>699</v>
      </c>
      <c r="EG7" s="936">
        <f>DY7</f>
        <v>139989.83816232526</v>
      </c>
      <c r="EH7" s="936">
        <v>0</v>
      </c>
      <c r="EI7" s="936">
        <v>0</v>
      </c>
      <c r="EJ7" s="936">
        <v>0</v>
      </c>
      <c r="EM7" s="403">
        <f t="shared" si="9"/>
        <v>5</v>
      </c>
    </row>
    <row r="8" spans="2:145" ht="15" thickBot="1" x14ac:dyDescent="0.4">
      <c r="B8" s="382" t="s">
        <v>201</v>
      </c>
      <c r="C8" s="415">
        <f>SUM(C6:C7)</f>
        <v>964647.75822988653</v>
      </c>
      <c r="D8" s="416">
        <f>+C8/SF</f>
        <v>51.436907232051112</v>
      </c>
      <c r="E8" s="415">
        <f>SUM(E6:E7)</f>
        <v>923020.53555674455</v>
      </c>
      <c r="F8" s="416">
        <f>+E8/SF</f>
        <v>49.217262213754111</v>
      </c>
      <c r="G8" s="415">
        <f>SUM(G6:G7)</f>
        <v>929141.84115674463</v>
      </c>
      <c r="H8" s="417">
        <f>+G8/SF</f>
        <v>49.543662213754111</v>
      </c>
      <c r="T8" s="442"/>
      <c r="U8" s="447" t="s">
        <v>252</v>
      </c>
      <c r="V8" s="447"/>
      <c r="W8" s="447"/>
      <c r="X8" s="448">
        <f>+SUM(X5:X7)/2</f>
        <v>15746</v>
      </c>
      <c r="Y8" s="473">
        <f>+SUMPRODUCT(X5:X7,Y5:Y7)/SUM(X5:X7)</f>
        <v>20514154.929577462</v>
      </c>
      <c r="Z8" s="454">
        <f>+SUMPRODUCT($X$5:$X$7,Z5:Z7)/SUM(X5:X7)</f>
        <v>651.40845070422529</v>
      </c>
      <c r="AA8" s="452">
        <f>+SUMPRODUCT(X5:X7,AA5:AA7)/SUM(X5:X7)</f>
        <v>5.6800000000000003E-2</v>
      </c>
      <c r="AB8" s="471">
        <f>+SUMPRODUCT(X5:X7,AB5:AB7)/SUM(X5:X7)</f>
        <v>1165204</v>
      </c>
      <c r="AC8" s="452">
        <f>+SUMPRODUCT($X$5:$X$7,AC5:AC7)/SUM(X5:X7)</f>
        <v>1</v>
      </c>
      <c r="AD8" s="449"/>
      <c r="AE8" s="447"/>
      <c r="AF8" s="475">
        <f>+SUMPRODUCT(X5:X7,AF5:AF7)/SUM(X5:X7)</f>
        <v>13</v>
      </c>
      <c r="AH8" s="436">
        <v>2</v>
      </c>
      <c r="AI8" s="437" t="s">
        <v>617</v>
      </c>
      <c r="AJ8" s="469" t="s">
        <v>618</v>
      </c>
      <c r="AK8" s="439">
        <v>11381</v>
      </c>
      <c r="AL8" s="441">
        <v>45200</v>
      </c>
      <c r="AM8" s="439">
        <v>11381</v>
      </c>
      <c r="AN8" s="460">
        <v>37.25</v>
      </c>
      <c r="AO8" s="451">
        <v>0.02</v>
      </c>
      <c r="AP8" s="438" t="s">
        <v>619</v>
      </c>
      <c r="AQ8" s="486">
        <v>15</v>
      </c>
      <c r="AR8" s="462" t="s">
        <v>205</v>
      </c>
      <c r="AT8" s="382" t="s">
        <v>19</v>
      </c>
      <c r="AU8" s="510">
        <v>5.0000000000000001E-3</v>
      </c>
      <c r="AW8" s="385" t="s">
        <v>483</v>
      </c>
      <c r="AX8" s="501">
        <f>Budget!E31</f>
        <v>10395210.210000001</v>
      </c>
      <c r="AZ8" s="541" t="s">
        <v>494</v>
      </c>
      <c r="BA8" s="865">
        <v>298.59800000000001</v>
      </c>
      <c r="BC8" s="851">
        <f t="shared" si="10"/>
        <v>5</v>
      </c>
      <c r="BD8" s="1049">
        <f>'Forward Curve'!A6</f>
        <v>45334</v>
      </c>
      <c r="BE8" s="829">
        <f t="shared" si="11"/>
        <v>6550000</v>
      </c>
      <c r="BF8" s="857">
        <f>'Forward Curve'!B6</f>
        <v>5.45E-2</v>
      </c>
      <c r="BG8" s="852">
        <f t="shared" si="12"/>
        <v>1.9E-2</v>
      </c>
      <c r="BH8" s="857">
        <f t="shared" si="12"/>
        <v>2E-3</v>
      </c>
      <c r="BI8" s="857">
        <v>5.9999999999999995E-4</v>
      </c>
      <c r="BJ8" s="857">
        <f t="shared" ref="BJ8" si="21">BJ7</f>
        <v>1E-3</v>
      </c>
      <c r="BK8" s="831">
        <f t="shared" si="5"/>
        <v>7.7100000000000002E-2</v>
      </c>
      <c r="BL8" s="830">
        <f t="shared" si="6"/>
        <v>40680.958333333336</v>
      </c>
      <c r="BM8" s="853">
        <f t="shared" si="14"/>
        <v>4.1099999999999998E-2</v>
      </c>
      <c r="BN8" s="831">
        <f t="shared" si="14"/>
        <v>6.3700000000000007E-2</v>
      </c>
      <c r="BO8" s="830">
        <f t="shared" si="7"/>
        <v>33610.597222222226</v>
      </c>
      <c r="BP8" s="941">
        <f t="shared" si="0"/>
        <v>39441.294857315785</v>
      </c>
      <c r="BQ8" s="942">
        <f t="shared" si="1"/>
        <v>32586.387579909413</v>
      </c>
      <c r="BS8" s="541" t="s">
        <v>536</v>
      </c>
      <c r="BT8" s="860">
        <f>BA5</f>
        <v>545178.96</v>
      </c>
      <c r="CC8" s="385" t="s">
        <v>573</v>
      </c>
      <c r="CD8" s="1206">
        <v>70000</v>
      </c>
      <c r="CE8" s="1203"/>
      <c r="CF8" s="1203" t="s">
        <v>574</v>
      </c>
      <c r="CG8" s="1203"/>
      <c r="CH8" s="1206">
        <f>CD21*CD12</f>
        <v>450838.44901709346</v>
      </c>
      <c r="CI8" s="1206">
        <f>CH8</f>
        <v>450838.44901709346</v>
      </c>
      <c r="CJ8" s="1206">
        <f t="shared" ref="CJ8:CM8" si="22">CI8</f>
        <v>450838.44901709346</v>
      </c>
      <c r="CK8" s="1206">
        <f t="shared" si="22"/>
        <v>450838.44901709346</v>
      </c>
      <c r="CL8" s="1206">
        <f t="shared" si="22"/>
        <v>450838.44901709346</v>
      </c>
      <c r="CM8" s="1206">
        <f t="shared" si="22"/>
        <v>450838.44901709346</v>
      </c>
      <c r="CN8" s="1206">
        <f t="shared" ref="CN8" si="23">CM8</f>
        <v>450838.44901709346</v>
      </c>
      <c r="CO8" s="1206">
        <f t="shared" ref="CO8" si="24">CN8</f>
        <v>450838.44901709346</v>
      </c>
      <c r="CP8" s="1206">
        <f t="shared" ref="CP8" si="25">CO8</f>
        <v>450838.44901709346</v>
      </c>
      <c r="CQ8" s="501">
        <f t="shared" ref="CQ8" si="26">CP8</f>
        <v>450838.44901709346</v>
      </c>
      <c r="CS8" s="974" t="s">
        <v>276</v>
      </c>
      <c r="CT8" s="982">
        <f>'Property CF'!AS26</f>
        <v>0.05</v>
      </c>
      <c r="CU8" s="982">
        <f t="shared" ref="CU8:DD8" si="27">CT8</f>
        <v>0.05</v>
      </c>
      <c r="CV8" s="982">
        <f t="shared" si="27"/>
        <v>0.05</v>
      </c>
      <c r="CW8" s="982">
        <f t="shared" si="27"/>
        <v>0.05</v>
      </c>
      <c r="CX8" s="982">
        <f t="shared" si="27"/>
        <v>0.05</v>
      </c>
      <c r="CY8" s="982">
        <f t="shared" si="27"/>
        <v>0.05</v>
      </c>
      <c r="CZ8" s="982">
        <f t="shared" si="27"/>
        <v>0.05</v>
      </c>
      <c r="DA8" s="982">
        <f t="shared" si="27"/>
        <v>0.05</v>
      </c>
      <c r="DB8" s="982">
        <f t="shared" si="27"/>
        <v>0.05</v>
      </c>
      <c r="DC8" s="982">
        <f t="shared" si="27"/>
        <v>0.05</v>
      </c>
      <c r="DD8" s="983">
        <f t="shared" si="27"/>
        <v>0.05</v>
      </c>
      <c r="DF8" s="1004" t="s">
        <v>575</v>
      </c>
      <c r="DG8" s="1005">
        <f>'Property CF'!K165</f>
        <v>2.7698154768595988E-2</v>
      </c>
      <c r="DH8" s="1005">
        <f>'Property CF'!N165</f>
        <v>5.3032796468589438E-2</v>
      </c>
      <c r="DI8" s="1005">
        <f>'Property CF'!Q165</f>
        <v>5.9815436495137151E-3</v>
      </c>
      <c r="DJ8" s="1005">
        <f>'Property CF'!T165</f>
        <v>6.8529833768455159E-2</v>
      </c>
      <c r="DK8" s="1005">
        <f>'Property CF'!W165</f>
        <v>6.6490215612402703E-2</v>
      </c>
      <c r="DL8" s="1005">
        <f>'Property CF'!Z165</f>
        <v>4.6217982121454252E-3</v>
      </c>
      <c r="DM8" s="1005">
        <f>'Property CF'!AC165</f>
        <v>7.4409373039635643E-2</v>
      </c>
      <c r="DN8" s="1005">
        <f>'Property CF'!AF165</f>
        <v>7.2282731175591641E-2</v>
      </c>
      <c r="DO8" s="1005">
        <f>'Property CF'!AI165</f>
        <v>7.0202320656418155E-2</v>
      </c>
      <c r="DP8" s="1006">
        <f>'Property CF'!AL165</f>
        <v>6.8452123363973841E-2</v>
      </c>
      <c r="DR8" s="382" t="s">
        <v>158</v>
      </c>
      <c r="DS8" s="412">
        <v>0</v>
      </c>
      <c r="DT8" s="412">
        <v>0</v>
      </c>
      <c r="DU8" s="412">
        <v>0</v>
      </c>
      <c r="DV8" s="412">
        <f>-DW7</f>
        <v>3845210.2100000009</v>
      </c>
      <c r="DW8" s="903">
        <f>-DW7</f>
        <v>3845210.2100000009</v>
      </c>
      <c r="DY8" s="946">
        <f>SUM(DY5:DY7)</f>
        <v>431054.78816232522</v>
      </c>
      <c r="DZ8" s="1032" t="s">
        <v>14</v>
      </c>
      <c r="EA8" s="1032"/>
      <c r="EB8" s="946">
        <f>SUM(EB5:EB6)</f>
        <v>604738.20794350619</v>
      </c>
      <c r="EC8" s="1032" t="s">
        <v>14</v>
      </c>
      <c r="EE8" s="946">
        <f>SUM(EE5:EE7)</f>
        <v>403233.83665450063</v>
      </c>
      <c r="EF8" s="403" t="s">
        <v>704</v>
      </c>
      <c r="EM8" s="403">
        <f t="shared" si="9"/>
        <v>6</v>
      </c>
    </row>
    <row r="9" spans="2:145" x14ac:dyDescent="0.35">
      <c r="B9" s="382"/>
      <c r="C9" s="412"/>
      <c r="D9" s="412"/>
      <c r="E9" s="412"/>
      <c r="F9" s="412"/>
      <c r="G9" s="412"/>
      <c r="H9" s="903"/>
      <c r="T9" s="436"/>
      <c r="U9" s="450"/>
      <c r="V9" s="450"/>
      <c r="W9" s="450"/>
      <c r="X9" s="476"/>
      <c r="Y9" s="477"/>
      <c r="Z9" s="478"/>
      <c r="AA9" s="479"/>
      <c r="AB9" s="480"/>
      <c r="AC9" s="479"/>
      <c r="AD9" s="455"/>
      <c r="AE9" s="450"/>
      <c r="AF9" s="474"/>
      <c r="AH9" s="436"/>
      <c r="AI9" s="437" t="s">
        <v>620</v>
      </c>
      <c r="AJ9" s="468"/>
      <c r="AK9" s="439"/>
      <c r="AL9" s="438"/>
      <c r="AM9" s="439"/>
      <c r="AN9" s="460"/>
      <c r="AO9" s="451"/>
      <c r="AP9" s="438"/>
      <c r="AQ9" s="486"/>
      <c r="AR9" s="462"/>
      <c r="AT9" s="382" t="s">
        <v>277</v>
      </c>
      <c r="AU9" s="509" t="s">
        <v>479</v>
      </c>
      <c r="AW9" s="385" t="s">
        <v>74</v>
      </c>
      <c r="AX9" s="804">
        <f>AX5</f>
        <v>6550000</v>
      </c>
      <c r="AZ9" s="541" t="s">
        <v>495</v>
      </c>
      <c r="BA9" s="926">
        <v>307.91699999999997</v>
      </c>
      <c r="BC9" s="851">
        <f t="shared" si="10"/>
        <v>6</v>
      </c>
      <c r="BD9" s="1049">
        <f>'Forward Curve'!A7</f>
        <v>45363</v>
      </c>
      <c r="BE9" s="829">
        <f t="shared" si="11"/>
        <v>6550000</v>
      </c>
      <c r="BF9" s="857">
        <f>'Forward Curve'!B7</f>
        <v>5.3999999999999999E-2</v>
      </c>
      <c r="BG9" s="852">
        <f t="shared" si="12"/>
        <v>1.9E-2</v>
      </c>
      <c r="BH9" s="857">
        <f t="shared" si="12"/>
        <v>2E-3</v>
      </c>
      <c r="BI9" s="857">
        <v>5.9999999999999995E-4</v>
      </c>
      <c r="BJ9" s="857">
        <f t="shared" ref="BJ9" si="28">BJ8</f>
        <v>1E-3</v>
      </c>
      <c r="BK9" s="831">
        <f t="shared" si="5"/>
        <v>7.6600000000000001E-2</v>
      </c>
      <c r="BL9" s="830">
        <f t="shared" si="6"/>
        <v>43204.527777777781</v>
      </c>
      <c r="BM9" s="853">
        <f t="shared" si="14"/>
        <v>4.1099999999999998E-2</v>
      </c>
      <c r="BN9" s="831">
        <f t="shared" si="14"/>
        <v>6.3700000000000007E-2</v>
      </c>
      <c r="BO9" s="830">
        <f t="shared" si="7"/>
        <v>35928.569444444445</v>
      </c>
      <c r="BP9" s="941">
        <f t="shared" si="0"/>
        <v>41639.171043693859</v>
      </c>
      <c r="BQ9" s="942">
        <f t="shared" si="1"/>
        <v>34626.830228241495</v>
      </c>
      <c r="BS9" s="541" t="s">
        <v>537</v>
      </c>
      <c r="BT9" s="860">
        <f>BA14</f>
        <v>664583.75822988653</v>
      </c>
      <c r="CC9" s="385" t="s">
        <v>14</v>
      </c>
      <c r="CD9" s="1206">
        <f>SUM(CD7:CD8)</f>
        <v>11710089.584859572</v>
      </c>
      <c r="CE9" s="1203"/>
      <c r="CF9" s="1203" t="s">
        <v>28</v>
      </c>
      <c r="CG9" s="1203"/>
      <c r="CH9" s="1207">
        <f>CH7-CH8</f>
        <v>241746.88128205104</v>
      </c>
      <c r="CI9" s="1207">
        <f t="shared" ref="CI9:CL9" si="29">CI7-CI8</f>
        <v>255598.58788803389</v>
      </c>
      <c r="CJ9" s="1207">
        <f t="shared" si="29"/>
        <v>269727.32862613647</v>
      </c>
      <c r="CK9" s="1207">
        <f t="shared" si="29"/>
        <v>284138.64417900104</v>
      </c>
      <c r="CL9" s="1207">
        <f t="shared" si="29"/>
        <v>298838.18604292296</v>
      </c>
      <c r="CM9" s="1207">
        <f t="shared" ref="CM9:CQ9" si="30">CM7-CM8</f>
        <v>313831.7187441233</v>
      </c>
      <c r="CN9" s="1207">
        <f t="shared" si="30"/>
        <v>329125.12209934759</v>
      </c>
      <c r="CO9" s="1207">
        <f t="shared" si="30"/>
        <v>344724.39352167636</v>
      </c>
      <c r="CP9" s="1207">
        <f t="shared" si="30"/>
        <v>360635.65037245181</v>
      </c>
      <c r="CQ9" s="804">
        <f t="shared" si="30"/>
        <v>376865.13236024271</v>
      </c>
      <c r="CS9" s="974" t="s">
        <v>22</v>
      </c>
      <c r="CT9" s="984">
        <f>(CT6*(1-CT8))-'Property CF'!$AS$31-'Property CF'!$AS$33</f>
        <v>11413907.03835547</v>
      </c>
      <c r="CU9" s="984">
        <f>(CU6*(1-CU8))-'Property CF'!$AS$31-'Property CF'!$AS$33</f>
        <v>11315262.950831603</v>
      </c>
      <c r="CV9" s="984">
        <f>(CV6*(1-CV8))-'Property CF'!$AS$31-'Property CF'!$AS$33</f>
        <v>11218305.087026093</v>
      </c>
      <c r="CW9" s="984">
        <f>(CW6*(1-CW8))-'Property CF'!$AS$31-'Property CF'!$AS$33</f>
        <v>11122990.576844407</v>
      </c>
      <c r="CX9" s="984">
        <f>(CX6*(1-CX8))-'Property CF'!$AS$31-'Property CF'!$AS$33</f>
        <v>11029277.991203588</v>
      </c>
      <c r="CY9" s="984">
        <f>(CY6*(1-CY8))-'Property CF'!$AS$31-'Property CF'!$AS$33</f>
        <v>10937127.281990116</v>
      </c>
      <c r="CZ9" s="984">
        <f>(CZ6*(1-CZ8))-'Property CF'!$AS$31-'Property CF'!$AS$33</f>
        <v>10846499.724995049</v>
      </c>
      <c r="DA9" s="984">
        <f>(DA6*(1-DA8))-'Property CF'!$AS$31-'Property CF'!$AS$33</f>
        <v>10757357.865655638</v>
      </c>
      <c r="DB9" s="984">
        <f>(DB6*(1-DB8))-'Property CF'!$AS$31-'Property CF'!$AS$33</f>
        <v>10669665.467443697</v>
      </c>
      <c r="DC9" s="984">
        <f>(DC6*(1-DC8))-'Property CF'!$AS$31-'Property CF'!$AS$33</f>
        <v>10583387.462751305</v>
      </c>
      <c r="DD9" s="985">
        <f>(DD6*(1-DD8))-'Property CF'!$AS$31-'Property CF'!$AS$33</f>
        <v>10498489.906133991</v>
      </c>
      <c r="DR9" s="382" t="s">
        <v>159</v>
      </c>
      <c r="DS9" s="412">
        <v>0</v>
      </c>
      <c r="DT9" s="412">
        <f>SUM('Property CF'!I132:T132)</f>
        <v>134737.81619793654</v>
      </c>
      <c r="DU9" s="412">
        <f>SUM('Property CF'!U132:AF132)</f>
        <v>192817.68540413922</v>
      </c>
      <c r="DV9" s="412">
        <f>SUM('Property CF'!AG132:AN132)</f>
        <v>480477.42224770103</v>
      </c>
      <c r="DW9" s="903">
        <f>SUM(DT9:DV9)</f>
        <v>808032.92384977685</v>
      </c>
      <c r="DY9" s="949">
        <f>DY8/SF</f>
        <v>22.984685302459486</v>
      </c>
      <c r="DZ9" s="1032" t="s">
        <v>697</v>
      </c>
      <c r="EA9" s="1032"/>
      <c r="EB9" s="949">
        <f>EB8/SF</f>
        <v>32.245825314253288</v>
      </c>
      <c r="EC9" s="1032" t="s">
        <v>697</v>
      </c>
      <c r="EE9" s="947">
        <f>EE8/SF</f>
        <v>21.501217695131739</v>
      </c>
      <c r="EF9" s="403" t="s">
        <v>705</v>
      </c>
      <c r="EM9" s="403">
        <f t="shared" si="9"/>
        <v>7</v>
      </c>
    </row>
    <row r="10" spans="2:145" ht="15" thickBot="1" x14ac:dyDescent="0.4">
      <c r="B10" s="382" t="s">
        <v>200</v>
      </c>
      <c r="C10" s="412">
        <f>C7</f>
        <v>300064</v>
      </c>
      <c r="D10" s="413">
        <f>+C10/SF</f>
        <v>16</v>
      </c>
      <c r="E10" s="412">
        <f>E7</f>
        <v>306065.27999999997</v>
      </c>
      <c r="F10" s="413">
        <f>+E10/SF</f>
        <v>16.319999999999997</v>
      </c>
      <c r="G10" s="412">
        <f>G7</f>
        <v>312186.58559999999</v>
      </c>
      <c r="H10" s="414">
        <f>+G10/SF</f>
        <v>16.6464</v>
      </c>
      <c r="T10" s="436">
        <v>2</v>
      </c>
      <c r="U10" s="437" t="s">
        <v>487</v>
      </c>
      <c r="V10" s="438" t="s">
        <v>196</v>
      </c>
      <c r="W10" s="438">
        <v>1997</v>
      </c>
      <c r="X10" s="439">
        <f>SF</f>
        <v>18754</v>
      </c>
      <c r="Y10" s="439">
        <f>AB10/AA10</f>
        <v>9700000</v>
      </c>
      <c r="Z10" s="453">
        <f>Y10/X10</f>
        <v>517.22299242828194</v>
      </c>
      <c r="AA10" s="451">
        <f>Budget!G8</f>
        <v>6.8513789508235723E-2</v>
      </c>
      <c r="AB10" s="470">
        <f>C12</f>
        <v>664583.75822988653</v>
      </c>
      <c r="AC10" s="451">
        <v>1</v>
      </c>
      <c r="AD10" s="438" t="s">
        <v>265</v>
      </c>
      <c r="AE10" s="438" t="s">
        <v>489</v>
      </c>
      <c r="AF10" s="821">
        <f ca="1">R5</f>
        <v>5.043835616438356</v>
      </c>
      <c r="AH10" s="436"/>
      <c r="AI10" s="437"/>
      <c r="AJ10" s="468"/>
      <c r="AK10" s="439"/>
      <c r="AL10" s="438"/>
      <c r="AM10" s="439"/>
      <c r="AN10" s="460"/>
      <c r="AO10" s="451"/>
      <c r="AP10" s="438"/>
      <c r="AQ10" s="486"/>
      <c r="AR10" s="462"/>
      <c r="AT10" s="397" t="s">
        <v>278</v>
      </c>
      <c r="AU10" s="511" t="s">
        <v>480</v>
      </c>
      <c r="AW10" s="419" t="s">
        <v>481</v>
      </c>
      <c r="AX10" s="809">
        <f>AX9/AX8</f>
        <v>0.63009788813111456</v>
      </c>
      <c r="AZ10" s="541" t="s">
        <v>496</v>
      </c>
      <c r="BA10" s="801">
        <f>(BA9-BA8)/BA8</f>
        <v>3.12091842544155E-2</v>
      </c>
      <c r="BC10" s="851">
        <f t="shared" si="10"/>
        <v>7</v>
      </c>
      <c r="BD10" s="1049">
        <f>'Forward Curve'!A8</f>
        <v>45394</v>
      </c>
      <c r="BE10" s="829">
        <f t="shared" si="11"/>
        <v>6550000</v>
      </c>
      <c r="BF10" s="857">
        <f>'Forward Curve'!B8</f>
        <v>5.3499999999999999E-2</v>
      </c>
      <c r="BG10" s="852">
        <f t="shared" si="12"/>
        <v>1.9E-2</v>
      </c>
      <c r="BH10" s="857">
        <f t="shared" si="12"/>
        <v>2E-3</v>
      </c>
      <c r="BI10" s="857">
        <v>5.9999999999999995E-4</v>
      </c>
      <c r="BJ10" s="857">
        <f t="shared" ref="BJ10" si="31">BJ9</f>
        <v>1E-3</v>
      </c>
      <c r="BK10" s="831">
        <f t="shared" si="5"/>
        <v>7.6100000000000001E-2</v>
      </c>
      <c r="BL10" s="830">
        <f t="shared" si="6"/>
        <v>41537.916666666664</v>
      </c>
      <c r="BM10" s="853">
        <f t="shared" si="14"/>
        <v>4.1099999999999998E-2</v>
      </c>
      <c r="BN10" s="831">
        <f t="shared" si="14"/>
        <v>6.3700000000000007E-2</v>
      </c>
      <c r="BO10" s="830">
        <f t="shared" si="7"/>
        <v>34769.583333333336</v>
      </c>
      <c r="BP10" s="941">
        <f t="shared" si="0"/>
        <v>39798.253049404426</v>
      </c>
      <c r="BQ10" s="942">
        <f t="shared" si="1"/>
        <v>33313.386586689383</v>
      </c>
      <c r="BS10" s="541"/>
      <c r="BT10" s="800"/>
      <c r="CC10" s="385" t="s">
        <v>629</v>
      </c>
      <c r="CD10" s="1208">
        <v>0.7</v>
      </c>
      <c r="CE10" s="1203"/>
      <c r="CF10" s="1203" t="s">
        <v>575</v>
      </c>
      <c r="CG10" s="1203"/>
      <c r="CH10" s="1209">
        <f>CH9/$CD$13</f>
        <v>6.8814412713692319E-2</v>
      </c>
      <c r="CI10" s="1209">
        <f t="shared" ref="CI10:CL10" si="32">CI9/$CD$13</f>
        <v>7.2757367634632822E-2</v>
      </c>
      <c r="CJ10" s="1209">
        <f t="shared" si="32"/>
        <v>7.6779181653992154E-2</v>
      </c>
      <c r="CK10" s="1209">
        <f t="shared" si="32"/>
        <v>8.0881431953738647E-2</v>
      </c>
      <c r="CL10" s="1209">
        <f t="shared" si="32"/>
        <v>8.5065727259480098E-2</v>
      </c>
      <c r="CM10" s="1209">
        <f t="shared" ref="CM10:CQ10" si="33">CM9/$CD$13</f>
        <v>8.933370847133637E-2</v>
      </c>
      <c r="CN10" s="1209">
        <f t="shared" si="33"/>
        <v>9.3687049307429757E-2</v>
      </c>
      <c r="CO10" s="1209">
        <f t="shared" si="33"/>
        <v>9.8127456960244996E-2</v>
      </c>
      <c r="CP10" s="1209">
        <f t="shared" si="33"/>
        <v>0.10265667276611658</v>
      </c>
      <c r="CQ10" s="806">
        <f t="shared" si="33"/>
        <v>0.10727647288810557</v>
      </c>
      <c r="CS10" s="974"/>
      <c r="CT10" s="986"/>
      <c r="CU10" s="986"/>
      <c r="CV10" s="986"/>
      <c r="CW10" s="986"/>
      <c r="CX10" s="986"/>
      <c r="CY10" s="986"/>
      <c r="CZ10" s="986"/>
      <c r="DA10" s="986"/>
      <c r="DB10" s="986"/>
      <c r="DC10" s="986"/>
      <c r="DD10" s="987"/>
      <c r="DR10" s="382" t="s">
        <v>604</v>
      </c>
      <c r="DS10" s="412">
        <v>0</v>
      </c>
      <c r="DT10" s="412">
        <v>0</v>
      </c>
      <c r="DU10" s="412">
        <v>0</v>
      </c>
      <c r="DV10" s="412">
        <f>'Property CF'!AN139</f>
        <v>0</v>
      </c>
      <c r="DW10" s="903">
        <f>SUM(DT10:DV10)</f>
        <v>0</v>
      </c>
      <c r="DY10" s="1033">
        <f>DY9/7.33</f>
        <v>3.1357005869658234</v>
      </c>
      <c r="DZ10" s="1035" t="s">
        <v>698</v>
      </c>
      <c r="EA10" s="1035"/>
      <c r="EB10" s="1033">
        <f>EB9/10</f>
        <v>3.2245825314253289</v>
      </c>
      <c r="EC10" s="1035" t="s">
        <v>698</v>
      </c>
      <c r="EE10" s="1040">
        <f>EE9/7.33</f>
        <v>2.9333175573167449</v>
      </c>
      <c r="EF10" s="1038" t="s">
        <v>706</v>
      </c>
      <c r="EM10" s="403">
        <f t="shared" si="9"/>
        <v>8</v>
      </c>
    </row>
    <row r="11" spans="2:145" ht="15" thickBot="1" x14ac:dyDescent="0.4">
      <c r="B11" s="382"/>
      <c r="C11" s="383"/>
      <c r="D11" s="383"/>
      <c r="E11" s="383"/>
      <c r="F11" s="383"/>
      <c r="G11" s="383"/>
      <c r="H11" s="418"/>
      <c r="T11" s="436"/>
      <c r="U11" s="437" t="s">
        <v>488</v>
      </c>
      <c r="V11" s="438"/>
      <c r="W11" s="438"/>
      <c r="X11" s="438"/>
      <c r="Y11" s="438"/>
      <c r="Z11" s="453"/>
      <c r="AA11" s="438"/>
      <c r="AB11" s="461"/>
      <c r="AC11" s="438"/>
      <c r="AD11" s="438"/>
      <c r="AE11" s="438"/>
      <c r="AF11" s="462"/>
      <c r="AH11" s="436">
        <v>3</v>
      </c>
      <c r="AI11" s="437" t="s">
        <v>621</v>
      </c>
      <c r="AJ11" s="469" t="s">
        <v>622</v>
      </c>
      <c r="AK11" s="439">
        <v>22866</v>
      </c>
      <c r="AL11" s="496">
        <v>44621</v>
      </c>
      <c r="AM11" s="439">
        <v>22866</v>
      </c>
      <c r="AN11" s="460">
        <v>27</v>
      </c>
      <c r="AO11" s="451">
        <v>2.5000000000000001E-2</v>
      </c>
      <c r="AP11" s="438" t="s">
        <v>489</v>
      </c>
      <c r="AQ11" s="486">
        <v>15</v>
      </c>
      <c r="AR11" s="462" t="s">
        <v>205</v>
      </c>
      <c r="AW11" s="385"/>
      <c r="AX11" s="500"/>
      <c r="AZ11" s="541"/>
      <c r="BA11" s="800"/>
      <c r="BC11" s="851">
        <f t="shared" si="10"/>
        <v>8</v>
      </c>
      <c r="BD11" s="1049">
        <f>'Forward Curve'!A9</f>
        <v>45424</v>
      </c>
      <c r="BE11" s="829">
        <f t="shared" si="11"/>
        <v>6550000</v>
      </c>
      <c r="BF11" s="857">
        <f>'Forward Curve'!B9</f>
        <v>5.28E-2</v>
      </c>
      <c r="BG11" s="852">
        <f t="shared" si="12"/>
        <v>1.9E-2</v>
      </c>
      <c r="BH11" s="857">
        <f t="shared" si="12"/>
        <v>2E-3</v>
      </c>
      <c r="BI11" s="857">
        <v>5.9999999999999995E-4</v>
      </c>
      <c r="BJ11" s="857">
        <f t="shared" ref="BJ11" si="34">BJ10</f>
        <v>1E-3</v>
      </c>
      <c r="BK11" s="831">
        <f t="shared" si="5"/>
        <v>7.5400000000000009E-2</v>
      </c>
      <c r="BL11" s="830">
        <f t="shared" si="6"/>
        <v>42527.694444444453</v>
      </c>
      <c r="BM11" s="853">
        <f t="shared" si="14"/>
        <v>4.1099999999999998E-2</v>
      </c>
      <c r="BN11" s="831">
        <f t="shared" si="14"/>
        <v>6.3700000000000007E-2</v>
      </c>
      <c r="BO11" s="830">
        <f t="shared" si="7"/>
        <v>35928.569444444445</v>
      </c>
      <c r="BP11" s="941">
        <f t="shared" si="0"/>
        <v>40515.868307381075</v>
      </c>
      <c r="BQ11" s="942">
        <f t="shared" si="1"/>
        <v>34228.923225201244</v>
      </c>
      <c r="BS11" s="802" t="s">
        <v>538</v>
      </c>
      <c r="BT11" s="861">
        <f>(BT9-BT8)*(BT6/365)</f>
        <v>46453.373557928477</v>
      </c>
      <c r="BV11" s="946"/>
      <c r="CC11" s="385" t="s">
        <v>576</v>
      </c>
      <c r="CD11" s="1208">
        <f>1-CD10</f>
        <v>0.30000000000000004</v>
      </c>
      <c r="CE11" s="1203"/>
      <c r="CF11" s="1203" t="s">
        <v>562</v>
      </c>
      <c r="CG11" s="1203"/>
      <c r="CH11" s="1208">
        <f>AVERAGE(CH$10:$CH10)</f>
        <v>6.8814412713692319E-2</v>
      </c>
      <c r="CI11" s="1208">
        <f>AVERAGE($CH$10:CI10)</f>
        <v>7.0785890174162563E-2</v>
      </c>
      <c r="CJ11" s="1208">
        <f>AVERAGE($CH$10:CJ10)</f>
        <v>7.2783654000772427E-2</v>
      </c>
      <c r="CK11" s="1208">
        <f>AVERAGE($CH$10:CK10)</f>
        <v>7.4808098489013986E-2</v>
      </c>
      <c r="CL11" s="1208">
        <f>AVERAGE($CH$10:CL10)</f>
        <v>7.6859624243107202E-2</v>
      </c>
      <c r="CM11" s="1208">
        <f>AVERAGE($CH$10:CM10)</f>
        <v>7.8938638281145404E-2</v>
      </c>
      <c r="CN11" s="1208">
        <f>AVERAGE($CH$10:CN10)</f>
        <v>8.1045554142043161E-2</v>
      </c>
      <c r="CO11" s="1208">
        <f>AVERAGE($CH$10:CO10)</f>
        <v>8.3180791994318382E-2</v>
      </c>
      <c r="CP11" s="1208">
        <f>AVERAGE($CH$10:CP10)</f>
        <v>8.5344778746740402E-2</v>
      </c>
      <c r="CQ11" s="805">
        <f>AVERAGE($CH$10:CQ10)</f>
        <v>8.7537948160876927E-2</v>
      </c>
      <c r="CS11" s="974" t="s">
        <v>588</v>
      </c>
      <c r="CT11" s="988">
        <f>Budget!E31</f>
        <v>10395210.210000001</v>
      </c>
      <c r="CU11" s="988">
        <f t="shared" ref="CU11:DD11" si="35">CT11</f>
        <v>10395210.210000001</v>
      </c>
      <c r="CV11" s="988">
        <f t="shared" si="35"/>
        <v>10395210.210000001</v>
      </c>
      <c r="CW11" s="988">
        <f t="shared" si="35"/>
        <v>10395210.210000001</v>
      </c>
      <c r="CX11" s="988">
        <f t="shared" si="35"/>
        <v>10395210.210000001</v>
      </c>
      <c r="CY11" s="988">
        <f t="shared" si="35"/>
        <v>10395210.210000001</v>
      </c>
      <c r="CZ11" s="988">
        <f t="shared" si="35"/>
        <v>10395210.210000001</v>
      </c>
      <c r="DA11" s="988">
        <f t="shared" si="35"/>
        <v>10395210.210000001</v>
      </c>
      <c r="DB11" s="988">
        <f t="shared" si="35"/>
        <v>10395210.210000001</v>
      </c>
      <c r="DC11" s="988">
        <f t="shared" si="35"/>
        <v>10395210.210000001</v>
      </c>
      <c r="DD11" s="989">
        <f t="shared" si="35"/>
        <v>10395210.210000001</v>
      </c>
      <c r="DR11" s="904"/>
      <c r="DS11" s="412"/>
      <c r="DT11" s="412"/>
      <c r="DU11" s="412"/>
      <c r="DV11" s="412"/>
      <c r="DW11" s="418"/>
      <c r="EH11" s="1326" t="s">
        <v>708</v>
      </c>
      <c r="EI11" s="1326"/>
      <c r="EM11" s="403">
        <f t="shared" si="9"/>
        <v>9</v>
      </c>
    </row>
    <row r="12" spans="2:145" ht="15" thickBot="1" x14ac:dyDescent="0.4">
      <c r="B12" s="419" t="s">
        <v>95</v>
      </c>
      <c r="C12" s="420">
        <f>+C8-C10</f>
        <v>664583.75822988653</v>
      </c>
      <c r="D12" s="421">
        <f>+C12/SF</f>
        <v>35.436907232051112</v>
      </c>
      <c r="E12" s="420">
        <f>+E8-E10</f>
        <v>616955.25555674452</v>
      </c>
      <c r="F12" s="421">
        <f>+E12/SF</f>
        <v>32.897262213754104</v>
      </c>
      <c r="G12" s="420">
        <f>+G8-G10</f>
        <v>616955.25555674464</v>
      </c>
      <c r="H12" s="422">
        <f>+G12/SF</f>
        <v>32.897262213754111</v>
      </c>
      <c r="T12" s="457"/>
      <c r="U12" s="463"/>
      <c r="V12" s="464"/>
      <c r="W12" s="464"/>
      <c r="X12" s="464"/>
      <c r="Y12" s="464"/>
      <c r="Z12" s="465"/>
      <c r="AA12" s="464"/>
      <c r="AB12" s="466"/>
      <c r="AC12" s="464"/>
      <c r="AD12" s="464"/>
      <c r="AE12" s="464"/>
      <c r="AF12" s="467"/>
      <c r="AH12" s="436"/>
      <c r="AI12" s="437" t="s">
        <v>623</v>
      </c>
      <c r="AJ12" s="468"/>
      <c r="AK12" s="439"/>
      <c r="AL12" s="438"/>
      <c r="AM12" s="439"/>
      <c r="AN12" s="461"/>
      <c r="AO12" s="451"/>
      <c r="AP12" s="438"/>
      <c r="AQ12" s="486"/>
      <c r="AR12" s="462"/>
      <c r="AT12" s="503" t="s">
        <v>563</v>
      </c>
      <c r="AU12" s="505"/>
      <c r="AW12" s="385" t="s">
        <v>262</v>
      </c>
      <c r="AX12" s="804">
        <f>AX4</f>
        <v>664583.75822988653</v>
      </c>
      <c r="AZ12" s="541" t="s">
        <v>497</v>
      </c>
      <c r="BA12" s="801">
        <f>(BA9-BA4)/BA4</f>
        <v>0.2190194541438038</v>
      </c>
      <c r="BC12" s="851">
        <f t="shared" si="10"/>
        <v>9</v>
      </c>
      <c r="BD12" s="1049">
        <f>'Forward Curve'!A10</f>
        <v>45455</v>
      </c>
      <c r="BE12" s="829">
        <f t="shared" si="11"/>
        <v>6550000</v>
      </c>
      <c r="BF12" s="857">
        <f>'Forward Curve'!B10</f>
        <v>5.21E-2</v>
      </c>
      <c r="BG12" s="852">
        <f t="shared" si="12"/>
        <v>1.9E-2</v>
      </c>
      <c r="BH12" s="857">
        <f t="shared" si="12"/>
        <v>2E-3</v>
      </c>
      <c r="BI12" s="857">
        <v>5.9999999999999995E-4</v>
      </c>
      <c r="BJ12" s="857">
        <f t="shared" ref="BJ12" si="36">BJ11</f>
        <v>1E-3</v>
      </c>
      <c r="BK12" s="831">
        <f t="shared" si="5"/>
        <v>7.4700000000000003E-2</v>
      </c>
      <c r="BL12" s="830">
        <f t="shared" si="6"/>
        <v>40773.75</v>
      </c>
      <c r="BM12" s="853">
        <f t="shared" si="14"/>
        <v>4.1099999999999998E-2</v>
      </c>
      <c r="BN12" s="831">
        <f t="shared" si="14"/>
        <v>6.3700000000000007E-2</v>
      </c>
      <c r="BO12" s="830">
        <f t="shared" si="7"/>
        <v>34769.583333333336</v>
      </c>
      <c r="BP12" s="941">
        <f t="shared" si="0"/>
        <v>38629.155969642059</v>
      </c>
      <c r="BQ12" s="942">
        <f t="shared" si="1"/>
        <v>32940.792975451128</v>
      </c>
      <c r="BT12" s="514"/>
      <c r="CC12" s="385" t="s">
        <v>82</v>
      </c>
      <c r="CD12" s="1206">
        <f>CD9*CD10</f>
        <v>8197062.7094016997</v>
      </c>
      <c r="CE12" s="1203"/>
      <c r="CF12" s="1203"/>
      <c r="CG12" s="1203"/>
      <c r="CH12" s="1203"/>
      <c r="CI12" s="1203"/>
      <c r="CJ12" s="1203"/>
      <c r="CK12" s="1203"/>
      <c r="CL12" s="1203"/>
      <c r="CM12" s="1203"/>
      <c r="CN12" s="1203"/>
      <c r="CO12" s="1203"/>
      <c r="CP12" s="1203"/>
      <c r="CQ12" s="500"/>
      <c r="CS12" s="974"/>
      <c r="CT12" s="986"/>
      <c r="CU12" s="986"/>
      <c r="CV12" s="986"/>
      <c r="CW12" s="986"/>
      <c r="CX12" s="986"/>
      <c r="CY12" s="986"/>
      <c r="CZ12" s="986"/>
      <c r="DA12" s="986"/>
      <c r="DB12" s="986"/>
      <c r="DC12" s="986"/>
      <c r="DD12" s="987"/>
      <c r="DR12" s="382" t="s">
        <v>605</v>
      </c>
      <c r="DS12" s="415">
        <f>SUM(DS7:DS10)</f>
        <v>-3551440.2100000009</v>
      </c>
      <c r="DT12" s="415">
        <f>SUM(DT7:DT10)</f>
        <v>134737.81619793654</v>
      </c>
      <c r="DU12" s="415">
        <f>SUM(DU7:DU10)</f>
        <v>192817.68540413922</v>
      </c>
      <c r="DV12" s="415">
        <f>SUM(DV7:DV10)</f>
        <v>4031917.6322477018</v>
      </c>
      <c r="DW12" s="905">
        <f>SUM(DW7:DW10)</f>
        <v>808032.92384977685</v>
      </c>
      <c r="EE12" s="1325" t="s">
        <v>701</v>
      </c>
      <c r="EF12" s="1325"/>
      <c r="EG12" s="1325"/>
      <c r="EH12" s="1325"/>
      <c r="EI12" s="1325"/>
      <c r="EJ12" s="1325"/>
      <c r="EK12" s="1325"/>
      <c r="EL12" s="1325"/>
      <c r="EM12" s="403">
        <f t="shared" si="9"/>
        <v>10</v>
      </c>
    </row>
    <row r="13" spans="2:145" ht="15" thickBot="1" x14ac:dyDescent="0.4">
      <c r="B13" s="423" t="s">
        <v>198</v>
      </c>
      <c r="C13" s="424">
        <v>1</v>
      </c>
      <c r="D13" s="424"/>
      <c r="E13" s="424">
        <v>1</v>
      </c>
      <c r="F13" s="424"/>
      <c r="G13" s="424">
        <v>1</v>
      </c>
      <c r="H13" s="911"/>
      <c r="I13" s="426"/>
      <c r="J13" s="483"/>
      <c r="T13" s="405"/>
      <c r="U13" s="405"/>
      <c r="V13" s="407"/>
      <c r="W13" s="407"/>
      <c r="X13" s="407"/>
      <c r="Y13" s="407"/>
      <c r="Z13" s="407"/>
      <c r="AA13" s="407"/>
      <c r="AB13" s="407"/>
      <c r="AC13" s="407"/>
      <c r="AD13" s="407"/>
      <c r="AE13" s="407"/>
      <c r="AF13" s="407"/>
      <c r="AH13" s="436"/>
      <c r="AI13" s="437"/>
      <c r="AJ13" s="468"/>
      <c r="AK13" s="439"/>
      <c r="AL13" s="438"/>
      <c r="AM13" s="439"/>
      <c r="AN13" s="461"/>
      <c r="AO13" s="451"/>
      <c r="AP13" s="438"/>
      <c r="AQ13" s="486"/>
      <c r="AR13" s="462"/>
      <c r="AT13" s="506" t="s">
        <v>564</v>
      </c>
      <c r="AU13" s="507"/>
      <c r="AW13" s="385" t="s">
        <v>76</v>
      </c>
      <c r="AX13" s="805">
        <f>BN4</f>
        <v>6.3700000000000007E-2</v>
      </c>
      <c r="AZ13" s="541" t="s">
        <v>498</v>
      </c>
      <c r="BA13" s="799">
        <f>(1+BA12)*BA6</f>
        <v>35.436907232051112</v>
      </c>
      <c r="BC13" s="851">
        <f t="shared" si="10"/>
        <v>10</v>
      </c>
      <c r="BD13" s="1049">
        <f>'Forward Curve'!A11</f>
        <v>45485</v>
      </c>
      <c r="BE13" s="829">
        <f t="shared" si="11"/>
        <v>6550000</v>
      </c>
      <c r="BF13" s="857">
        <f>'Forward Curve'!B11</f>
        <v>5.1299999999999998E-2</v>
      </c>
      <c r="BG13" s="852">
        <f t="shared" si="12"/>
        <v>1.9E-2</v>
      </c>
      <c r="BH13" s="857">
        <f t="shared" si="12"/>
        <v>2E-3</v>
      </c>
      <c r="BI13" s="857">
        <v>5.9999999999999995E-4</v>
      </c>
      <c r="BJ13" s="857">
        <f t="shared" ref="BJ13" si="37">BJ12</f>
        <v>1E-3</v>
      </c>
      <c r="BK13" s="831">
        <f t="shared" si="5"/>
        <v>7.3900000000000007E-2</v>
      </c>
      <c r="BL13" s="830">
        <f t="shared" si="6"/>
        <v>41681.652777777781</v>
      </c>
      <c r="BM13" s="853">
        <f t="shared" si="14"/>
        <v>4.1099999999999998E-2</v>
      </c>
      <c r="BN13" s="831">
        <f t="shared" si="14"/>
        <v>6.3700000000000007E-2</v>
      </c>
      <c r="BO13" s="830">
        <f t="shared" si="7"/>
        <v>35928.569444444445</v>
      </c>
      <c r="BP13" s="941">
        <f t="shared" si="0"/>
        <v>39277.30936953835</v>
      </c>
      <c r="BQ13" s="942">
        <f t="shared" si="1"/>
        <v>33856.083989710321</v>
      </c>
      <c r="BS13" s="523"/>
      <c r="CC13" s="385" t="s">
        <v>577</v>
      </c>
      <c r="CD13" s="1206">
        <f>CD9-CD12</f>
        <v>3513026.8754578726</v>
      </c>
      <c r="CE13" s="1203"/>
      <c r="CF13" s="1203" t="s">
        <v>578</v>
      </c>
      <c r="CG13" s="1203"/>
      <c r="CH13" s="1203"/>
      <c r="CI13" s="1203"/>
      <c r="CJ13" s="1203"/>
      <c r="CK13" s="1203"/>
      <c r="CL13" s="1206"/>
      <c r="CM13" s="1206"/>
      <c r="CN13" s="1206"/>
      <c r="CO13" s="1206"/>
      <c r="CP13" s="1206"/>
      <c r="CQ13" s="501"/>
      <c r="CS13" s="974" t="s">
        <v>584</v>
      </c>
      <c r="CT13" s="990">
        <f t="shared" ref="CT13:DD13" si="38">CT9-CT11</f>
        <v>1018696.8283554688</v>
      </c>
      <c r="CU13" s="990">
        <f t="shared" si="38"/>
        <v>920052.74083160236</v>
      </c>
      <c r="CV13" s="990">
        <f t="shared" si="38"/>
        <v>823094.87702609226</v>
      </c>
      <c r="CW13" s="990">
        <f t="shared" si="38"/>
        <v>727780.36684440635</v>
      </c>
      <c r="CX13" s="990">
        <f t="shared" si="38"/>
        <v>634067.78120358661</v>
      </c>
      <c r="CY13" s="990">
        <f t="shared" si="38"/>
        <v>541917.07199011557</v>
      </c>
      <c r="CZ13" s="990">
        <f t="shared" si="38"/>
        <v>451289.51499504782</v>
      </c>
      <c r="DA13" s="990">
        <f t="shared" si="38"/>
        <v>362147.65565563738</v>
      </c>
      <c r="DB13" s="990">
        <f t="shared" si="38"/>
        <v>274455.25744369626</v>
      </c>
      <c r="DC13" s="990">
        <f t="shared" si="38"/>
        <v>188177.25275130384</v>
      </c>
      <c r="DD13" s="991">
        <f t="shared" si="38"/>
        <v>103279.69613398984</v>
      </c>
      <c r="DR13" s="382"/>
      <c r="DS13" s="383"/>
      <c r="DT13" s="412"/>
      <c r="DU13" s="412"/>
      <c r="DV13" s="412"/>
      <c r="DW13" s="903"/>
      <c r="EE13" s="1038" t="s">
        <v>514</v>
      </c>
      <c r="EF13" s="1038" t="s">
        <v>703</v>
      </c>
      <c r="EG13" s="1039">
        <v>45291</v>
      </c>
      <c r="EH13" s="1039">
        <f>EOMONTH(EG13,12)</f>
        <v>45657</v>
      </c>
      <c r="EI13" s="1039">
        <f t="shared" ref="EI13:EL13" si="39">EOMONTH(EH13,12)</f>
        <v>46022</v>
      </c>
      <c r="EJ13" s="1039">
        <f t="shared" si="39"/>
        <v>46387</v>
      </c>
      <c r="EK13" s="1039">
        <f t="shared" si="39"/>
        <v>46752</v>
      </c>
      <c r="EL13" s="1039">
        <f t="shared" si="39"/>
        <v>47118</v>
      </c>
    </row>
    <row r="14" spans="2:145" ht="15" thickBot="1" x14ac:dyDescent="0.4">
      <c r="B14" s="382"/>
      <c r="C14" s="427"/>
      <c r="D14" s="427"/>
      <c r="E14" s="427"/>
      <c r="F14" s="427"/>
      <c r="G14" s="427"/>
      <c r="H14" s="425"/>
      <c r="I14" s="428"/>
      <c r="AH14" s="436">
        <v>4</v>
      </c>
      <c r="AI14" s="437" t="s">
        <v>624</v>
      </c>
      <c r="AJ14" s="468">
        <v>2002</v>
      </c>
      <c r="AK14" s="439">
        <v>8400</v>
      </c>
      <c r="AL14" s="496">
        <v>44166</v>
      </c>
      <c r="AM14" s="439">
        <v>2400</v>
      </c>
      <c r="AN14" s="460">
        <v>31</v>
      </c>
      <c r="AO14" s="451">
        <v>0.02</v>
      </c>
      <c r="AP14" s="441" t="s">
        <v>625</v>
      </c>
      <c r="AQ14" s="486">
        <v>5</v>
      </c>
      <c r="AR14" s="462" t="s">
        <v>205</v>
      </c>
      <c r="AT14" s="379"/>
      <c r="AU14" s="410"/>
      <c r="AW14" s="385" t="s">
        <v>324</v>
      </c>
      <c r="AX14" s="500">
        <v>324</v>
      </c>
      <c r="AZ14" s="802" t="s">
        <v>499</v>
      </c>
      <c r="BA14" s="1098">
        <f>BA13*SF</f>
        <v>664583.75822988653</v>
      </c>
      <c r="BC14" s="851">
        <f t="shared" si="10"/>
        <v>11</v>
      </c>
      <c r="BD14" s="1049">
        <f>'Forward Curve'!A12</f>
        <v>45516</v>
      </c>
      <c r="BE14" s="829">
        <f t="shared" si="11"/>
        <v>6550000</v>
      </c>
      <c r="BF14" s="857">
        <f>'Forward Curve'!B12</f>
        <v>5.0799999999999998E-2</v>
      </c>
      <c r="BG14" s="852">
        <f t="shared" si="12"/>
        <v>1.9E-2</v>
      </c>
      <c r="BH14" s="857">
        <f t="shared" si="12"/>
        <v>2E-3</v>
      </c>
      <c r="BI14" s="857">
        <v>5.9999999999999995E-4</v>
      </c>
      <c r="BJ14" s="857">
        <f t="shared" ref="BJ14" si="40">BJ13</f>
        <v>1E-3</v>
      </c>
      <c r="BK14" s="831">
        <f t="shared" si="5"/>
        <v>7.3400000000000007E-2</v>
      </c>
      <c r="BL14" s="830">
        <f t="shared" si="6"/>
        <v>41399.638888888891</v>
      </c>
      <c r="BM14" s="853">
        <f t="shared" si="14"/>
        <v>4.1099999999999998E-2</v>
      </c>
      <c r="BN14" s="831">
        <f t="shared" si="14"/>
        <v>6.3700000000000007E-2</v>
      </c>
      <c r="BO14" s="830">
        <f t="shared" si="7"/>
        <v>35928.569444444445</v>
      </c>
      <c r="BP14" s="941">
        <f t="shared" si="0"/>
        <v>38797.025291247242</v>
      </c>
      <c r="BQ14" s="942">
        <f t="shared" si="1"/>
        <v>33669.897970741818</v>
      </c>
      <c r="CC14" s="385"/>
      <c r="CD14" s="1206"/>
      <c r="CE14" s="1203"/>
      <c r="CF14" s="1203"/>
      <c r="CG14" s="1203"/>
      <c r="CH14" s="1203"/>
      <c r="CI14" s="1203"/>
      <c r="CJ14" s="1203"/>
      <c r="CK14" s="1203"/>
      <c r="CL14" s="1203"/>
      <c r="CM14" s="1203"/>
      <c r="CN14" s="1203"/>
      <c r="CO14" s="1203"/>
      <c r="CP14" s="1203"/>
      <c r="CQ14" s="500"/>
      <c r="CS14" s="992" t="s">
        <v>589</v>
      </c>
      <c r="CT14" s="993">
        <f>-'Property CF'!AL128-'Property CF'!AL129</f>
        <v>612566.72580007266</v>
      </c>
      <c r="CU14" s="993">
        <f>CT14</f>
        <v>612566.72580007266</v>
      </c>
      <c r="CV14" s="993">
        <f t="shared" ref="CV14:DD14" si="41">CU14</f>
        <v>612566.72580007266</v>
      </c>
      <c r="CW14" s="993">
        <f t="shared" si="41"/>
        <v>612566.72580007266</v>
      </c>
      <c r="CX14" s="993">
        <f t="shared" si="41"/>
        <v>612566.72580007266</v>
      </c>
      <c r="CY14" s="993">
        <f t="shared" si="41"/>
        <v>612566.72580007266</v>
      </c>
      <c r="CZ14" s="993">
        <f t="shared" si="41"/>
        <v>612566.72580007266</v>
      </c>
      <c r="DA14" s="993">
        <f t="shared" si="41"/>
        <v>612566.72580007266</v>
      </c>
      <c r="DB14" s="993">
        <f t="shared" si="41"/>
        <v>612566.72580007266</v>
      </c>
      <c r="DC14" s="993">
        <f t="shared" si="41"/>
        <v>612566.72580007266</v>
      </c>
      <c r="DD14" s="994">
        <f t="shared" si="41"/>
        <v>612566.72580007266</v>
      </c>
      <c r="DR14" s="382" t="s">
        <v>32</v>
      </c>
      <c r="DS14" s="906">
        <f>'Property CF'!BJ28</f>
        <v>8.9599493145942719E-2</v>
      </c>
      <c r="DT14" s="412"/>
      <c r="DU14" s="412"/>
      <c r="DV14" s="412"/>
      <c r="DW14" s="903"/>
      <c r="EE14" s="1026">
        <f>EG14+NPV(0.07,EH14:EL14)</f>
        <v>351190.15921223821</v>
      </c>
      <c r="EF14" s="403" t="s">
        <v>695</v>
      </c>
      <c r="EG14" s="1032">
        <f>BA14/6</f>
        <v>110763.95970498108</v>
      </c>
      <c r="EH14" s="1032">
        <f>EG14*1.02/2</f>
        <v>56489.619449540354</v>
      </c>
      <c r="EI14" s="1032">
        <f>EH14*1.02</f>
        <v>57619.411838531159</v>
      </c>
      <c r="EJ14" s="1032">
        <f t="shared" ref="EJ14:EL14" si="42">EI14*1.02</f>
        <v>58771.800075301784</v>
      </c>
      <c r="EK14" s="1032">
        <f t="shared" si="42"/>
        <v>59947.236076807822</v>
      </c>
      <c r="EL14" s="1032">
        <f t="shared" si="42"/>
        <v>61146.180798343979</v>
      </c>
    </row>
    <row r="15" spans="2:145" x14ac:dyDescent="0.35">
      <c r="B15" s="429" t="s">
        <v>609</v>
      </c>
      <c r="C15" s="412">
        <f>SUM(BO4:BO15)</f>
        <v>424188.91666666663</v>
      </c>
      <c r="D15" s="413">
        <f>+C15/SF</f>
        <v>22.618583591056129</v>
      </c>
      <c r="E15" s="412">
        <f>SUM(BO16:BO27)</f>
        <v>423029.9305555555</v>
      </c>
      <c r="F15" s="413">
        <f>+E15/SF</f>
        <v>22.556784182337395</v>
      </c>
      <c r="G15" s="412">
        <f>SUM(BO28:BO39)</f>
        <v>423029.9305555555</v>
      </c>
      <c r="H15" s="414">
        <f>+G15/SF</f>
        <v>22.556784182337395</v>
      </c>
      <c r="AH15" s="436"/>
      <c r="AI15" s="437" t="s">
        <v>626</v>
      </c>
      <c r="AJ15" s="468"/>
      <c r="AK15" s="439"/>
      <c r="AL15" s="438"/>
      <c r="AM15" s="439"/>
      <c r="AN15" s="461"/>
      <c r="AO15" s="451"/>
      <c r="AP15" s="438"/>
      <c r="AQ15" s="486"/>
      <c r="AR15" s="462"/>
      <c r="AT15" s="382" t="s">
        <v>46</v>
      </c>
      <c r="AU15" s="886">
        <f>AX22</f>
        <v>0</v>
      </c>
      <c r="AW15" s="385" t="s">
        <v>484</v>
      </c>
      <c r="AX15" s="806">
        <f>(AX13/12)/(1 - (1 / (1 + AX13/12))^AX14)*12</f>
        <v>7.7673504697953796E-2</v>
      </c>
      <c r="BC15" s="851">
        <f t="shared" si="10"/>
        <v>12</v>
      </c>
      <c r="BD15" s="1049">
        <f>'Forward Curve'!A13</f>
        <v>45547</v>
      </c>
      <c r="BE15" s="829">
        <f t="shared" si="11"/>
        <v>6550000</v>
      </c>
      <c r="BF15" s="857">
        <f>'Forward Curve'!B13</f>
        <v>4.9399999999999999E-2</v>
      </c>
      <c r="BG15" s="852">
        <f t="shared" si="12"/>
        <v>1.9E-2</v>
      </c>
      <c r="BH15" s="857">
        <f t="shared" si="12"/>
        <v>2E-3</v>
      </c>
      <c r="BI15" s="857">
        <v>5.9999999999999995E-4</v>
      </c>
      <c r="BJ15" s="857">
        <f t="shared" ref="BJ15" si="43">BJ14</f>
        <v>1E-3</v>
      </c>
      <c r="BK15" s="831">
        <f t="shared" si="5"/>
        <v>7.2000000000000008E-2</v>
      </c>
      <c r="BL15" s="830">
        <f t="shared" si="6"/>
        <v>39300</v>
      </c>
      <c r="BM15" s="853">
        <f t="shared" si="14"/>
        <v>4.1099999999999998E-2</v>
      </c>
      <c r="BN15" s="831">
        <f t="shared" si="14"/>
        <v>6.3700000000000007E-2</v>
      </c>
      <c r="BO15" s="830">
        <f t="shared" si="7"/>
        <v>34769.583333333336</v>
      </c>
      <c r="BP15" s="941">
        <f t="shared" si="0"/>
        <v>36660.447761194031</v>
      </c>
      <c r="BQ15" s="942">
        <f t="shared" si="1"/>
        <v>32434.312810945274</v>
      </c>
      <c r="BS15" s="523"/>
      <c r="CC15" s="385" t="s">
        <v>307</v>
      </c>
      <c r="CD15" s="1208">
        <f>'Property CF'!AS14+0.25%</f>
        <v>6.2E-2</v>
      </c>
      <c r="CE15" s="1203"/>
      <c r="CF15" s="1210" t="s">
        <v>579</v>
      </c>
      <c r="CG15" s="1211">
        <f>-CD13</f>
        <v>-3513026.8754578726</v>
      </c>
      <c r="CH15" s="1211">
        <f>CH9</f>
        <v>241746.88128205104</v>
      </c>
      <c r="CI15" s="1211">
        <f>CI9</f>
        <v>255598.58788803389</v>
      </c>
      <c r="CJ15" s="1211">
        <f>CJ9</f>
        <v>269727.32862613647</v>
      </c>
      <c r="CK15" s="1211">
        <f>CK9</f>
        <v>284138.64417900104</v>
      </c>
      <c r="CL15" s="1211">
        <f>CL9+CL13</f>
        <v>298838.18604292296</v>
      </c>
      <c r="CM15" s="1211">
        <f t="shared" ref="CM15:CP15" si="44">CM9+CM13</f>
        <v>313831.7187441233</v>
      </c>
      <c r="CN15" s="1211">
        <f t="shared" si="44"/>
        <v>329125.12209934759</v>
      </c>
      <c r="CO15" s="1211">
        <f t="shared" si="44"/>
        <v>344724.39352167636</v>
      </c>
      <c r="CP15" s="1211">
        <f t="shared" si="44"/>
        <v>360635.65037245181</v>
      </c>
      <c r="CQ15" s="1212">
        <f>CQ9+CQ13+CD19</f>
        <v>5456434.8694062969</v>
      </c>
      <c r="DR15" s="382" t="s">
        <v>562</v>
      </c>
      <c r="DS15" s="906">
        <f>'Property CF'!BJ29</f>
        <v>0</v>
      </c>
      <c r="DT15" s="412"/>
      <c r="DU15" s="412"/>
      <c r="DV15" s="412"/>
      <c r="DW15" s="903"/>
      <c r="DZ15" s="936"/>
      <c r="EA15" s="936"/>
      <c r="EE15" s="1026">
        <f t="shared" ref="EE15:EE16" si="45">EG15+NPV(0.07,EH15:EJ15)</f>
        <v>180801.81675255479</v>
      </c>
      <c r="EF15" s="403" t="s">
        <v>702</v>
      </c>
      <c r="EG15" s="936">
        <v>0</v>
      </c>
      <c r="EH15" s="936">
        <v>100000</v>
      </c>
      <c r="EI15" s="936">
        <v>100000</v>
      </c>
      <c r="EJ15" s="936">
        <v>0</v>
      </c>
      <c r="EK15" s="936">
        <v>0</v>
      </c>
      <c r="EL15" s="936">
        <v>0</v>
      </c>
    </row>
    <row r="16" spans="2:145" ht="15" thickBot="1" x14ac:dyDescent="0.4">
      <c r="B16" s="423" t="s">
        <v>197</v>
      </c>
      <c r="C16" s="430">
        <f>+C12/C15</f>
        <v>1.5667164607983508</v>
      </c>
      <c r="D16" s="431"/>
      <c r="E16" s="430">
        <f>+E12/E15</f>
        <v>1.4584198681793303</v>
      </c>
      <c r="F16" s="431"/>
      <c r="G16" s="430">
        <f>+G12/G15</f>
        <v>1.4584198681793306</v>
      </c>
      <c r="H16" s="912"/>
      <c r="AH16" s="436"/>
      <c r="AI16" s="437"/>
      <c r="AJ16" s="468"/>
      <c r="AK16" s="439"/>
      <c r="AL16" s="438"/>
      <c r="AM16" s="439"/>
      <c r="AN16" s="461"/>
      <c r="AO16" s="451"/>
      <c r="AP16" s="438"/>
      <c r="AQ16" s="486"/>
      <c r="AR16" s="462"/>
      <c r="AT16" s="382" t="s">
        <v>99</v>
      </c>
      <c r="AU16" s="509" t="s">
        <v>478</v>
      </c>
      <c r="AW16" s="385" t="s">
        <v>485</v>
      </c>
      <c r="AX16" s="804">
        <f>AX9*AX15</f>
        <v>508761.45577159739</v>
      </c>
      <c r="AZ16" s="951"/>
      <c r="BA16" s="1096"/>
      <c r="BC16" s="851">
        <f t="shared" si="10"/>
        <v>13</v>
      </c>
      <c r="BD16" s="1049">
        <f>'Forward Curve'!A14</f>
        <v>45577</v>
      </c>
      <c r="BE16" s="829">
        <f t="shared" si="11"/>
        <v>6550000</v>
      </c>
      <c r="BF16" s="857">
        <f>'Forward Curve'!B14</f>
        <v>4.6199999999999998E-2</v>
      </c>
      <c r="BG16" s="852">
        <f t="shared" si="12"/>
        <v>1.9E-2</v>
      </c>
      <c r="BH16" s="857">
        <f t="shared" si="12"/>
        <v>2E-3</v>
      </c>
      <c r="BI16" s="857">
        <v>5.9999999999999995E-4</v>
      </c>
      <c r="BJ16" s="857">
        <f t="shared" ref="BJ16" si="46">BJ15</f>
        <v>1E-3</v>
      </c>
      <c r="BK16" s="831">
        <f t="shared" si="5"/>
        <v>6.88E-2</v>
      </c>
      <c r="BL16" s="830">
        <f t="shared" si="6"/>
        <v>38805.111111111109</v>
      </c>
      <c r="BM16" s="853">
        <f t="shared" si="14"/>
        <v>4.1099999999999998E-2</v>
      </c>
      <c r="BN16" s="831">
        <f t="shared" si="14"/>
        <v>6.3700000000000007E-2</v>
      </c>
      <c r="BO16" s="830">
        <f t="shared" si="7"/>
        <v>35928.569444444445</v>
      </c>
      <c r="BP16" s="941">
        <f t="shared" si="0"/>
        <v>36106.421611864374</v>
      </c>
      <c r="BQ16" s="942">
        <f t="shared" si="1"/>
        <v>33429.928149356987</v>
      </c>
      <c r="CC16" s="385" t="s">
        <v>580</v>
      </c>
      <c r="CD16" s="1206">
        <f>(CQ7*1.02)/CD15</f>
        <v>13617058.919433594</v>
      </c>
      <c r="CE16" s="1203"/>
      <c r="CF16" s="1213" t="s">
        <v>32</v>
      </c>
      <c r="CG16" s="1214">
        <f>XIRR(CG15:CQ15,CG4:CQ4)</f>
        <v>0.11420894265174866</v>
      </c>
      <c r="CH16" s="1203"/>
      <c r="CI16" s="1203"/>
      <c r="CJ16" s="1203"/>
      <c r="CK16" s="1203"/>
      <c r="CL16" s="1203"/>
      <c r="CM16" s="1203"/>
      <c r="CN16" s="1203"/>
      <c r="CO16" s="1203"/>
      <c r="CP16" s="1203"/>
      <c r="CQ16" s="500"/>
      <c r="DR16" s="397" t="s">
        <v>37</v>
      </c>
      <c r="DS16" s="907">
        <f>'Property CF'!BJ30</f>
        <v>1.2056383681260932</v>
      </c>
      <c r="DT16" s="899"/>
      <c r="DU16" s="899"/>
      <c r="DV16" s="899"/>
      <c r="DW16" s="900"/>
      <c r="DZ16" s="946"/>
      <c r="EA16" s="946"/>
      <c r="EB16" s="1032"/>
      <c r="EC16" s="949"/>
      <c r="EE16" s="1026">
        <f t="shared" si="45"/>
        <v>0</v>
      </c>
      <c r="EF16" s="403" t="s">
        <v>699</v>
      </c>
      <c r="EG16" s="936">
        <f>DY15</f>
        <v>0</v>
      </c>
      <c r="EH16" s="936">
        <v>0</v>
      </c>
      <c r="EI16" s="936">
        <v>0</v>
      </c>
      <c r="EJ16" s="936">
        <v>0</v>
      </c>
      <c r="EK16" s="936">
        <v>0</v>
      </c>
      <c r="EL16" s="936">
        <v>0</v>
      </c>
    </row>
    <row r="17" spans="2:142" ht="14.5" customHeight="1" thickBot="1" x14ac:dyDescent="0.4">
      <c r="B17" s="382"/>
      <c r="C17" s="431"/>
      <c r="D17" s="431"/>
      <c r="E17" s="431"/>
      <c r="F17" s="431"/>
      <c r="G17" s="431"/>
      <c r="H17" s="912"/>
      <c r="AH17" s="436">
        <v>5</v>
      </c>
      <c r="AI17" s="437" t="s">
        <v>627</v>
      </c>
      <c r="AJ17" s="468">
        <v>2001</v>
      </c>
      <c r="AK17" s="439">
        <v>28860</v>
      </c>
      <c r="AL17" s="441">
        <v>43831</v>
      </c>
      <c r="AM17" s="439">
        <v>20000</v>
      </c>
      <c r="AN17" s="460">
        <v>30</v>
      </c>
      <c r="AO17" s="451">
        <v>0.02</v>
      </c>
      <c r="AP17" s="441" t="s">
        <v>625</v>
      </c>
      <c r="AQ17" s="486">
        <v>10</v>
      </c>
      <c r="AR17" s="462" t="s">
        <v>205</v>
      </c>
      <c r="AT17" s="382" t="s">
        <v>76</v>
      </c>
      <c r="AU17" s="510" t="s">
        <v>567</v>
      </c>
      <c r="AW17" s="810" t="s">
        <v>486</v>
      </c>
      <c r="AX17" s="811">
        <f>AX4/AX16</f>
        <v>1.3062777273918402</v>
      </c>
      <c r="AZ17" s="1063"/>
      <c r="BA17" s="1096"/>
      <c r="BC17" s="851">
        <f t="shared" si="10"/>
        <v>14</v>
      </c>
      <c r="BD17" s="1049">
        <f>'Forward Curve'!A15</f>
        <v>45608</v>
      </c>
      <c r="BE17" s="829">
        <f t="shared" si="11"/>
        <v>6550000</v>
      </c>
      <c r="BF17" s="857">
        <f>'Forward Curve'!B15</f>
        <v>4.6199999999999998E-2</v>
      </c>
      <c r="BG17" s="852">
        <f t="shared" si="12"/>
        <v>1.9E-2</v>
      </c>
      <c r="BH17" s="857">
        <f t="shared" si="12"/>
        <v>2E-3</v>
      </c>
      <c r="BI17" s="857">
        <v>5.9999999999999995E-4</v>
      </c>
      <c r="BJ17" s="857">
        <f t="shared" ref="BJ17" si="47">BJ16</f>
        <v>1E-3</v>
      </c>
      <c r="BK17" s="831">
        <f t="shared" si="5"/>
        <v>6.88E-2</v>
      </c>
      <c r="BL17" s="830">
        <f t="shared" si="6"/>
        <v>37553.333333333336</v>
      </c>
      <c r="BM17" s="853">
        <f t="shared" si="14"/>
        <v>4.1099999999999998E-2</v>
      </c>
      <c r="BN17" s="831">
        <f t="shared" si="14"/>
        <v>6.3700000000000007E-2</v>
      </c>
      <c r="BO17" s="830">
        <f t="shared" si="7"/>
        <v>34769.583333333336</v>
      </c>
      <c r="BP17" s="941">
        <f t="shared" si="0"/>
        <v>34748.492867986482</v>
      </c>
      <c r="BQ17" s="942">
        <f t="shared" si="1"/>
        <v>32172.659821086323</v>
      </c>
      <c r="CC17" s="385" t="s">
        <v>276</v>
      </c>
      <c r="CD17" s="1208">
        <v>2.5000000000000001E-2</v>
      </c>
      <c r="CE17" s="1203"/>
      <c r="CF17" s="1213" t="s">
        <v>37</v>
      </c>
      <c r="CG17" s="1215">
        <f>SUMIF(CG15:CQ15,"&gt;0")/-(SUMIF(CG15:CQ15,"&lt;0"))</f>
        <v>2.321303443230613</v>
      </c>
      <c r="CH17" s="1203"/>
      <c r="CI17" s="1203"/>
      <c r="CJ17" s="1203"/>
      <c r="CK17" s="1203"/>
      <c r="CL17" s="1203"/>
      <c r="CM17" s="1203"/>
      <c r="CN17" s="1203"/>
      <c r="CO17" s="1203"/>
      <c r="CP17" s="1203"/>
      <c r="CQ17" s="500"/>
      <c r="DZ17" s="946"/>
      <c r="EA17" s="946"/>
      <c r="EE17" s="946">
        <f>SUM(EE14:EE16)</f>
        <v>531991.975964793</v>
      </c>
      <c r="EF17" s="403" t="s">
        <v>704</v>
      </c>
    </row>
    <row r="18" spans="2:142" x14ac:dyDescent="0.35">
      <c r="B18" s="419" t="s">
        <v>195</v>
      </c>
      <c r="C18" s="420">
        <f>+C12-C15</f>
        <v>240394.8415632199</v>
      </c>
      <c r="D18" s="421">
        <f>+C18/SF</f>
        <v>12.818323640994983</v>
      </c>
      <c r="E18" s="420">
        <f>+E12-E15</f>
        <v>193925.32500118902</v>
      </c>
      <c r="F18" s="421">
        <f>+E18/SF</f>
        <v>10.340478031416712</v>
      </c>
      <c r="G18" s="420">
        <f>+G12-G15</f>
        <v>193925.32500118914</v>
      </c>
      <c r="H18" s="422">
        <f>+G18/SF</f>
        <v>10.340478031416719</v>
      </c>
      <c r="AH18" s="436"/>
      <c r="AI18" s="437" t="s">
        <v>616</v>
      </c>
      <c r="AJ18" s="468"/>
      <c r="AK18" s="439"/>
      <c r="AL18" s="438"/>
      <c r="AM18" s="439"/>
      <c r="AN18" s="461"/>
      <c r="AO18" s="451"/>
      <c r="AP18" s="438"/>
      <c r="AQ18" s="486"/>
      <c r="AR18" s="462"/>
      <c r="AT18" s="382" t="s">
        <v>19</v>
      </c>
      <c r="AU18" s="510">
        <v>0.01</v>
      </c>
      <c r="AZ18" s="952"/>
      <c r="BA18" s="952"/>
      <c r="BC18" s="851">
        <f t="shared" si="10"/>
        <v>15</v>
      </c>
      <c r="BD18" s="1049">
        <f>'Forward Curve'!A16</f>
        <v>45638</v>
      </c>
      <c r="BE18" s="829">
        <f t="shared" si="11"/>
        <v>6550000</v>
      </c>
      <c r="BF18" s="857">
        <f>'Forward Curve'!B16</f>
        <v>4.6199999999999998E-2</v>
      </c>
      <c r="BG18" s="852">
        <f t="shared" si="12"/>
        <v>1.9E-2</v>
      </c>
      <c r="BH18" s="857">
        <f t="shared" si="12"/>
        <v>2E-3</v>
      </c>
      <c r="BI18" s="857">
        <v>5.9999999999999995E-4</v>
      </c>
      <c r="BJ18" s="857">
        <f t="shared" ref="BJ18" si="48">BJ17</f>
        <v>1E-3</v>
      </c>
      <c r="BK18" s="831">
        <f t="shared" si="5"/>
        <v>6.88E-2</v>
      </c>
      <c r="BL18" s="830">
        <f t="shared" si="6"/>
        <v>38805.111111111109</v>
      </c>
      <c r="BM18" s="853">
        <f t="shared" si="14"/>
        <v>4.1099999999999998E-2</v>
      </c>
      <c r="BN18" s="831">
        <f t="shared" si="14"/>
        <v>6.3700000000000007E-2</v>
      </c>
      <c r="BO18" s="830">
        <f t="shared" si="7"/>
        <v>35928.569444444445</v>
      </c>
      <c r="BP18" s="941">
        <f t="shared" si="0"/>
        <v>35708.234229323454</v>
      </c>
      <c r="BQ18" s="942">
        <f t="shared" si="1"/>
        <v>33061.257564068372</v>
      </c>
      <c r="CC18" s="385" t="s">
        <v>581</v>
      </c>
      <c r="CD18" s="1206">
        <f>CD16*(1-CD17)</f>
        <v>13276632.446447754</v>
      </c>
      <c r="CE18" s="1203"/>
      <c r="CF18" s="1203"/>
      <c r="CG18" s="1203"/>
      <c r="CH18" s="1203"/>
      <c r="CI18" s="1203"/>
      <c r="CJ18" s="1203"/>
      <c r="CK18" s="1203"/>
      <c r="CL18" s="1203"/>
      <c r="CM18" s="1203"/>
      <c r="CN18" s="1203"/>
      <c r="CO18" s="1203"/>
      <c r="CP18" s="1203"/>
      <c r="CQ18" s="500"/>
      <c r="DZ18" s="946"/>
      <c r="EA18" s="946"/>
      <c r="EE18" s="947">
        <f>EE17/SF</f>
        <v>28.366853789313907</v>
      </c>
      <c r="EF18" s="403" t="s">
        <v>705</v>
      </c>
    </row>
    <row r="19" spans="2:142" ht="15" customHeight="1" thickBot="1" x14ac:dyDescent="0.4">
      <c r="B19" s="382"/>
      <c r="C19" s="431"/>
      <c r="D19" s="431"/>
      <c r="E19" s="431"/>
      <c r="F19" s="431"/>
      <c r="G19" s="431"/>
      <c r="H19" s="912"/>
      <c r="AH19" s="436"/>
      <c r="AI19" s="437"/>
      <c r="AJ19" s="468"/>
      <c r="AK19" s="439"/>
      <c r="AL19" s="438"/>
      <c r="AM19" s="439"/>
      <c r="AN19" s="461"/>
      <c r="AO19" s="451"/>
      <c r="AP19" s="438"/>
      <c r="AQ19" s="486"/>
      <c r="AR19" s="462"/>
      <c r="AT19" s="382" t="s">
        <v>277</v>
      </c>
      <c r="AU19" s="510" t="s">
        <v>565</v>
      </c>
      <c r="AZ19" s="952"/>
      <c r="BA19" s="952"/>
      <c r="BC19" s="851">
        <f t="shared" si="10"/>
        <v>16</v>
      </c>
      <c r="BD19" s="1049">
        <f>'Forward Curve'!A17</f>
        <v>45669</v>
      </c>
      <c r="BE19" s="829">
        <f t="shared" si="11"/>
        <v>6550000</v>
      </c>
      <c r="BF19" s="857">
        <f>'Forward Curve'!B17</f>
        <v>4.6199999999999998E-2</v>
      </c>
      <c r="BG19" s="852">
        <f t="shared" si="12"/>
        <v>1.9E-2</v>
      </c>
      <c r="BH19" s="857">
        <f t="shared" si="12"/>
        <v>2E-3</v>
      </c>
      <c r="BI19" s="857">
        <v>5.9999999999999995E-4</v>
      </c>
      <c r="BJ19" s="857">
        <f t="shared" ref="BJ19" si="49">BJ18</f>
        <v>1E-3</v>
      </c>
      <c r="BK19" s="831">
        <f t="shared" si="5"/>
        <v>6.88E-2</v>
      </c>
      <c r="BL19" s="830">
        <f t="shared" si="6"/>
        <v>38805.111111111109</v>
      </c>
      <c r="BM19" s="853">
        <f t="shared" si="14"/>
        <v>4.1099999999999998E-2</v>
      </c>
      <c r="BN19" s="831">
        <f t="shared" si="14"/>
        <v>6.3700000000000007E-2</v>
      </c>
      <c r="BO19" s="830">
        <f t="shared" si="7"/>
        <v>35928.569444444445</v>
      </c>
      <c r="BP19" s="941">
        <f t="shared" si="0"/>
        <v>35510.790305131159</v>
      </c>
      <c r="BQ19" s="942">
        <f t="shared" si="1"/>
        <v>32878.449744721729</v>
      </c>
      <c r="CC19" s="385" t="s">
        <v>582</v>
      </c>
      <c r="CD19" s="1206">
        <f>CD18-CD12</f>
        <v>5079569.7370460546</v>
      </c>
      <c r="CE19" s="1203"/>
      <c r="CF19" s="1203" t="s">
        <v>681</v>
      </c>
      <c r="CG19" s="1207">
        <f>-CD9</f>
        <v>-11710089.584859572</v>
      </c>
      <c r="CH19" s="1207">
        <f>CH7</f>
        <v>692585.33029914449</v>
      </c>
      <c r="CI19" s="1207">
        <f t="shared" ref="CI19:CP19" si="50">CI7</f>
        <v>706437.03690512734</v>
      </c>
      <c r="CJ19" s="1207">
        <f t="shared" si="50"/>
        <v>720565.77764322993</v>
      </c>
      <c r="CK19" s="1207">
        <f t="shared" si="50"/>
        <v>734977.0931960945</v>
      </c>
      <c r="CL19" s="1207">
        <f t="shared" si="50"/>
        <v>749676.63506001642</v>
      </c>
      <c r="CM19" s="1207">
        <f t="shared" si="50"/>
        <v>764670.16776121676</v>
      </c>
      <c r="CN19" s="1207">
        <f t="shared" si="50"/>
        <v>779963.57111644105</v>
      </c>
      <c r="CO19" s="1207">
        <f t="shared" si="50"/>
        <v>795562.84253876982</v>
      </c>
      <c r="CP19" s="1207">
        <f t="shared" si="50"/>
        <v>811474.09938954527</v>
      </c>
      <c r="CQ19" s="804">
        <f>CQ7+CQ13+CD18</f>
        <v>14104336.027825091</v>
      </c>
      <c r="DZ19" s="946"/>
      <c r="EA19" s="946"/>
      <c r="EE19" s="1041">
        <f>EE18/10</f>
        <v>2.8366853789313908</v>
      </c>
      <c r="EF19" s="1038" t="s">
        <v>706</v>
      </c>
    </row>
    <row r="20" spans="2:142" ht="15" thickBot="1" x14ac:dyDescent="0.4">
      <c r="B20" s="382" t="s">
        <v>282</v>
      </c>
      <c r="C20" s="431"/>
      <c r="D20" s="431"/>
      <c r="E20" s="431"/>
      <c r="F20" s="431"/>
      <c r="G20" s="431"/>
      <c r="H20" s="912"/>
      <c r="AH20" s="442"/>
      <c r="AI20" s="447" t="s">
        <v>252</v>
      </c>
      <c r="AJ20" s="447"/>
      <c r="AK20" s="448">
        <f>+SUM(AK4:AK19)/AH17</f>
        <v>20599.8</v>
      </c>
      <c r="AL20" s="447"/>
      <c r="AM20" s="448">
        <f>+SUM(AM4:AM19)/AH17</f>
        <v>17627.8</v>
      </c>
      <c r="AN20" s="472">
        <f>+SUMPRODUCT(AM4:AM19,AN4:AN19)/SUM(AM4:AM19)</f>
        <v>32.686191697205551</v>
      </c>
      <c r="AO20" s="452">
        <f>SUMPRODUCT(AO5:AO17,AK5:AK17)/SUM(AK5:AK17)</f>
        <v>2.1110010776803662E-2</v>
      </c>
      <c r="AP20" s="447"/>
      <c r="AQ20" s="487">
        <f>+SUMPRODUCT(AM4:AM19,AQ4:AQ19)/SUM(AM4:AM19)</f>
        <v>12.878532772098618</v>
      </c>
      <c r="AR20" s="490"/>
      <c r="AT20" s="397" t="s">
        <v>278</v>
      </c>
      <c r="AU20" s="511" t="s">
        <v>566</v>
      </c>
      <c r="AZ20" s="952"/>
      <c r="BA20" s="952"/>
      <c r="BC20" s="851">
        <f t="shared" si="10"/>
        <v>17</v>
      </c>
      <c r="BD20" s="1049">
        <f>'Forward Curve'!A18</f>
        <v>45700</v>
      </c>
      <c r="BE20" s="829">
        <f t="shared" si="11"/>
        <v>6550000</v>
      </c>
      <c r="BF20" s="857">
        <f>'Forward Curve'!B18</f>
        <v>4.6199999999999998E-2</v>
      </c>
      <c r="BG20" s="852">
        <f t="shared" si="12"/>
        <v>1.9E-2</v>
      </c>
      <c r="BH20" s="857">
        <f t="shared" si="12"/>
        <v>2E-3</v>
      </c>
      <c r="BI20" s="857">
        <v>5.9999999999999995E-4</v>
      </c>
      <c r="BJ20" s="857">
        <f t="shared" ref="BJ20" si="51">BJ19</f>
        <v>1E-3</v>
      </c>
      <c r="BK20" s="831">
        <f t="shared" si="5"/>
        <v>6.88E-2</v>
      </c>
      <c r="BL20" s="830">
        <f t="shared" si="6"/>
        <v>35049.777777777781</v>
      </c>
      <c r="BM20" s="853">
        <f t="shared" si="14"/>
        <v>4.1099999999999998E-2</v>
      </c>
      <c r="BN20" s="831">
        <f t="shared" si="14"/>
        <v>6.3700000000000007E-2</v>
      </c>
      <c r="BO20" s="830">
        <f t="shared" si="7"/>
        <v>32451.611111111117</v>
      </c>
      <c r="BP20" s="941">
        <f t="shared" si="0"/>
        <v>31896.91185105835</v>
      </c>
      <c r="BQ20" s="942">
        <f t="shared" si="1"/>
        <v>29532.46053651769</v>
      </c>
      <c r="BV20" s="936"/>
      <c r="CC20" s="385"/>
      <c r="CD20" s="1203"/>
      <c r="CE20" s="1203"/>
      <c r="CF20" s="1213" t="s">
        <v>32</v>
      </c>
      <c r="CG20" s="1214">
        <f>XIRR(CG19:CQ19,CG4:CQ4)</f>
        <v>7.5591155886650094E-2</v>
      </c>
      <c r="CH20" s="1203"/>
      <c r="CI20" s="1203"/>
      <c r="CJ20" s="1203"/>
      <c r="CK20" s="1203"/>
      <c r="CL20" s="1203"/>
      <c r="CM20" s="1203"/>
      <c r="CN20" s="1203"/>
      <c r="CO20" s="1203"/>
      <c r="CP20" s="1203"/>
      <c r="CQ20" s="500"/>
      <c r="DZ20" s="946"/>
      <c r="EA20" s="946"/>
      <c r="EF20" s="947"/>
    </row>
    <row r="21" spans="2:142" x14ac:dyDescent="0.35">
      <c r="B21" s="411" t="s">
        <v>194</v>
      </c>
      <c r="C21" s="412">
        <v>0</v>
      </c>
      <c r="D21" s="413">
        <f>+C21/SF</f>
        <v>0</v>
      </c>
      <c r="E21" s="412">
        <v>0</v>
      </c>
      <c r="F21" s="413">
        <f>+E21/SF</f>
        <v>0</v>
      </c>
      <c r="G21" s="412">
        <f>E21</f>
        <v>0</v>
      </c>
      <c r="H21" s="414">
        <f>+G21/SF</f>
        <v>0</v>
      </c>
      <c r="J21" s="513"/>
      <c r="AH21" s="436"/>
      <c r="AI21" s="450"/>
      <c r="AJ21" s="450"/>
      <c r="AK21" s="476"/>
      <c r="AL21" s="450"/>
      <c r="AM21" s="450"/>
      <c r="AN21" s="481"/>
      <c r="AO21" s="479"/>
      <c r="AP21" s="450"/>
      <c r="AQ21" s="488"/>
      <c r="AR21" s="474"/>
      <c r="BA21" s="950"/>
      <c r="BC21" s="851">
        <f t="shared" si="10"/>
        <v>18</v>
      </c>
      <c r="BD21" s="1049">
        <f>'Forward Curve'!A19</f>
        <v>45728</v>
      </c>
      <c r="BE21" s="829">
        <f t="shared" si="11"/>
        <v>6550000</v>
      </c>
      <c r="BF21" s="857">
        <f>'Forward Curve'!B19</f>
        <v>4.6199999999999998E-2</v>
      </c>
      <c r="BG21" s="852">
        <f t="shared" si="12"/>
        <v>1.9E-2</v>
      </c>
      <c r="BH21" s="857">
        <f t="shared" si="12"/>
        <v>2E-3</v>
      </c>
      <c r="BI21" s="857">
        <v>5.9999999999999995E-4</v>
      </c>
      <c r="BJ21" s="857">
        <f t="shared" ref="BJ21" si="52">BJ20</f>
        <v>1E-3</v>
      </c>
      <c r="BK21" s="831">
        <f t="shared" si="5"/>
        <v>6.88E-2</v>
      </c>
      <c r="BL21" s="830">
        <f t="shared" si="6"/>
        <v>38805.111111111109</v>
      </c>
      <c r="BM21" s="853">
        <f t="shared" si="14"/>
        <v>4.1099999999999998E-2</v>
      </c>
      <c r="BN21" s="831">
        <f t="shared" si="14"/>
        <v>6.3700000000000007E-2</v>
      </c>
      <c r="BO21" s="830">
        <f t="shared" si="7"/>
        <v>35928.569444444445</v>
      </c>
      <c r="BP21" s="941">
        <f t="shared" si="0"/>
        <v>35119.171639743581</v>
      </c>
      <c r="BQ21" s="942">
        <f t="shared" si="1"/>
        <v>32515.860951332361</v>
      </c>
      <c r="CC21" s="385" t="s">
        <v>76</v>
      </c>
      <c r="CD21" s="1208">
        <v>5.5E-2</v>
      </c>
      <c r="CE21" s="1203"/>
      <c r="CF21" s="1213" t="s">
        <v>37</v>
      </c>
      <c r="CG21" s="1215">
        <f>SUMIF(CG19:CQ19,"&gt;0")/-(SUMIF(CG19:CQ19,"&lt;0"))</f>
        <v>1.781391032969184</v>
      </c>
      <c r="CH21" s="1203"/>
      <c r="CI21" s="1203"/>
      <c r="CJ21" s="1203"/>
      <c r="CK21" s="1203"/>
      <c r="CL21" s="1203"/>
      <c r="CM21" s="1203"/>
      <c r="CN21" s="1203"/>
      <c r="CO21" s="1203"/>
      <c r="CP21" s="1203"/>
      <c r="CQ21" s="500"/>
      <c r="EF21" s="1034"/>
    </row>
    <row r="22" spans="2:142" x14ac:dyDescent="0.35">
      <c r="B22" s="382" t="s">
        <v>282</v>
      </c>
      <c r="C22" s="415">
        <f t="shared" ref="C22:H22" si="53">+SUBTOTAL(9,C21:C21)</f>
        <v>0</v>
      </c>
      <c r="D22" s="416">
        <f t="shared" si="53"/>
        <v>0</v>
      </c>
      <c r="E22" s="415">
        <f t="shared" si="53"/>
        <v>0</v>
      </c>
      <c r="F22" s="416">
        <f t="shared" si="53"/>
        <v>0</v>
      </c>
      <c r="G22" s="415">
        <f t="shared" si="53"/>
        <v>0</v>
      </c>
      <c r="H22" s="417">
        <f t="shared" si="53"/>
        <v>0</v>
      </c>
      <c r="AH22" s="436">
        <v>6</v>
      </c>
      <c r="AI22" s="437" t="s">
        <v>487</v>
      </c>
      <c r="AJ22" s="438">
        <v>1997</v>
      </c>
      <c r="AK22" s="439">
        <f>X10</f>
        <v>18754</v>
      </c>
      <c r="AL22" s="441">
        <v>35734</v>
      </c>
      <c r="AM22" s="439">
        <f>AK22</f>
        <v>18754</v>
      </c>
      <c r="AN22" s="460">
        <f>D6</f>
        <v>35.436907232051112</v>
      </c>
      <c r="AO22" s="451" t="s">
        <v>476</v>
      </c>
      <c r="AP22" s="438" t="str">
        <f>AE10</f>
        <v>Stamford Health</v>
      </c>
      <c r="AQ22" s="820">
        <f ca="1">AF10</f>
        <v>5.043835616438356</v>
      </c>
      <c r="AR22" s="462" t="s">
        <v>205</v>
      </c>
      <c r="BC22" s="851">
        <f t="shared" si="10"/>
        <v>19</v>
      </c>
      <c r="BD22" s="1049">
        <f>'Forward Curve'!A20</f>
        <v>45759</v>
      </c>
      <c r="BE22" s="829">
        <f t="shared" si="11"/>
        <v>6550000</v>
      </c>
      <c r="BF22" s="857">
        <f>'Forward Curve'!B20</f>
        <v>4.1700000000000001E-2</v>
      </c>
      <c r="BG22" s="852">
        <f t="shared" si="12"/>
        <v>1.9E-2</v>
      </c>
      <c r="BH22" s="857">
        <f t="shared" si="12"/>
        <v>2E-3</v>
      </c>
      <c r="BI22" s="857">
        <v>5.9999999999999995E-4</v>
      </c>
      <c r="BJ22" s="857">
        <f t="shared" ref="BJ22" si="54">BJ21</f>
        <v>1E-3</v>
      </c>
      <c r="BK22" s="831">
        <f t="shared" si="5"/>
        <v>6.430000000000001E-2</v>
      </c>
      <c r="BL22" s="830">
        <f t="shared" si="6"/>
        <v>35097.083333333336</v>
      </c>
      <c r="BM22" s="853">
        <f t="shared" ref="BM22:BN37" si="55">BM21</f>
        <v>4.1099999999999998E-2</v>
      </c>
      <c r="BN22" s="831">
        <f t="shared" si="55"/>
        <v>6.3700000000000007E-2</v>
      </c>
      <c r="BO22" s="830">
        <f t="shared" si="7"/>
        <v>34769.583333333336</v>
      </c>
      <c r="BP22" s="941">
        <f t="shared" si="0"/>
        <v>31799.449018275529</v>
      </c>
      <c r="BQ22" s="942">
        <f t="shared" si="1"/>
        <v>31502.720100531125</v>
      </c>
      <c r="CC22" s="385" t="s">
        <v>359</v>
      </c>
      <c r="CD22" s="1209">
        <f>(CD21/12)/(1 - (1 / (1 + CD21/12))^360)*12</f>
        <v>6.8134680161639913E-2</v>
      </c>
      <c r="CE22" s="1203"/>
      <c r="CF22" s="1203"/>
      <c r="CG22" s="1209"/>
      <c r="CH22" s="1203"/>
      <c r="CI22" s="1203"/>
      <c r="CJ22" s="1203"/>
      <c r="CK22" s="1203"/>
      <c r="CL22" s="1203"/>
      <c r="CM22" s="1203"/>
      <c r="CN22" s="1203"/>
      <c r="CO22" s="1203"/>
      <c r="CP22" s="1203"/>
      <c r="CQ22" s="500"/>
    </row>
    <row r="23" spans="2:142" x14ac:dyDescent="0.35">
      <c r="B23" s="382"/>
      <c r="C23" s="412"/>
      <c r="D23" s="412"/>
      <c r="E23" s="412"/>
      <c r="F23" s="412"/>
      <c r="G23" s="412"/>
      <c r="H23" s="903"/>
      <c r="AH23" s="436"/>
      <c r="AI23" s="437" t="s">
        <v>488</v>
      </c>
      <c r="AJ23" s="438"/>
      <c r="AK23" s="438"/>
      <c r="AL23" s="438"/>
      <c r="AM23" s="438"/>
      <c r="AN23" s="461"/>
      <c r="AO23" s="438"/>
      <c r="AP23" s="438"/>
      <c r="AQ23" s="486"/>
      <c r="AR23" s="462"/>
      <c r="BC23" s="851">
        <f t="shared" si="10"/>
        <v>20</v>
      </c>
      <c r="BD23" s="1049">
        <f>'Forward Curve'!A21</f>
        <v>45789</v>
      </c>
      <c r="BE23" s="829">
        <f t="shared" si="11"/>
        <v>6550000</v>
      </c>
      <c r="BF23" s="857">
        <f>'Forward Curve'!B21</f>
        <v>4.1300000000000003E-2</v>
      </c>
      <c r="BG23" s="852">
        <f t="shared" si="12"/>
        <v>1.9E-2</v>
      </c>
      <c r="BH23" s="857">
        <f t="shared" si="12"/>
        <v>2E-3</v>
      </c>
      <c r="BI23" s="857">
        <v>5.9999999999999995E-4</v>
      </c>
      <c r="BJ23" s="857">
        <f t="shared" ref="BJ23" si="56">BJ22</f>
        <v>1E-3</v>
      </c>
      <c r="BK23" s="831">
        <f t="shared" si="5"/>
        <v>6.3900000000000012E-2</v>
      </c>
      <c r="BL23" s="830">
        <f t="shared" si="6"/>
        <v>36041.375000000007</v>
      </c>
      <c r="BM23" s="853">
        <f t="shared" si="55"/>
        <v>4.1099999999999998E-2</v>
      </c>
      <c r="BN23" s="831">
        <f t="shared" si="55"/>
        <v>6.3700000000000007E-2</v>
      </c>
      <c r="BO23" s="830">
        <f t="shared" si="7"/>
        <v>35928.569444444445</v>
      </c>
      <c r="BP23" s="941">
        <f t="shared" si="0"/>
        <v>32506.234926619891</v>
      </c>
      <c r="BQ23" s="942">
        <f t="shared" si="1"/>
        <v>32404.493972232969</v>
      </c>
      <c r="CC23" s="385" t="s">
        <v>60</v>
      </c>
      <c r="CD23" s="1206">
        <f>CD22*CD12</f>
        <v>558504.24596999027</v>
      </c>
      <c r="CE23" s="1203"/>
      <c r="CF23" s="1203"/>
      <c r="CG23" s="1203"/>
      <c r="CH23" s="1203"/>
      <c r="CI23" s="1203"/>
      <c r="CJ23" s="1203"/>
      <c r="CK23" s="1203"/>
      <c r="CL23" s="1203"/>
      <c r="CM23" s="1203"/>
      <c r="CN23" s="1203"/>
      <c r="CO23" s="1203"/>
      <c r="CP23" s="1203"/>
      <c r="CQ23" s="500"/>
      <c r="EG23" s="1036"/>
      <c r="EH23" s="1036"/>
      <c r="EI23" s="1036"/>
      <c r="EJ23" s="1036"/>
      <c r="EK23" s="1036"/>
      <c r="EL23" s="1036"/>
    </row>
    <row r="24" spans="2:142" ht="15" thickBot="1" x14ac:dyDescent="0.4">
      <c r="B24" s="419" t="s">
        <v>193</v>
      </c>
      <c r="C24" s="913">
        <f>+C18-C22</f>
        <v>240394.8415632199</v>
      </c>
      <c r="D24" s="914">
        <f>+C24/SF</f>
        <v>12.818323640994983</v>
      </c>
      <c r="E24" s="913">
        <f>+E18-E22</f>
        <v>193925.32500118902</v>
      </c>
      <c r="F24" s="914">
        <f>+E24/SF</f>
        <v>10.340478031416712</v>
      </c>
      <c r="G24" s="913">
        <f>+G18-G22</f>
        <v>193925.32500118914</v>
      </c>
      <c r="H24" s="915">
        <f>+G24/SF</f>
        <v>10.340478031416719</v>
      </c>
      <c r="AH24" s="457"/>
      <c r="AI24" s="497"/>
      <c r="AJ24" s="464"/>
      <c r="AK24" s="464"/>
      <c r="AL24" s="464"/>
      <c r="AM24" s="464"/>
      <c r="AN24" s="466"/>
      <c r="AO24" s="464"/>
      <c r="AP24" s="464"/>
      <c r="AQ24" s="489"/>
      <c r="AR24" s="467"/>
      <c r="BC24" s="851">
        <f t="shared" si="10"/>
        <v>21</v>
      </c>
      <c r="BD24" s="1049">
        <f>'Forward Curve'!A22</f>
        <v>45820</v>
      </c>
      <c r="BE24" s="829">
        <f t="shared" si="11"/>
        <v>6550000</v>
      </c>
      <c r="BF24" s="857">
        <f>'Forward Curve'!B22</f>
        <v>4.1300000000000003E-2</v>
      </c>
      <c r="BG24" s="852">
        <f t="shared" si="12"/>
        <v>1.9E-2</v>
      </c>
      <c r="BH24" s="857">
        <f t="shared" si="12"/>
        <v>2E-3</v>
      </c>
      <c r="BI24" s="857">
        <v>5.9999999999999995E-4</v>
      </c>
      <c r="BJ24" s="857">
        <f t="shared" ref="BJ24" si="57">BJ23</f>
        <v>1E-3</v>
      </c>
      <c r="BK24" s="831">
        <f t="shared" si="5"/>
        <v>6.3900000000000012E-2</v>
      </c>
      <c r="BL24" s="830">
        <f t="shared" si="6"/>
        <v>34878.750000000007</v>
      </c>
      <c r="BM24" s="853">
        <f t="shared" si="55"/>
        <v>4.1099999999999998E-2</v>
      </c>
      <c r="BN24" s="831">
        <f t="shared" si="55"/>
        <v>6.3700000000000007E-2</v>
      </c>
      <c r="BO24" s="830">
        <f t="shared" si="7"/>
        <v>34769.583333333336</v>
      </c>
      <c r="BP24" s="941">
        <f t="shared" si="0"/>
        <v>31295.687501452474</v>
      </c>
      <c r="BQ24" s="942">
        <f t="shared" si="1"/>
        <v>31197.735427895495</v>
      </c>
      <c r="CC24" s="1216" t="s">
        <v>486</v>
      </c>
      <c r="CD24" s="1217">
        <f>CH7/CD23</f>
        <v>1.2400717367802405</v>
      </c>
      <c r="CE24" s="1218"/>
      <c r="CF24" s="1218"/>
      <c r="CG24" s="1218"/>
      <c r="CH24" s="1218"/>
      <c r="CI24" s="1218"/>
      <c r="CJ24" s="1218"/>
      <c r="CK24" s="1218"/>
      <c r="CL24" s="1218"/>
      <c r="CM24" s="1218"/>
      <c r="CN24" s="1218"/>
      <c r="CO24" s="1218"/>
      <c r="CP24" s="1218"/>
      <c r="CQ24" s="1219"/>
      <c r="EF24" s="947"/>
    </row>
    <row r="25" spans="2:142" x14ac:dyDescent="0.35">
      <c r="B25" s="419"/>
      <c r="C25" s="916"/>
      <c r="D25" s="917"/>
      <c r="E25" s="916"/>
      <c r="F25" s="917"/>
      <c r="G25" s="916"/>
      <c r="H25" s="918"/>
      <c r="BC25" s="851">
        <f t="shared" si="10"/>
        <v>22</v>
      </c>
      <c r="BD25" s="1049">
        <f>'Forward Curve'!A23</f>
        <v>45850</v>
      </c>
      <c r="BE25" s="829">
        <f t="shared" si="11"/>
        <v>6550000</v>
      </c>
      <c r="BF25" s="857">
        <f>'Forward Curve'!B23</f>
        <v>4.1300000000000003E-2</v>
      </c>
      <c r="BG25" s="852">
        <f t="shared" si="12"/>
        <v>1.9E-2</v>
      </c>
      <c r="BH25" s="857">
        <f t="shared" si="12"/>
        <v>2E-3</v>
      </c>
      <c r="BI25" s="857">
        <v>5.9999999999999995E-4</v>
      </c>
      <c r="BJ25" s="857">
        <f t="shared" ref="BJ25" si="58">BJ24</f>
        <v>1E-3</v>
      </c>
      <c r="BK25" s="831">
        <f t="shared" si="5"/>
        <v>6.3900000000000012E-2</v>
      </c>
      <c r="BL25" s="830">
        <f t="shared" si="6"/>
        <v>36041.375000000007</v>
      </c>
      <c r="BM25" s="853">
        <f t="shared" si="55"/>
        <v>4.1099999999999998E-2</v>
      </c>
      <c r="BN25" s="831">
        <f t="shared" si="55"/>
        <v>6.3700000000000007E-2</v>
      </c>
      <c r="BO25" s="830">
        <f t="shared" si="7"/>
        <v>35928.569444444445</v>
      </c>
      <c r="BP25" s="941">
        <f t="shared" si="0"/>
        <v>32172.380882277779</v>
      </c>
      <c r="BQ25" s="942">
        <f t="shared" si="1"/>
        <v>32071.684854477215</v>
      </c>
      <c r="CG25" s="483"/>
      <c r="CH25" s="946"/>
      <c r="CI25" s="946"/>
      <c r="CJ25" s="946"/>
      <c r="CK25" s="946"/>
      <c r="CL25" s="946"/>
      <c r="CM25" s="946"/>
      <c r="EF25" s="947"/>
    </row>
    <row r="26" spans="2:142" x14ac:dyDescent="0.35">
      <c r="B26" s="423" t="s">
        <v>610</v>
      </c>
      <c r="C26" s="919">
        <f>-'Property CF'!T117</f>
        <v>3551440.2100000009</v>
      </c>
      <c r="D26" s="919"/>
      <c r="E26" s="919">
        <f>-'Property CF'!AF117</f>
        <v>3551440.2100000009</v>
      </c>
      <c r="F26" s="919"/>
      <c r="G26" s="919">
        <f>-'Property CF'!AL113</f>
        <v>3845210.2100000009</v>
      </c>
      <c r="H26" s="920"/>
      <c r="BC26" s="851">
        <f t="shared" si="10"/>
        <v>23</v>
      </c>
      <c r="BD26" s="1049">
        <f>'Forward Curve'!A24</f>
        <v>45881</v>
      </c>
      <c r="BE26" s="829">
        <f t="shared" si="11"/>
        <v>6550000</v>
      </c>
      <c r="BF26" s="857">
        <f>'Forward Curve'!B24</f>
        <v>4.1300000000000003E-2</v>
      </c>
      <c r="BG26" s="852">
        <f t="shared" si="12"/>
        <v>1.9E-2</v>
      </c>
      <c r="BH26" s="857">
        <f t="shared" si="12"/>
        <v>2E-3</v>
      </c>
      <c r="BI26" s="857">
        <v>5.9999999999999995E-4</v>
      </c>
      <c r="BJ26" s="857">
        <f t="shared" ref="BJ26" si="59">BJ25</f>
        <v>1E-3</v>
      </c>
      <c r="BK26" s="831">
        <f t="shared" si="5"/>
        <v>6.3900000000000012E-2</v>
      </c>
      <c r="BL26" s="830">
        <f t="shared" si="6"/>
        <v>36041.375000000007</v>
      </c>
      <c r="BM26" s="853">
        <f t="shared" si="55"/>
        <v>4.1099999999999998E-2</v>
      </c>
      <c r="BN26" s="831">
        <f t="shared" si="55"/>
        <v>6.3700000000000007E-2</v>
      </c>
      <c r="BO26" s="830">
        <f t="shared" si="7"/>
        <v>35928.569444444445</v>
      </c>
      <c r="BP26" s="941">
        <f t="shared" si="0"/>
        <v>32006.741882814465</v>
      </c>
      <c r="BQ26" s="942">
        <f t="shared" si="1"/>
        <v>31906.564286937108</v>
      </c>
      <c r="CC26" s="1321"/>
      <c r="CD26" s="1321"/>
      <c r="CE26" s="1321"/>
      <c r="CF26" s="1321"/>
      <c r="CG26" s="1321"/>
      <c r="CH26" s="1321"/>
      <c r="CI26" s="1321"/>
      <c r="CJ26" s="1321"/>
      <c r="CK26" s="1321"/>
      <c r="CL26" s="1321"/>
      <c r="CM26" s="1321"/>
      <c r="CT26" s="1324"/>
      <c r="CU26" s="1324"/>
      <c r="CV26" s="1324"/>
      <c r="EF26" s="1034"/>
    </row>
    <row r="27" spans="2:142" ht="15" thickBot="1" x14ac:dyDescent="0.4">
      <c r="B27" s="921" t="s">
        <v>575</v>
      </c>
      <c r="C27" s="922">
        <f>C24/C26</f>
        <v>6.7689395667235475E-2</v>
      </c>
      <c r="D27" s="923"/>
      <c r="E27" s="922">
        <f>E24/E26</f>
        <v>5.4604699371016294E-2</v>
      </c>
      <c r="F27" s="923"/>
      <c r="G27" s="922">
        <f>G24/G26</f>
        <v>5.0432957994561524E-2</v>
      </c>
      <c r="H27" s="924"/>
      <c r="AG27" s="405"/>
      <c r="AU27" s="403" t="s">
        <v>504</v>
      </c>
      <c r="BC27" s="851">
        <f t="shared" si="10"/>
        <v>24</v>
      </c>
      <c r="BD27" s="1049">
        <f>'Forward Curve'!A25</f>
        <v>45912</v>
      </c>
      <c r="BE27" s="829">
        <f t="shared" si="11"/>
        <v>6550000</v>
      </c>
      <c r="BF27" s="857">
        <f>'Forward Curve'!B25</f>
        <v>4.1300000000000003E-2</v>
      </c>
      <c r="BG27" s="852">
        <f t="shared" si="12"/>
        <v>1.9E-2</v>
      </c>
      <c r="BH27" s="857">
        <f t="shared" si="12"/>
        <v>2E-3</v>
      </c>
      <c r="BI27" s="857">
        <v>5.9999999999999995E-4</v>
      </c>
      <c r="BJ27" s="857">
        <f t="shared" ref="BJ27" si="60">BJ26</f>
        <v>1E-3</v>
      </c>
      <c r="BK27" s="831">
        <f t="shared" si="5"/>
        <v>6.3900000000000012E-2</v>
      </c>
      <c r="BL27" s="830">
        <f t="shared" si="6"/>
        <v>34878.750000000007</v>
      </c>
      <c r="BM27" s="853">
        <f t="shared" si="55"/>
        <v>4.1099999999999998E-2</v>
      </c>
      <c r="BN27" s="831">
        <f t="shared" si="55"/>
        <v>6.3700000000000007E-2</v>
      </c>
      <c r="BO27" s="830">
        <f t="shared" si="7"/>
        <v>34769.583333333336</v>
      </c>
      <c r="BP27" s="941">
        <f t="shared" si="0"/>
        <v>30814.795812723471</v>
      </c>
      <c r="BQ27" s="942">
        <f t="shared" si="1"/>
        <v>30718.348877472374</v>
      </c>
      <c r="CC27" s="1322"/>
      <c r="CD27" s="1322"/>
      <c r="CE27" s="1322"/>
      <c r="CF27" s="1322"/>
      <c r="CG27" s="1322"/>
      <c r="CH27" s="1322"/>
      <c r="CI27" s="1322"/>
      <c r="CJ27" s="1322"/>
      <c r="CK27" s="1322"/>
      <c r="CL27" s="1322"/>
      <c r="CM27" s="1322"/>
      <c r="CT27" s="1270"/>
      <c r="CU27" s="1270"/>
      <c r="CV27" s="1270"/>
    </row>
    <row r="28" spans="2:142" x14ac:dyDescent="0.35">
      <c r="AG28" s="405"/>
      <c r="BC28" s="851">
        <f t="shared" si="10"/>
        <v>25</v>
      </c>
      <c r="BD28" s="1049">
        <f>'Forward Curve'!A26</f>
        <v>45942</v>
      </c>
      <c r="BE28" s="829">
        <f t="shared" si="11"/>
        <v>6550000</v>
      </c>
      <c r="BF28" s="857">
        <f>'Forward Curve'!B26</f>
        <v>3.9600000000000003E-2</v>
      </c>
      <c r="BG28" s="852">
        <f t="shared" si="12"/>
        <v>1.9E-2</v>
      </c>
      <c r="BH28" s="857">
        <f t="shared" si="12"/>
        <v>2E-3</v>
      </c>
      <c r="BI28" s="857">
        <v>5.9999999999999995E-4</v>
      </c>
      <c r="BJ28" s="857">
        <f t="shared" ref="BJ28" si="61">BJ27</f>
        <v>1E-3</v>
      </c>
      <c r="BK28" s="831">
        <f t="shared" si="5"/>
        <v>6.2200000000000005E-2</v>
      </c>
      <c r="BL28" s="830">
        <f t="shared" si="6"/>
        <v>35082.527777777781</v>
      </c>
      <c r="BM28" s="853">
        <f t="shared" si="55"/>
        <v>4.1099999999999998E-2</v>
      </c>
      <c r="BN28" s="831">
        <f t="shared" si="55"/>
        <v>6.3700000000000007E-2</v>
      </c>
      <c r="BO28" s="830">
        <f t="shared" si="7"/>
        <v>35928.569444444445</v>
      </c>
      <c r="BP28" s="941">
        <f t="shared" si="0"/>
        <v>30938.156036711342</v>
      </c>
      <c r="BQ28" s="942">
        <f t="shared" si="1"/>
        <v>31684.253047242961</v>
      </c>
      <c r="CG28" s="1262"/>
      <c r="CH28" s="1263"/>
      <c r="CI28" s="1263"/>
      <c r="CJ28" s="1263"/>
      <c r="CK28" s="1263"/>
      <c r="CL28" s="1263"/>
      <c r="CM28" s="1263"/>
      <c r="CS28" s="1271"/>
      <c r="CT28" s="1196"/>
      <c r="CU28" s="1197"/>
      <c r="DD28" s="403"/>
      <c r="DE28" s="842"/>
      <c r="DP28" s="403"/>
    </row>
    <row r="29" spans="2:142" x14ac:dyDescent="0.35">
      <c r="AG29" s="405"/>
      <c r="BC29" s="851">
        <f t="shared" si="10"/>
        <v>26</v>
      </c>
      <c r="BD29" s="1049">
        <f>'Forward Curve'!A27</f>
        <v>45973</v>
      </c>
      <c r="BE29" s="829">
        <f t="shared" si="11"/>
        <v>6550000</v>
      </c>
      <c r="BF29" s="857">
        <f>'Forward Curve'!B27</f>
        <v>3.9300000000000002E-2</v>
      </c>
      <c r="BG29" s="852">
        <f t="shared" si="12"/>
        <v>1.9E-2</v>
      </c>
      <c r="BH29" s="857">
        <f t="shared" si="12"/>
        <v>2E-3</v>
      </c>
      <c r="BI29" s="857">
        <v>5.9999999999999995E-4</v>
      </c>
      <c r="BJ29" s="857">
        <f t="shared" ref="BJ29" si="62">BJ28</f>
        <v>1E-3</v>
      </c>
      <c r="BK29" s="831">
        <f t="shared" si="5"/>
        <v>6.1900000000000011E-2</v>
      </c>
      <c r="BL29" s="830">
        <f t="shared" si="6"/>
        <v>33787.083333333336</v>
      </c>
      <c r="BM29" s="853">
        <f t="shared" si="55"/>
        <v>4.1099999999999998E-2</v>
      </c>
      <c r="BN29" s="831">
        <f t="shared" si="55"/>
        <v>6.3700000000000007E-2</v>
      </c>
      <c r="BO29" s="830">
        <f t="shared" si="7"/>
        <v>34769.583333333336</v>
      </c>
      <c r="BP29" s="941">
        <f t="shared" si="0"/>
        <v>29664.442528074156</v>
      </c>
      <c r="BQ29" s="942">
        <f t="shared" si="1"/>
        <v>30527.059596741903</v>
      </c>
      <c r="CC29" s="1038"/>
      <c r="CD29" s="1248"/>
      <c r="CE29" s="1248"/>
      <c r="CF29" s="1248"/>
      <c r="CG29" s="1264"/>
      <c r="CH29" s="1264"/>
      <c r="CI29" s="1264"/>
      <c r="CJ29" s="1264"/>
      <c r="CK29" s="1264"/>
      <c r="CL29" s="1264"/>
      <c r="CM29" s="1264"/>
      <c r="CS29" s="1271"/>
      <c r="CT29" s="1196"/>
      <c r="CU29" s="1197"/>
      <c r="DD29" s="403"/>
      <c r="DE29" s="842"/>
      <c r="DP29" s="403"/>
    </row>
    <row r="30" spans="2:142" x14ac:dyDescent="0.35">
      <c r="AG30" s="405"/>
      <c r="BC30" s="880">
        <f t="shared" si="10"/>
        <v>27</v>
      </c>
      <c r="BD30" s="1050">
        <f>'Forward Curve'!A28</f>
        <v>46003</v>
      </c>
      <c r="BE30" s="881">
        <f t="shared" si="11"/>
        <v>6550000</v>
      </c>
      <c r="BF30" s="882">
        <v>3.6124296788448453E-2</v>
      </c>
      <c r="BG30" s="883">
        <f t="shared" si="12"/>
        <v>1.9E-2</v>
      </c>
      <c r="BH30" s="882">
        <f t="shared" si="12"/>
        <v>2E-3</v>
      </c>
      <c r="BI30" s="882">
        <v>5.9999999999999995E-4</v>
      </c>
      <c r="BJ30" s="882">
        <f t="shared" ref="BJ30" si="63">BJ29</f>
        <v>1E-3</v>
      </c>
      <c r="BK30" s="884">
        <f t="shared" si="5"/>
        <v>5.8724296788448455E-2</v>
      </c>
      <c r="BL30" s="953">
        <f t="shared" si="6"/>
        <v>33122.134619151278</v>
      </c>
      <c r="BM30" s="885">
        <f t="shared" si="55"/>
        <v>4.1099999999999998E-2</v>
      </c>
      <c r="BN30" s="884">
        <f t="shared" si="55"/>
        <v>6.3700000000000007E-2</v>
      </c>
      <c r="BO30" s="953">
        <f t="shared" si="7"/>
        <v>35928.569444444445</v>
      </c>
      <c r="BP30" s="943">
        <f t="shared" si="0"/>
        <v>29131.096928185969</v>
      </c>
      <c r="BQ30" s="944">
        <f t="shared" si="1"/>
        <v>31599.371568642906</v>
      </c>
      <c r="BS30" s="248" t="s">
        <v>261</v>
      </c>
      <c r="CG30" s="1265"/>
      <c r="CH30" s="1265"/>
      <c r="CI30" s="1265"/>
      <c r="CJ30" s="1265"/>
      <c r="CK30" s="1265"/>
      <c r="CL30" s="1265"/>
      <c r="CM30" s="1265"/>
      <c r="CS30" s="1271"/>
      <c r="CT30" s="1196"/>
      <c r="CU30" s="1197"/>
      <c r="DD30" s="403"/>
      <c r="DE30" s="842"/>
      <c r="DP30" s="403"/>
    </row>
    <row r="31" spans="2:142" x14ac:dyDescent="0.35">
      <c r="AG31" s="405"/>
      <c r="BC31" s="851">
        <f t="shared" si="10"/>
        <v>28</v>
      </c>
      <c r="BD31" s="1049">
        <f>'Forward Curve'!A29</f>
        <v>46034</v>
      </c>
      <c r="BE31" s="829">
        <f t="shared" si="11"/>
        <v>6550000</v>
      </c>
      <c r="BF31" s="857">
        <v>3.5451383216373866E-2</v>
      </c>
      <c r="BG31" s="852">
        <f t="shared" si="12"/>
        <v>1.9E-2</v>
      </c>
      <c r="BH31" s="857">
        <f t="shared" si="12"/>
        <v>2E-3</v>
      </c>
      <c r="BI31" s="857">
        <v>5.9999999999999995E-4</v>
      </c>
      <c r="BJ31" s="857">
        <f t="shared" ref="BJ31" si="64">BJ30</f>
        <v>1E-3</v>
      </c>
      <c r="BK31" s="831">
        <f t="shared" si="5"/>
        <v>5.8051383216373875E-2</v>
      </c>
      <c r="BL31" s="830">
        <f t="shared" si="6"/>
        <v>32742.592672457544</v>
      </c>
      <c r="BM31" s="853">
        <f t="shared" si="55"/>
        <v>4.1099999999999998E-2</v>
      </c>
      <c r="BN31" s="831">
        <f t="shared" si="55"/>
        <v>6.3700000000000007E-2</v>
      </c>
      <c r="BO31" s="830">
        <f t="shared" si="7"/>
        <v>35928.569444444445</v>
      </c>
      <c r="BP31" s="941">
        <f t="shared" si="0"/>
        <v>28703.220483431909</v>
      </c>
      <c r="BQ31" s="942">
        <f t="shared" si="1"/>
        <v>31496.151228294908</v>
      </c>
      <c r="BS31" s="248"/>
      <c r="CA31" s="946"/>
      <c r="CD31" s="1231"/>
      <c r="CH31" s="1231"/>
      <c r="CI31" s="1231"/>
      <c r="CJ31" s="1231"/>
      <c r="CK31" s="1231"/>
      <c r="CL31" s="1231"/>
      <c r="CM31" s="1231"/>
      <c r="CS31" s="1271"/>
      <c r="CT31" s="1196"/>
      <c r="CU31" s="1197"/>
      <c r="DD31" s="403"/>
      <c r="DE31" s="842"/>
      <c r="DP31" s="403"/>
    </row>
    <row r="32" spans="2:142" x14ac:dyDescent="0.35">
      <c r="BC32" s="851">
        <f t="shared" si="10"/>
        <v>29</v>
      </c>
      <c r="BD32" s="1049">
        <f>'Forward Curve'!A30</f>
        <v>46065</v>
      </c>
      <c r="BE32" s="829">
        <f t="shared" si="11"/>
        <v>6550000</v>
      </c>
      <c r="BF32" s="857">
        <v>3.449222860922304E-2</v>
      </c>
      <c r="BG32" s="852">
        <f t="shared" si="12"/>
        <v>1.9E-2</v>
      </c>
      <c r="BH32" s="857">
        <f t="shared" si="12"/>
        <v>2E-3</v>
      </c>
      <c r="BI32" s="857">
        <v>5.9999999999999995E-4</v>
      </c>
      <c r="BJ32" s="857">
        <f t="shared" ref="BJ32" si="65">BJ31</f>
        <v>1E-3</v>
      </c>
      <c r="BK32" s="831">
        <f t="shared" si="5"/>
        <v>5.7092228609223042E-2</v>
      </c>
      <c r="BL32" s="830">
        <f t="shared" si="6"/>
        <v>29085.318685920854</v>
      </c>
      <c r="BM32" s="853">
        <f t="shared" si="55"/>
        <v>4.1099999999999998E-2</v>
      </c>
      <c r="BN32" s="831">
        <f t="shared" si="55"/>
        <v>6.3700000000000007E-2</v>
      </c>
      <c r="BO32" s="830">
        <f t="shared" si="7"/>
        <v>32451.611111111117</v>
      </c>
      <c r="BP32" s="941">
        <f t="shared" si="0"/>
        <v>25433.201568687113</v>
      </c>
      <c r="BQ32" s="942">
        <f t="shared" si="1"/>
        <v>28376.803277629428</v>
      </c>
      <c r="BS32" s="248"/>
      <c r="CA32" s="946"/>
      <c r="CD32" s="1231"/>
      <c r="CH32" s="1231"/>
      <c r="CI32" s="1231"/>
      <c r="CJ32" s="1231"/>
      <c r="CK32" s="1231"/>
      <c r="CL32" s="1231"/>
      <c r="CM32" s="1231"/>
      <c r="CS32" s="1271"/>
      <c r="CT32" s="1196"/>
      <c r="CU32" s="1197"/>
      <c r="DD32" s="403"/>
      <c r="DE32" s="842"/>
      <c r="DP32" s="403"/>
    </row>
    <row r="33" spans="55:120" x14ac:dyDescent="0.35">
      <c r="BC33" s="851">
        <f t="shared" si="10"/>
        <v>30</v>
      </c>
      <c r="BD33" s="1049">
        <f>'Forward Curve'!A31</f>
        <v>46093</v>
      </c>
      <c r="BE33" s="829">
        <f t="shared" si="11"/>
        <v>6550000</v>
      </c>
      <c r="BF33" s="857">
        <v>3.3915070116273149E-2</v>
      </c>
      <c r="BG33" s="852">
        <f t="shared" si="12"/>
        <v>1.9E-2</v>
      </c>
      <c r="BH33" s="857">
        <f t="shared" si="12"/>
        <v>2E-3</v>
      </c>
      <c r="BI33" s="857">
        <v>5.9999999999999995E-4</v>
      </c>
      <c r="BJ33" s="857">
        <f t="shared" ref="BJ33" si="66">BJ32</f>
        <v>1E-3</v>
      </c>
      <c r="BK33" s="831">
        <f t="shared" si="5"/>
        <v>5.6515070116273158E-2</v>
      </c>
      <c r="BL33" s="830">
        <f t="shared" si="6"/>
        <v>31876.069408636846</v>
      </c>
      <c r="BM33" s="853">
        <f t="shared" si="55"/>
        <v>4.1099999999999998E-2</v>
      </c>
      <c r="BN33" s="831">
        <f t="shared" si="55"/>
        <v>6.3700000000000007E-2</v>
      </c>
      <c r="BO33" s="830">
        <f t="shared" si="7"/>
        <v>35928.569444444445</v>
      </c>
      <c r="BP33" s="941">
        <f t="shared" si="0"/>
        <v>27782.768699984394</v>
      </c>
      <c r="BQ33" s="942">
        <f t="shared" si="1"/>
        <v>31314.875174850295</v>
      </c>
      <c r="BS33" s="248"/>
      <c r="CA33" s="946"/>
      <c r="CD33" s="1231"/>
      <c r="CH33" s="1231"/>
      <c r="CI33" s="1231"/>
      <c r="CJ33" s="1231"/>
      <c r="CK33" s="1231"/>
      <c r="CL33" s="1231"/>
      <c r="CM33" s="1231"/>
      <c r="CS33" s="1271"/>
      <c r="CT33" s="1196"/>
      <c r="CU33" s="1197"/>
      <c r="DD33" s="403"/>
      <c r="DE33" s="842"/>
      <c r="DP33" s="403"/>
    </row>
    <row r="34" spans="55:120" x14ac:dyDescent="0.35">
      <c r="BC34" s="851">
        <f t="shared" si="10"/>
        <v>31</v>
      </c>
      <c r="BD34" s="1049">
        <f>'Forward Curve'!A32</f>
        <v>46124</v>
      </c>
      <c r="BE34" s="829">
        <f t="shared" si="11"/>
        <v>6550000</v>
      </c>
      <c r="BF34" s="857">
        <v>3.3629620997222831E-2</v>
      </c>
      <c r="BG34" s="852">
        <f t="shared" si="12"/>
        <v>1.9E-2</v>
      </c>
      <c r="BH34" s="857">
        <f t="shared" si="12"/>
        <v>2E-3</v>
      </c>
      <c r="BI34" s="857">
        <v>5.9999999999999995E-4</v>
      </c>
      <c r="BJ34" s="857">
        <f t="shared" ref="BJ34" si="67">BJ33</f>
        <v>1E-3</v>
      </c>
      <c r="BK34" s="831">
        <f t="shared" si="5"/>
        <v>5.622962099722284E-2</v>
      </c>
      <c r="BL34" s="830">
        <f t="shared" si="6"/>
        <v>30692.001460984135</v>
      </c>
      <c r="BM34" s="853">
        <f t="shared" si="55"/>
        <v>4.1099999999999998E-2</v>
      </c>
      <c r="BN34" s="831">
        <f t="shared" si="55"/>
        <v>6.3700000000000007E-2</v>
      </c>
      <c r="BO34" s="830">
        <f t="shared" si="7"/>
        <v>34769.583333333336</v>
      </c>
      <c r="BP34" s="941">
        <f t="shared" si="0"/>
        <v>26647.071762739604</v>
      </c>
      <c r="BQ34" s="942">
        <f t="shared" si="1"/>
        <v>30187.265024787339</v>
      </c>
      <c r="BS34" s="248"/>
      <c r="CD34" s="1231"/>
      <c r="CH34" s="1231"/>
      <c r="CI34" s="1231"/>
      <c r="CJ34" s="1231"/>
      <c r="CK34" s="1231"/>
      <c r="CL34" s="1231"/>
      <c r="CM34" s="1231"/>
      <c r="CS34" s="1271"/>
      <c r="CT34" s="1196"/>
      <c r="CU34" s="1197"/>
      <c r="DD34" s="403"/>
      <c r="DE34" s="842"/>
      <c r="DP34" s="403"/>
    </row>
    <row r="35" spans="55:120" x14ac:dyDescent="0.35">
      <c r="BC35" s="851">
        <f t="shared" si="10"/>
        <v>32</v>
      </c>
      <c r="BD35" s="1049">
        <f>'Forward Curve'!A33</f>
        <v>46154</v>
      </c>
      <c r="BE35" s="829">
        <f t="shared" si="11"/>
        <v>6550000</v>
      </c>
      <c r="BF35" s="857">
        <v>3.2260005431911765E-2</v>
      </c>
      <c r="BG35" s="852">
        <f t="shared" si="12"/>
        <v>1.9E-2</v>
      </c>
      <c r="BH35" s="857">
        <f t="shared" si="12"/>
        <v>2E-3</v>
      </c>
      <c r="BI35" s="857">
        <v>5.9999999999999995E-4</v>
      </c>
      <c r="BJ35" s="857">
        <f t="shared" ref="BJ35" si="68">BJ34</f>
        <v>1E-3</v>
      </c>
      <c r="BK35" s="831">
        <f t="shared" si="5"/>
        <v>5.4860005431911774E-2</v>
      </c>
      <c r="BL35" s="830">
        <f t="shared" si="6"/>
        <v>30942.566952638015</v>
      </c>
      <c r="BM35" s="853">
        <f t="shared" si="55"/>
        <v>4.1099999999999998E-2</v>
      </c>
      <c r="BN35" s="831">
        <f t="shared" si="55"/>
        <v>6.3700000000000007E-2</v>
      </c>
      <c r="BO35" s="830">
        <f t="shared" si="7"/>
        <v>35928.569444444445</v>
      </c>
      <c r="BP35" s="941">
        <f t="shared" si="0"/>
        <v>26835.115479575812</v>
      </c>
      <c r="BQ35" s="942">
        <f t="shared" si="1"/>
        <v>31159.254225203418</v>
      </c>
      <c r="BS35" s="248"/>
      <c r="CD35" s="1232"/>
      <c r="CH35" s="946"/>
      <c r="CI35" s="946"/>
      <c r="CJ35" s="946"/>
      <c r="CK35" s="946"/>
      <c r="CL35" s="946"/>
      <c r="CM35" s="946"/>
      <c r="CS35" s="1271"/>
      <c r="CT35" s="1196"/>
      <c r="CU35" s="1197"/>
      <c r="DD35" s="403"/>
      <c r="DE35" s="842"/>
      <c r="DP35" s="403"/>
    </row>
    <row r="36" spans="55:120" x14ac:dyDescent="0.35">
      <c r="BC36" s="851">
        <f t="shared" si="10"/>
        <v>33</v>
      </c>
      <c r="BD36" s="1049">
        <f>'Forward Curve'!A34</f>
        <v>46185</v>
      </c>
      <c r="BE36" s="829">
        <f t="shared" si="11"/>
        <v>6550000</v>
      </c>
      <c r="BF36" s="857">
        <v>3.1698213142526466E-2</v>
      </c>
      <c r="BG36" s="852">
        <f t="shared" si="12"/>
        <v>1.9E-2</v>
      </c>
      <c r="BH36" s="857">
        <f t="shared" si="12"/>
        <v>2E-3</v>
      </c>
      <c r="BI36" s="857">
        <v>5.9999999999999995E-4</v>
      </c>
      <c r="BJ36" s="857">
        <f t="shared" ref="BJ36" si="69">BJ35</f>
        <v>1E-3</v>
      </c>
      <c r="BK36" s="831">
        <f t="shared" si="5"/>
        <v>5.4298213142526475E-2</v>
      </c>
      <c r="BL36" s="830">
        <f t="shared" si="6"/>
        <v>29637.774673629032</v>
      </c>
      <c r="BM36" s="853">
        <f t="shared" si="55"/>
        <v>4.1099999999999998E-2</v>
      </c>
      <c r="BN36" s="831">
        <f t="shared" si="55"/>
        <v>6.3700000000000007E-2</v>
      </c>
      <c r="BO36" s="830">
        <f t="shared" si="7"/>
        <v>34769.583333333336</v>
      </c>
      <c r="BP36" s="941">
        <f t="shared" si="0"/>
        <v>25626.898461108074</v>
      </c>
      <c r="BQ36" s="942">
        <f t="shared" si="1"/>
        <v>30064.220118765919</v>
      </c>
      <c r="BS36" s="248"/>
      <c r="CD36" s="483"/>
      <c r="CF36" s="1038"/>
      <c r="CG36" s="1038"/>
      <c r="CH36" s="1252"/>
      <c r="CI36" s="1252"/>
      <c r="CJ36" s="1252"/>
      <c r="CK36" s="1252"/>
      <c r="CL36" s="1252"/>
      <c r="CM36" s="1252"/>
      <c r="CS36" s="1271"/>
      <c r="CT36" s="1196"/>
      <c r="CU36" s="1197"/>
      <c r="DD36" s="403"/>
      <c r="DE36" s="842"/>
      <c r="DP36" s="403"/>
    </row>
    <row r="37" spans="55:120" x14ac:dyDescent="0.35">
      <c r="BC37" s="851">
        <f t="shared" si="10"/>
        <v>34</v>
      </c>
      <c r="BD37" s="1049">
        <f>'Forward Curve'!A35</f>
        <v>46215</v>
      </c>
      <c r="BE37" s="829">
        <f t="shared" si="11"/>
        <v>6550000</v>
      </c>
      <c r="BF37" s="857">
        <v>3.1289929126154227E-2</v>
      </c>
      <c r="BG37" s="852">
        <f t="shared" si="12"/>
        <v>1.9E-2</v>
      </c>
      <c r="BH37" s="857">
        <f t="shared" si="12"/>
        <v>2E-3</v>
      </c>
      <c r="BI37" s="857">
        <v>5.9999999999999995E-4</v>
      </c>
      <c r="BJ37" s="857">
        <f t="shared" ref="BJ37" si="70">BJ36</f>
        <v>1E-3</v>
      </c>
      <c r="BK37" s="831">
        <f t="shared" si="5"/>
        <v>5.3889929126154229E-2</v>
      </c>
      <c r="BL37" s="830">
        <f t="shared" si="6"/>
        <v>30395.416969626713</v>
      </c>
      <c r="BM37" s="853">
        <f t="shared" si="55"/>
        <v>4.1099999999999998E-2</v>
      </c>
      <c r="BN37" s="831">
        <f t="shared" si="55"/>
        <v>6.3700000000000007E-2</v>
      </c>
      <c r="BO37" s="830">
        <f t="shared" si="7"/>
        <v>35928.569444444445</v>
      </c>
      <c r="BP37" s="941">
        <f t="shared" si="0"/>
        <v>26195.189901381153</v>
      </c>
      <c r="BQ37" s="942">
        <f t="shared" si="1"/>
        <v>30963.737079924023</v>
      </c>
      <c r="BS37" s="248"/>
      <c r="CA37" s="946"/>
      <c r="CD37" s="1231"/>
      <c r="CH37" s="483"/>
      <c r="CI37" s="483"/>
      <c r="CJ37" s="483"/>
      <c r="CK37" s="483"/>
      <c r="CL37" s="483"/>
      <c r="CM37" s="483"/>
      <c r="CS37" s="1271"/>
      <c r="CT37" s="1196"/>
      <c r="CU37" s="1197"/>
      <c r="DD37" s="403"/>
      <c r="DE37" s="842"/>
      <c r="DP37" s="403"/>
    </row>
    <row r="38" spans="55:120" x14ac:dyDescent="0.35">
      <c r="BC38" s="1051">
        <f t="shared" si="10"/>
        <v>35</v>
      </c>
      <c r="BD38" s="1052">
        <f>'Forward Curve'!A36</f>
        <v>46246</v>
      </c>
      <c r="BE38" s="1053">
        <f t="shared" si="11"/>
        <v>6550000</v>
      </c>
      <c r="BF38" s="1054">
        <v>2.9855436553463122E-2</v>
      </c>
      <c r="BG38" s="1055">
        <f t="shared" si="12"/>
        <v>1.9E-2</v>
      </c>
      <c r="BH38" s="1054">
        <f t="shared" si="12"/>
        <v>2E-3</v>
      </c>
      <c r="BI38" s="1054">
        <v>5.9999999999999995E-4</v>
      </c>
      <c r="BJ38" s="1054">
        <f t="shared" ref="BJ38" si="71">BJ37</f>
        <v>1E-3</v>
      </c>
      <c r="BK38" s="1056">
        <f t="shared" si="5"/>
        <v>5.2455436553463131E-2</v>
      </c>
      <c r="BL38" s="1057">
        <f t="shared" si="6"/>
        <v>29586.323311613025</v>
      </c>
      <c r="BM38" s="1058">
        <f t="shared" ref="BM38:BN39" si="72">BM37</f>
        <v>4.1099999999999998E-2</v>
      </c>
      <c r="BN38" s="1056">
        <f t="shared" si="72"/>
        <v>6.3700000000000007E-2</v>
      </c>
      <c r="BO38" s="1057">
        <f t="shared" si="7"/>
        <v>35928.569444444445</v>
      </c>
      <c r="BP38" s="1059">
        <f t="shared" si="0"/>
        <v>25487.671492206653</v>
      </c>
      <c r="BQ38" s="1060">
        <f t="shared" si="1"/>
        <v>30951.313738449393</v>
      </c>
      <c r="BS38" s="248" t="s">
        <v>386</v>
      </c>
      <c r="CA38" s="949"/>
      <c r="CD38" s="1231"/>
      <c r="CS38" s="1271"/>
      <c r="CT38" s="1196"/>
      <c r="CU38" s="1271"/>
      <c r="DD38" s="403"/>
      <c r="DE38" s="842"/>
      <c r="DP38" s="403"/>
    </row>
    <row r="39" spans="55:120" x14ac:dyDescent="0.35">
      <c r="BC39" s="851">
        <f t="shared" si="10"/>
        <v>36</v>
      </c>
      <c r="BD39" s="1049">
        <f>'Forward Curve'!A37</f>
        <v>46277</v>
      </c>
      <c r="BE39" s="829">
        <f t="shared" si="11"/>
        <v>6550000</v>
      </c>
      <c r="BF39" s="857">
        <v>2.985787324494921E-2</v>
      </c>
      <c r="BG39" s="852">
        <f t="shared" si="12"/>
        <v>1.9E-2</v>
      </c>
      <c r="BH39" s="857">
        <f t="shared" si="12"/>
        <v>2E-3</v>
      </c>
      <c r="BI39" s="857">
        <v>5.9999999999999995E-4</v>
      </c>
      <c r="BJ39" s="857">
        <f t="shared" ref="BJ39" si="73">BJ38</f>
        <v>1E-3</v>
      </c>
      <c r="BK39" s="831">
        <f t="shared" si="5"/>
        <v>5.2457873244949216E-2</v>
      </c>
      <c r="BL39" s="830">
        <f t="shared" si="6"/>
        <v>28633.255812868112</v>
      </c>
      <c r="BM39" s="853">
        <f t="shared" si="72"/>
        <v>4.1099999999999998E-2</v>
      </c>
      <c r="BN39" s="831">
        <f t="shared" si="72"/>
        <v>6.3700000000000007E-2</v>
      </c>
      <c r="BO39" s="830">
        <f t="shared" si="7"/>
        <v>34769.583333333336</v>
      </c>
      <c r="BP39" s="941">
        <f t="shared" si="0"/>
        <v>24561.595190166765</v>
      </c>
      <c r="BQ39" s="942">
        <f t="shared" si="1"/>
        <v>29825.334441370331</v>
      </c>
      <c r="CD39" s="1231"/>
      <c r="CL39" s="1231"/>
      <c r="CM39" s="1231"/>
      <c r="CS39" s="1271"/>
      <c r="CT39" s="1196"/>
      <c r="CU39" s="1197"/>
      <c r="DD39" s="403"/>
      <c r="DE39" s="842"/>
      <c r="DP39" s="403"/>
    </row>
    <row r="40" spans="55:120" x14ac:dyDescent="0.35">
      <c r="BC40" s="851"/>
      <c r="BD40" s="1049">
        <f>'Forward Curve'!A38</f>
        <v>46307</v>
      </c>
      <c r="BE40" s="833"/>
      <c r="BF40" s="833"/>
      <c r="BG40" s="833"/>
      <c r="BH40" s="833"/>
      <c r="BI40" s="833"/>
      <c r="BJ40" s="833"/>
      <c r="BK40" s="836" t="s">
        <v>14</v>
      </c>
      <c r="BL40" s="830">
        <f>SUM(BL4:BL39)</f>
        <v>1318697.5517897478</v>
      </c>
      <c r="BM40" s="830"/>
      <c r="BN40" s="833"/>
      <c r="BO40" s="830">
        <f>SUM(BO4:BO39)</f>
        <v>1270248.7777777782</v>
      </c>
      <c r="BP40" s="830">
        <f>SUM(BP4:BP39)</f>
        <v>1210033.5276678398</v>
      </c>
      <c r="BQ40" s="832">
        <f>SUM(BQ4:BQ39)</f>
        <v>1159575.5501269286</v>
      </c>
      <c r="CD40" s="1232"/>
      <c r="CS40" s="1271"/>
      <c r="CT40" s="1196"/>
      <c r="CU40" s="1197"/>
      <c r="DD40" s="403"/>
      <c r="DE40" s="842"/>
      <c r="DP40" s="403"/>
    </row>
    <row r="41" spans="55:120" ht="15" thickBot="1" x14ac:dyDescent="0.4">
      <c r="BC41" s="854"/>
      <c r="BD41" s="834"/>
      <c r="BE41" s="834"/>
      <c r="BF41" s="834"/>
      <c r="BG41" s="834"/>
      <c r="BH41" s="834"/>
      <c r="BI41" s="834"/>
      <c r="BJ41" s="834"/>
      <c r="BK41" s="837" t="s">
        <v>514</v>
      </c>
      <c r="BL41" s="855">
        <f>BP40</f>
        <v>1210033.5276678398</v>
      </c>
      <c r="BM41" s="835"/>
      <c r="BN41" s="834"/>
      <c r="BO41" s="855">
        <f>BQ40</f>
        <v>1159575.5501269286</v>
      </c>
      <c r="BP41" s="834"/>
      <c r="BQ41" s="856"/>
      <c r="CD41" s="1231"/>
      <c r="CF41" s="1038"/>
      <c r="CG41" s="1245"/>
      <c r="CH41" s="1245"/>
      <c r="CI41" s="1245"/>
      <c r="CJ41" s="1245"/>
      <c r="CK41" s="1245"/>
      <c r="CL41" s="1245"/>
      <c r="CM41" s="1245"/>
      <c r="CS41" s="1271"/>
      <c r="CT41" s="1196"/>
      <c r="CU41" s="1197"/>
      <c r="DD41" s="403"/>
      <c r="DE41" s="842"/>
      <c r="DP41" s="403"/>
    </row>
    <row r="42" spans="55:120" x14ac:dyDescent="0.35">
      <c r="CD42" s="483"/>
      <c r="CF42" s="1248"/>
      <c r="CG42" s="1266"/>
      <c r="CS42" s="1271"/>
      <c r="CT42" s="1196"/>
      <c r="CU42" s="1197"/>
      <c r="DD42" s="403"/>
      <c r="DE42" s="842"/>
      <c r="DP42" s="403"/>
    </row>
    <row r="43" spans="55:120" x14ac:dyDescent="0.35">
      <c r="BK43" s="824"/>
      <c r="BP43" s="248" t="s">
        <v>558</v>
      </c>
      <c r="BQ43" s="945">
        <f>SUM(BQ30:BQ37)-SUM(BP30:BP37)</f>
        <v>28807.114413004252</v>
      </c>
      <c r="CD43" s="1231"/>
      <c r="CF43" s="1248"/>
      <c r="CG43" s="1267"/>
      <c r="CS43" s="1271"/>
      <c r="CT43" s="1196"/>
      <c r="CU43" s="1197"/>
      <c r="DD43" s="403"/>
      <c r="DE43" s="842"/>
      <c r="DP43" s="403"/>
    </row>
    <row r="44" spans="55:120" x14ac:dyDescent="0.35">
      <c r="BK44" s="824"/>
      <c r="CD44" s="1231"/>
      <c r="DD44" s="403"/>
      <c r="DE44" s="842"/>
      <c r="DP44" s="403"/>
    </row>
    <row r="45" spans="55:120" x14ac:dyDescent="0.35">
      <c r="BK45" s="824"/>
      <c r="BQ45" s="523"/>
      <c r="CF45" s="1038"/>
      <c r="CG45" s="1245"/>
      <c r="CH45" s="1245"/>
      <c r="CI45" s="1245"/>
      <c r="CJ45" s="1245"/>
      <c r="CK45" s="1245"/>
      <c r="CL45" s="1245"/>
      <c r="CM45" s="1245"/>
      <c r="DD45" s="403"/>
      <c r="DE45" s="842"/>
      <c r="DP45" s="403"/>
    </row>
    <row r="46" spans="55:120" x14ac:dyDescent="0.35">
      <c r="BK46" s="824"/>
      <c r="CD46" s="483"/>
      <c r="CF46" s="1248"/>
      <c r="CG46" s="1266"/>
      <c r="DD46" s="403"/>
      <c r="DE46" s="842"/>
      <c r="DP46" s="403"/>
    </row>
    <row r="47" spans="55:120" x14ac:dyDescent="0.35">
      <c r="BK47" s="824"/>
      <c r="BP47" s="949"/>
      <c r="CD47" s="1247"/>
      <c r="CF47" s="1248"/>
      <c r="CG47" s="1267"/>
      <c r="DD47" s="403"/>
      <c r="DE47" s="842"/>
      <c r="DP47" s="403"/>
    </row>
    <row r="48" spans="55:120" x14ac:dyDescent="0.35">
      <c r="BK48" s="824"/>
      <c r="CD48" s="1231"/>
      <c r="CG48" s="1247"/>
      <c r="DD48" s="403"/>
      <c r="DE48" s="842"/>
      <c r="DP48" s="403"/>
    </row>
    <row r="49" spans="63:91" x14ac:dyDescent="0.35">
      <c r="BK49" s="824"/>
      <c r="CA49" s="936"/>
      <c r="CD49" s="1268"/>
      <c r="CG49" s="946"/>
      <c r="CH49" s="946"/>
      <c r="CI49" s="946"/>
      <c r="CJ49" s="946"/>
      <c r="CK49" s="946"/>
      <c r="CL49" s="946"/>
      <c r="CM49" s="946"/>
    </row>
    <row r="50" spans="63:91" x14ac:dyDescent="0.35">
      <c r="BK50" s="824"/>
      <c r="CD50" s="1247"/>
      <c r="CF50" s="1248"/>
      <c r="CG50" s="1266"/>
    </row>
    <row r="51" spans="63:91" x14ac:dyDescent="0.35">
      <c r="CD51" s="1268"/>
      <c r="CF51" s="1248"/>
      <c r="CG51" s="1266"/>
    </row>
    <row r="52" spans="63:91" x14ac:dyDescent="0.35">
      <c r="CD52" s="1268"/>
      <c r="CF52" s="1248"/>
      <c r="CG52" s="1269"/>
      <c r="CH52" s="1269"/>
      <c r="CI52" s="1269"/>
      <c r="CJ52" s="1269"/>
      <c r="CK52" s="1269"/>
      <c r="CL52" s="1269"/>
      <c r="CM52" s="1269"/>
    </row>
    <row r="53" spans="63:91" x14ac:dyDescent="0.35">
      <c r="CD53" s="1268"/>
      <c r="CF53" s="1248"/>
      <c r="CG53" s="1266"/>
    </row>
    <row r="55" spans="63:91" x14ac:dyDescent="0.35">
      <c r="CC55" s="1230"/>
      <c r="CD55" s="1231"/>
      <c r="CG55" s="1321"/>
      <c r="CH55" s="1321"/>
      <c r="CM55" s="1231"/>
    </row>
    <row r="56" spans="63:91" x14ac:dyDescent="0.35">
      <c r="CC56" s="1230"/>
      <c r="CD56" s="1232"/>
      <c r="CH56" s="1232"/>
    </row>
    <row r="57" spans="63:91" x14ac:dyDescent="0.35">
      <c r="CC57" s="1233"/>
      <c r="CD57" s="1234"/>
      <c r="CH57" s="1232"/>
    </row>
    <row r="58" spans="63:91" x14ac:dyDescent="0.35">
      <c r="CH58" s="1232"/>
    </row>
    <row r="59" spans="63:91" x14ac:dyDescent="0.35">
      <c r="CC59" s="1038"/>
      <c r="CH59" s="1235"/>
    </row>
    <row r="60" spans="63:91" x14ac:dyDescent="0.35">
      <c r="CC60" s="1236"/>
      <c r="CD60" s="1231"/>
      <c r="CE60" s="1237"/>
      <c r="CH60" s="1238"/>
    </row>
    <row r="61" spans="63:91" x14ac:dyDescent="0.35">
      <c r="CC61" s="1236"/>
      <c r="CD61" s="1231"/>
      <c r="CE61" s="1239"/>
    </row>
    <row r="62" spans="63:91" x14ac:dyDescent="0.35">
      <c r="CC62" s="1236"/>
      <c r="CD62" s="1240"/>
      <c r="CE62" s="1241"/>
      <c r="CG62" s="1323"/>
      <c r="CH62" s="1323"/>
      <c r="CI62" s="1323"/>
      <c r="CJ62" s="1323"/>
      <c r="CK62" s="1323"/>
      <c r="CL62" s="1323"/>
      <c r="CM62" s="946"/>
    </row>
    <row r="63" spans="63:91" x14ac:dyDescent="0.35">
      <c r="CC63" s="1236"/>
      <c r="CD63" s="1240"/>
      <c r="CE63" s="1239"/>
      <c r="CG63" s="1242"/>
      <c r="CH63" s="1243"/>
      <c r="CI63" s="1244"/>
      <c r="CJ63" s="1243"/>
      <c r="CK63" s="1244"/>
      <c r="CL63" s="1220"/>
    </row>
    <row r="64" spans="63:91" x14ac:dyDescent="0.35">
      <c r="CC64" s="1038"/>
      <c r="CD64" s="1245"/>
      <c r="CE64" s="1246"/>
      <c r="CG64" s="1247"/>
    </row>
    <row r="66" spans="81:85" x14ac:dyDescent="0.35">
      <c r="CC66" s="1038"/>
      <c r="CD66" s="1245"/>
    </row>
    <row r="67" spans="81:85" x14ac:dyDescent="0.35">
      <c r="CD67" s="1247"/>
    </row>
    <row r="69" spans="81:85" x14ac:dyDescent="0.35">
      <c r="CC69" s="1038"/>
      <c r="CD69" s="1232"/>
      <c r="CE69" s="1248"/>
    </row>
    <row r="71" spans="81:85" x14ac:dyDescent="0.35">
      <c r="CC71" s="1038"/>
    </row>
    <row r="72" spans="81:85" x14ac:dyDescent="0.35">
      <c r="CC72" s="1249"/>
      <c r="CD72" s="1250"/>
    </row>
    <row r="73" spans="81:85" x14ac:dyDescent="0.35">
      <c r="CC73" s="1249"/>
      <c r="CD73" s="1250"/>
    </row>
    <row r="74" spans="81:85" x14ac:dyDescent="0.35">
      <c r="CC74" s="1249"/>
      <c r="CD74" s="1250"/>
    </row>
    <row r="75" spans="81:85" x14ac:dyDescent="0.35">
      <c r="CC75" s="1038"/>
      <c r="CD75" s="1251"/>
    </row>
    <row r="77" spans="81:85" x14ac:dyDescent="0.35">
      <c r="CC77" s="1038"/>
    </row>
    <row r="78" spans="81:85" x14ac:dyDescent="0.35">
      <c r="CC78" s="1249"/>
      <c r="CD78" s="1232"/>
      <c r="CG78" s="949"/>
    </row>
    <row r="79" spans="81:85" x14ac:dyDescent="0.35">
      <c r="CC79" s="1249"/>
      <c r="CD79" s="1232"/>
    </row>
    <row r="80" spans="81:85" x14ac:dyDescent="0.35">
      <c r="CC80" s="1249"/>
      <c r="CD80" s="1232"/>
    </row>
    <row r="81" spans="79:83" x14ac:dyDescent="0.35">
      <c r="CC81" s="1249"/>
      <c r="CD81" s="1232"/>
    </row>
    <row r="82" spans="79:83" x14ac:dyDescent="0.35">
      <c r="CC82" s="1038"/>
      <c r="CD82" s="1252"/>
    </row>
    <row r="85" spans="79:83" x14ac:dyDescent="0.35">
      <c r="CC85" s="1236"/>
      <c r="CD85" s="1232"/>
    </row>
    <row r="86" spans="79:83" x14ac:dyDescent="0.35">
      <c r="CC86" s="1236"/>
      <c r="CD86" s="1232"/>
    </row>
    <row r="87" spans="79:83" x14ac:dyDescent="0.35">
      <c r="CC87" s="1236"/>
      <c r="CD87" s="1232"/>
    </row>
    <row r="88" spans="79:83" x14ac:dyDescent="0.35">
      <c r="CC88" s="1038"/>
      <c r="CD88" s="1252"/>
    </row>
    <row r="91" spans="79:83" x14ac:dyDescent="0.35">
      <c r="CC91" s="1236"/>
      <c r="CD91" s="949"/>
    </row>
    <row r="92" spans="79:83" x14ac:dyDescent="0.35">
      <c r="CB92" s="1"/>
      <c r="CC92" s="1236"/>
      <c r="CD92" s="946"/>
    </row>
    <row r="93" spans="79:83" x14ac:dyDescent="0.35">
      <c r="CA93" s="1"/>
      <c r="CB93" s="1"/>
      <c r="CC93" s="1038"/>
      <c r="CD93" s="1252"/>
    </row>
    <row r="94" spans="79:83" x14ac:dyDescent="0.35">
      <c r="CA94" s="1"/>
      <c r="CB94" s="1"/>
    </row>
    <row r="95" spans="79:83" x14ac:dyDescent="0.35">
      <c r="CA95" s="1"/>
      <c r="CB95" s="1"/>
      <c r="CC95" s="1038"/>
    </row>
    <row r="96" spans="79:83" x14ac:dyDescent="0.35">
      <c r="CA96" s="1"/>
      <c r="CB96" s="1"/>
      <c r="CC96" s="1253"/>
      <c r="CD96" s="1221"/>
      <c r="CE96" s="1"/>
    </row>
    <row r="97" spans="79:83" x14ac:dyDescent="0.35">
      <c r="CA97" s="1"/>
      <c r="CB97" s="1"/>
      <c r="CC97" s="1253"/>
      <c r="CD97" s="1221"/>
    </row>
    <row r="98" spans="79:83" x14ac:dyDescent="0.35">
      <c r="CA98" s="1"/>
      <c r="CB98" s="1"/>
      <c r="CC98" s="1253"/>
      <c r="CD98" s="1221"/>
    </row>
    <row r="99" spans="79:83" x14ac:dyDescent="0.35">
      <c r="CA99" s="1"/>
      <c r="CB99" s="1"/>
      <c r="CC99" s="1253"/>
      <c r="CD99" s="1221"/>
    </row>
    <row r="100" spans="79:83" x14ac:dyDescent="0.35">
      <c r="CA100" s="1"/>
      <c r="CB100" s="1"/>
      <c r="CC100" s="1253"/>
      <c r="CD100" s="1221"/>
    </row>
    <row r="101" spans="79:83" x14ac:dyDescent="0.35">
      <c r="CA101" s="1"/>
      <c r="CB101" s="1"/>
      <c r="CC101" s="1253"/>
      <c r="CD101" s="1221"/>
    </row>
    <row r="102" spans="79:83" ht="14" customHeight="1" x14ac:dyDescent="0.35">
      <c r="CA102" s="1"/>
      <c r="CB102" s="1"/>
      <c r="CC102" s="1253"/>
      <c r="CD102" s="1221"/>
      <c r="CE102" s="1248"/>
    </row>
    <row r="103" spans="79:83" ht="14" customHeight="1" x14ac:dyDescent="0.35">
      <c r="CA103" s="1"/>
      <c r="CB103" s="1"/>
      <c r="CC103" s="1254"/>
      <c r="CD103" s="1255"/>
    </row>
    <row r="104" spans="79:83" x14ac:dyDescent="0.35">
      <c r="CA104" s="1"/>
      <c r="CB104" s="1"/>
      <c r="CC104" s="1254"/>
      <c r="CD104" s="1255"/>
    </row>
    <row r="105" spans="79:83" x14ac:dyDescent="0.35">
      <c r="CA105" s="1"/>
      <c r="CB105" s="1"/>
      <c r="CC105" s="1256"/>
      <c r="CD105" s="1257"/>
    </row>
    <row r="106" spans="79:83" x14ac:dyDescent="0.35">
      <c r="CA106" s="1"/>
      <c r="CB106" s="1"/>
      <c r="CC106" s="1253"/>
      <c r="CD106" s="1258"/>
      <c r="CE106" s="1248"/>
    </row>
    <row r="107" spans="79:83" x14ac:dyDescent="0.35">
      <c r="CA107" s="1"/>
      <c r="CB107" s="1"/>
      <c r="CC107" s="1253"/>
      <c r="CD107" s="1258"/>
      <c r="CE107" s="1248"/>
    </row>
    <row r="108" spans="79:83" x14ac:dyDescent="0.35">
      <c r="CA108" s="1"/>
      <c r="CB108" s="1"/>
      <c r="CC108" s="1253"/>
      <c r="CD108" s="1258"/>
    </row>
    <row r="109" spans="79:83" x14ac:dyDescent="0.35">
      <c r="CA109" s="1"/>
      <c r="CB109" s="1"/>
      <c r="CC109" s="1253"/>
      <c r="CD109" s="1258"/>
    </row>
    <row r="110" spans="79:83" x14ac:dyDescent="0.35">
      <c r="CA110" s="1"/>
      <c r="CB110" s="1"/>
      <c r="CC110" s="1253"/>
      <c r="CD110" s="1258"/>
    </row>
    <row r="111" spans="79:83" x14ac:dyDescent="0.35">
      <c r="CA111" s="1"/>
      <c r="CB111" s="1"/>
      <c r="CC111" s="1253"/>
      <c r="CD111" s="1258"/>
    </row>
    <row r="112" spans="79:83" x14ac:dyDescent="0.35">
      <c r="CB112" s="1"/>
      <c r="CC112" s="1253"/>
      <c r="CD112" s="1258"/>
    </row>
    <row r="113" spans="79:82" x14ac:dyDescent="0.35">
      <c r="CA113" s="1"/>
      <c r="CB113" s="1"/>
      <c r="CC113" s="1253"/>
      <c r="CD113" s="1258"/>
    </row>
    <row r="114" spans="79:82" x14ac:dyDescent="0.35">
      <c r="CA114" s="1"/>
      <c r="CB114" s="1"/>
      <c r="CC114" s="1253"/>
      <c r="CD114" s="1258"/>
    </row>
    <row r="115" spans="79:82" x14ac:dyDescent="0.35">
      <c r="CA115" s="1"/>
      <c r="CB115" s="1"/>
      <c r="CC115" s="1254"/>
      <c r="CD115" s="1255"/>
    </row>
    <row r="116" spans="79:82" x14ac:dyDescent="0.35">
      <c r="CA116" s="1"/>
      <c r="CB116" s="1"/>
      <c r="CC116" s="1257"/>
      <c r="CD116" s="1259"/>
    </row>
    <row r="117" spans="79:82" x14ac:dyDescent="0.35">
      <c r="CA117" s="1"/>
      <c r="CB117" s="1"/>
      <c r="CC117" s="606"/>
      <c r="CD117" s="1260"/>
    </row>
    <row r="118" spans="79:82" x14ac:dyDescent="0.35">
      <c r="CA118" s="1"/>
      <c r="CB118" s="1"/>
      <c r="CC118" s="1"/>
      <c r="CD118" s="1261"/>
    </row>
    <row r="119" spans="79:82" x14ac:dyDescent="0.35">
      <c r="CA119" s="1"/>
      <c r="CB119" s="1"/>
      <c r="CC119" s="1"/>
      <c r="CD119" s="1261"/>
    </row>
    <row r="120" spans="79:82" x14ac:dyDescent="0.35">
      <c r="CA120" s="1"/>
      <c r="CB120" s="1"/>
      <c r="CC120" s="1"/>
      <c r="CD120" s="1261"/>
    </row>
    <row r="121" spans="79:82" x14ac:dyDescent="0.35">
      <c r="CA121" s="1"/>
      <c r="CB121" s="1"/>
      <c r="CC121" s="1"/>
      <c r="CD121" s="1261"/>
    </row>
    <row r="122" spans="79:82" x14ac:dyDescent="0.35">
      <c r="CA122" s="1"/>
      <c r="CB122" s="1"/>
      <c r="CC122" s="1"/>
      <c r="CD122" s="1261"/>
    </row>
    <row r="123" spans="79:82" x14ac:dyDescent="0.35">
      <c r="CA123" s="1"/>
      <c r="CB123" s="1"/>
      <c r="CC123" s="1253"/>
      <c r="CD123" s="1221"/>
    </row>
    <row r="124" spans="79:82" x14ac:dyDescent="0.35">
      <c r="CA124" s="1"/>
      <c r="CB124" s="1"/>
      <c r="CC124" s="1254"/>
      <c r="CD124" s="1255"/>
    </row>
    <row r="125" spans="79:82" x14ac:dyDescent="0.35">
      <c r="CA125" s="1"/>
      <c r="CB125" s="1"/>
      <c r="CC125" s="1"/>
      <c r="CD125" s="1"/>
    </row>
    <row r="126" spans="79:82" x14ac:dyDescent="0.35">
      <c r="CA126" s="1"/>
      <c r="CB126" s="1"/>
      <c r="CC126" s="1"/>
      <c r="CD126" s="1"/>
    </row>
    <row r="127" spans="79:82" x14ac:dyDescent="0.35">
      <c r="CC127" s="1"/>
      <c r="CD127" s="1029"/>
    </row>
    <row r="128" spans="79:82" x14ac:dyDescent="0.35">
      <c r="CC128" s="1"/>
      <c r="CD128" s="1"/>
    </row>
  </sheetData>
  <mergeCells count="34">
    <mergeCell ref="DF2:DP2"/>
    <mergeCell ref="DF3:DP3"/>
    <mergeCell ref="CS2:DD2"/>
    <mergeCell ref="CS3:DD3"/>
    <mergeCell ref="BS2:BT2"/>
    <mergeCell ref="BS3:BT3"/>
    <mergeCell ref="CC2:CQ2"/>
    <mergeCell ref="CC3:CQ3"/>
    <mergeCell ref="AZ2:BA2"/>
    <mergeCell ref="AZ3:BA3"/>
    <mergeCell ref="AW3:AX3"/>
    <mergeCell ref="AW2:AX2"/>
    <mergeCell ref="BC2:BQ2"/>
    <mergeCell ref="C2:D2"/>
    <mergeCell ref="E2:F2"/>
    <mergeCell ref="G2:H2"/>
    <mergeCell ref="AH2:AR2"/>
    <mergeCell ref="T2:AF2"/>
    <mergeCell ref="J2:R2"/>
    <mergeCell ref="EE12:EL12"/>
    <mergeCell ref="DY2:DZ2"/>
    <mergeCell ref="EB2:EC2"/>
    <mergeCell ref="EG2:EH2"/>
    <mergeCell ref="EH11:EI11"/>
    <mergeCell ref="DY3:DZ3"/>
    <mergeCell ref="EB3:EC3"/>
    <mergeCell ref="DY4:DZ4"/>
    <mergeCell ref="EB4:EC4"/>
    <mergeCell ref="EE3:EJ3"/>
    <mergeCell ref="CC26:CM26"/>
    <mergeCell ref="CC27:CM27"/>
    <mergeCell ref="CG62:CL62"/>
    <mergeCell ref="CG55:CH55"/>
    <mergeCell ref="CT26:CV26"/>
  </mergeCells>
  <phoneticPr fontId="43" type="noConversion"/>
  <pageMargins left="0.7" right="0.7" top="0.75" bottom="0.75" header="0.3" footer="0.3"/>
  <pageSetup orientation="portrait" r:id="rId1"/>
  <ignoredErrors>
    <ignoredError sqref="E7:H7 F8:H25 E8:E14 D8:D27 E6:F6 G6:H6 F27:H27 F26 H26 E22:E27 E15:E20 BF5:BF29" formula="1"/>
    <ignoredError sqref="EB8 EE16"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6297A-2718-43FC-9407-F62D6170D6CA}">
  <dimension ref="B1:H39"/>
  <sheetViews>
    <sheetView zoomScale="81" workbookViewId="0">
      <selection activeCell="G11" sqref="G11"/>
    </sheetView>
  </sheetViews>
  <sheetFormatPr defaultRowHeight="14.5" x14ac:dyDescent="0.35"/>
  <cols>
    <col min="1" max="1" width="4.6328125" style="1" customWidth="1"/>
    <col min="2" max="2" width="8.7265625" style="1"/>
    <col min="3" max="3" width="42.08984375" style="1" customWidth="1"/>
    <col min="4" max="4" width="12.08984375" style="1" customWidth="1"/>
    <col min="5" max="5" width="12.08984375" style="955" bestFit="1" customWidth="1"/>
    <col min="6" max="6" width="8.7265625" style="1"/>
    <col min="7" max="7" width="13.81640625" style="1" bestFit="1" customWidth="1"/>
    <col min="8" max="8" width="17.90625" style="1" bestFit="1" customWidth="1"/>
    <col min="9" max="16384" width="8.7265625" style="1"/>
  </cols>
  <sheetData>
    <row r="1" spans="2:7" x14ac:dyDescent="0.35">
      <c r="B1" s="954"/>
      <c r="C1" s="839" t="s">
        <v>651</v>
      </c>
    </row>
    <row r="3" spans="2:7" x14ac:dyDescent="0.35">
      <c r="B3" s="570" t="s">
        <v>682</v>
      </c>
      <c r="C3" s="297"/>
      <c r="D3" s="297"/>
      <c r="E3" s="956"/>
    </row>
    <row r="4" spans="2:7" x14ac:dyDescent="0.35">
      <c r="B4" s="958"/>
      <c r="C4" s="959" t="s">
        <v>652</v>
      </c>
      <c r="D4" s="960">
        <v>5150</v>
      </c>
      <c r="E4" s="961"/>
    </row>
    <row r="5" spans="2:7" x14ac:dyDescent="0.35">
      <c r="B5" s="958"/>
      <c r="C5" s="959" t="s">
        <v>683</v>
      </c>
      <c r="D5" s="960">
        <v>750</v>
      </c>
      <c r="E5" s="961"/>
    </row>
    <row r="6" spans="2:7" x14ac:dyDescent="0.35">
      <c r="B6" s="958"/>
      <c r="C6" s="959" t="s">
        <v>653</v>
      </c>
      <c r="D6" s="960">
        <v>15</v>
      </c>
      <c r="E6" s="961"/>
    </row>
    <row r="7" spans="2:7" x14ac:dyDescent="0.35">
      <c r="B7" s="958"/>
      <c r="C7" s="959" t="s">
        <v>684</v>
      </c>
      <c r="D7" s="960">
        <v>250</v>
      </c>
      <c r="E7" s="961"/>
    </row>
    <row r="8" spans="2:7" x14ac:dyDescent="0.35">
      <c r="B8" s="958"/>
      <c r="C8" s="959" t="s">
        <v>654</v>
      </c>
      <c r="D8" s="960">
        <v>7</v>
      </c>
      <c r="E8" s="961"/>
    </row>
    <row r="9" spans="2:7" x14ac:dyDescent="0.35">
      <c r="B9" s="958"/>
      <c r="C9" s="959" t="s">
        <v>655</v>
      </c>
      <c r="D9" s="1027">
        <v>690</v>
      </c>
      <c r="E9" s="961"/>
    </row>
    <row r="10" spans="2:7" x14ac:dyDescent="0.35">
      <c r="B10" s="958"/>
      <c r="C10" s="959" t="s">
        <v>656</v>
      </c>
      <c r="D10" s="1028">
        <v>9550</v>
      </c>
      <c r="E10" s="961">
        <f>SUM(D4:D10)</f>
        <v>16412</v>
      </c>
      <c r="F10" s="839"/>
    </row>
    <row r="11" spans="2:7" x14ac:dyDescent="0.35">
      <c r="B11" s="958"/>
      <c r="C11" s="959"/>
      <c r="D11" s="959"/>
      <c r="E11" s="961"/>
    </row>
    <row r="12" spans="2:7" x14ac:dyDescent="0.35">
      <c r="B12" s="958" t="s">
        <v>657</v>
      </c>
      <c r="C12" s="962"/>
      <c r="D12" s="962"/>
      <c r="E12" s="963"/>
    </row>
    <row r="13" spans="2:7" x14ac:dyDescent="0.35">
      <c r="B13" s="964"/>
      <c r="C13" s="959" t="s">
        <v>685</v>
      </c>
      <c r="D13" s="965">
        <f>9372+17572</f>
        <v>26944</v>
      </c>
      <c r="E13" s="963">
        <f>D13/6</f>
        <v>4490.666666666667</v>
      </c>
    </row>
    <row r="14" spans="2:7" x14ac:dyDescent="0.35">
      <c r="B14" s="964"/>
      <c r="C14" s="959" t="s">
        <v>686</v>
      </c>
      <c r="D14" s="965">
        <v>2700</v>
      </c>
      <c r="E14" s="963"/>
      <c r="G14" s="1029"/>
    </row>
    <row r="15" spans="2:7" x14ac:dyDescent="0.35">
      <c r="B15" s="964"/>
      <c r="C15" s="959" t="s">
        <v>687</v>
      </c>
      <c r="D15" s="965">
        <v>2700</v>
      </c>
      <c r="E15" s="963"/>
    </row>
    <row r="16" spans="2:7" x14ac:dyDescent="0.35">
      <c r="B16" s="964"/>
      <c r="C16" s="959" t="s">
        <v>688</v>
      </c>
      <c r="D16" s="965">
        <v>160</v>
      </c>
      <c r="E16" s="963"/>
    </row>
    <row r="17" spans="2:5" x14ac:dyDescent="0.35">
      <c r="B17" s="964"/>
      <c r="C17" s="959" t="s">
        <v>689</v>
      </c>
      <c r="D17" s="965">
        <v>95</v>
      </c>
      <c r="E17" s="963"/>
    </row>
    <row r="18" spans="2:5" x14ac:dyDescent="0.35">
      <c r="B18" s="964"/>
      <c r="C18" s="959" t="s">
        <v>658</v>
      </c>
      <c r="D18" s="965">
        <v>850</v>
      </c>
      <c r="E18" s="963"/>
    </row>
    <row r="19" spans="2:5" x14ac:dyDescent="0.35">
      <c r="B19" s="964"/>
      <c r="C19" s="959" t="s">
        <v>690</v>
      </c>
      <c r="D19" s="965">
        <v>994</v>
      </c>
      <c r="E19" s="963"/>
    </row>
    <row r="20" spans="2:5" x14ac:dyDescent="0.35">
      <c r="B20" s="964"/>
      <c r="C20" s="959" t="s">
        <v>659</v>
      </c>
      <c r="D20" s="965">
        <v>750</v>
      </c>
      <c r="E20" s="963"/>
    </row>
    <row r="21" spans="2:5" x14ac:dyDescent="0.35">
      <c r="B21" s="964"/>
      <c r="C21" s="959" t="s">
        <v>691</v>
      </c>
      <c r="D21" s="966">
        <v>50</v>
      </c>
      <c r="E21" s="963">
        <f>SUM(D13:D21)</f>
        <v>35243</v>
      </c>
    </row>
    <row r="22" spans="2:5" x14ac:dyDescent="0.35">
      <c r="B22" s="964"/>
      <c r="C22" s="962"/>
      <c r="D22" s="967"/>
      <c r="E22" s="963"/>
    </row>
    <row r="23" spans="2:5" x14ac:dyDescent="0.35">
      <c r="B23" s="570" t="s">
        <v>660</v>
      </c>
      <c r="C23" s="297"/>
      <c r="D23" s="956"/>
      <c r="E23" s="956"/>
    </row>
    <row r="24" spans="2:5" x14ac:dyDescent="0.35">
      <c r="B24" s="570"/>
      <c r="C24" s="297" t="s">
        <v>661</v>
      </c>
      <c r="D24" s="957">
        <f>120+29.17+120+17.49+31+26.05+26.05+660.05</f>
        <v>1029.81</v>
      </c>
      <c r="E24" s="956"/>
    </row>
    <row r="25" spans="2:5" x14ac:dyDescent="0.35">
      <c r="B25" s="570"/>
      <c r="C25" s="297" t="s">
        <v>692</v>
      </c>
      <c r="D25" s="956">
        <v>7000</v>
      </c>
      <c r="E25" s="956"/>
    </row>
    <row r="26" spans="2:5" x14ac:dyDescent="0.35">
      <c r="B26" s="570"/>
      <c r="C26" s="297" t="s">
        <v>662</v>
      </c>
      <c r="D26" s="957">
        <v>7000</v>
      </c>
      <c r="E26" s="956"/>
    </row>
    <row r="27" spans="2:5" x14ac:dyDescent="0.35">
      <c r="B27" s="570"/>
      <c r="C27" s="297" t="s">
        <v>663</v>
      </c>
      <c r="D27" s="957">
        <v>900</v>
      </c>
      <c r="E27" s="956"/>
    </row>
    <row r="28" spans="2:5" x14ac:dyDescent="0.35">
      <c r="B28" s="570"/>
      <c r="C28" s="297" t="s">
        <v>664</v>
      </c>
      <c r="D28" s="957">
        <v>3226.4</v>
      </c>
      <c r="E28" s="956"/>
    </row>
    <row r="29" spans="2:5" x14ac:dyDescent="0.35">
      <c r="B29" s="570"/>
      <c r="C29" s="297" t="s">
        <v>665</v>
      </c>
      <c r="D29" s="957">
        <v>250</v>
      </c>
      <c r="E29" s="956"/>
    </row>
    <row r="30" spans="2:5" x14ac:dyDescent="0.35">
      <c r="B30" s="958"/>
      <c r="C30" s="297" t="s">
        <v>666</v>
      </c>
      <c r="D30" s="957">
        <f>6343+1725+5727</f>
        <v>13795</v>
      </c>
      <c r="E30" s="956"/>
    </row>
    <row r="31" spans="2:5" x14ac:dyDescent="0.35">
      <c r="B31" s="297"/>
      <c r="C31" s="297" t="s">
        <v>667</v>
      </c>
      <c r="D31" s="957">
        <v>4953</v>
      </c>
      <c r="E31" s="956"/>
    </row>
    <row r="32" spans="2:5" x14ac:dyDescent="0.35">
      <c r="C32" s="959" t="s">
        <v>668</v>
      </c>
      <c r="D32" s="1028">
        <v>7500</v>
      </c>
      <c r="E32" s="961">
        <f>SUM(D24:D32)</f>
        <v>45654.21</v>
      </c>
    </row>
    <row r="33" spans="2:8" x14ac:dyDescent="0.35">
      <c r="C33" s="962"/>
      <c r="D33" s="962"/>
      <c r="E33" s="956"/>
      <c r="H33" s="908"/>
    </row>
    <row r="34" spans="2:8" x14ac:dyDescent="0.35">
      <c r="B34" s="606" t="s">
        <v>14</v>
      </c>
      <c r="E34" s="968">
        <f>SUM(E4:E32)</f>
        <v>101799.87666666668</v>
      </c>
    </row>
    <row r="35" spans="2:8" x14ac:dyDescent="0.35">
      <c r="D35" s="248"/>
      <c r="E35" s="956"/>
    </row>
    <row r="36" spans="2:8" x14ac:dyDescent="0.35">
      <c r="C36" s="297" t="s">
        <v>693</v>
      </c>
      <c r="D36" s="957">
        <f>Budget!Q28</f>
        <v>32750</v>
      </c>
    </row>
    <row r="37" spans="2:8" x14ac:dyDescent="0.35">
      <c r="C37" s="297" t="s">
        <v>694</v>
      </c>
      <c r="D37" s="957">
        <f>Budget!E10</f>
        <v>68000</v>
      </c>
    </row>
    <row r="39" spans="2:8" x14ac:dyDescent="0.35">
      <c r="B39" s="248" t="s">
        <v>671</v>
      </c>
      <c r="E39" s="1030">
        <f>E34+D36+D37</f>
        <v>202549.87666666668</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9F46B-82D6-4B7A-A61F-37E8D5781B46}">
  <dimension ref="A1:K122"/>
  <sheetViews>
    <sheetView workbookViewId="0">
      <selection activeCell="K14" sqref="K14"/>
    </sheetView>
  </sheetViews>
  <sheetFormatPr defaultRowHeight="14.5" x14ac:dyDescent="0.35"/>
  <cols>
    <col min="1" max="1" width="12.1796875" bestFit="1" customWidth="1"/>
    <col min="2" max="2" width="20.08984375" bestFit="1" customWidth="1"/>
    <col min="3" max="3" width="19.7265625" bestFit="1" customWidth="1"/>
    <col min="4" max="4" width="7.1796875" bestFit="1" customWidth="1"/>
    <col min="5" max="5" width="11.7265625" bestFit="1" customWidth="1"/>
    <col min="9" max="9" width="10.08984375" bestFit="1" customWidth="1"/>
    <col min="10" max="10" width="8.81640625" bestFit="1" customWidth="1"/>
    <col min="11" max="11" width="11.08984375" bestFit="1" customWidth="1"/>
  </cols>
  <sheetData>
    <row r="1" spans="1:11" x14ac:dyDescent="0.35">
      <c r="A1" t="s">
        <v>524</v>
      </c>
      <c r="B1" t="s">
        <v>525</v>
      </c>
      <c r="C1" t="s">
        <v>710</v>
      </c>
      <c r="D1" t="s">
        <v>641</v>
      </c>
      <c r="E1" t="s">
        <v>642</v>
      </c>
    </row>
    <row r="2" spans="1:11" x14ac:dyDescent="0.35">
      <c r="A2" s="840">
        <v>45211</v>
      </c>
      <c r="B2" s="841">
        <v>5.33E-2</v>
      </c>
      <c r="C2" t="s">
        <v>711</v>
      </c>
      <c r="D2" s="841">
        <v>5.3199999999999997E-2</v>
      </c>
      <c r="E2" s="927">
        <f>Updated_Daily__Last_Update__3_07_20233[[#This Row],[1-month Term SOFR]]-Updated_Daily__Last_Update__3_07_20233[[#This Row],[Prior]]</f>
        <v>1.0000000000000286E-4</v>
      </c>
    </row>
    <row r="3" spans="1:11" x14ac:dyDescent="0.35">
      <c r="A3" s="840">
        <v>45242</v>
      </c>
      <c r="B3" s="841">
        <v>5.3600000000000002E-2</v>
      </c>
      <c r="C3" t="s">
        <v>712</v>
      </c>
      <c r="D3" s="841">
        <v>5.33E-2</v>
      </c>
      <c r="E3" s="927">
        <f>Updated_Daily__Last_Update__3_07_20233[[#This Row],[1-month Term SOFR]]-Updated_Daily__Last_Update__3_07_20233[[#This Row],[Prior]]</f>
        <v>3.0000000000000165E-4</v>
      </c>
    </row>
    <row r="4" spans="1:11" x14ac:dyDescent="0.35">
      <c r="A4" s="840">
        <v>45272</v>
      </c>
      <c r="B4" s="841">
        <v>5.4300000000000001E-2</v>
      </c>
      <c r="C4" t="s">
        <v>712</v>
      </c>
      <c r="D4" s="841">
        <v>5.3600000000000002E-2</v>
      </c>
      <c r="E4" s="927">
        <f>Updated_Daily__Last_Update__3_07_20233[[#This Row],[1-month Term SOFR]]-Updated_Daily__Last_Update__3_07_20233[[#This Row],[Prior]]</f>
        <v>6.9999999999999923E-4</v>
      </c>
    </row>
    <row r="5" spans="1:11" x14ac:dyDescent="0.35">
      <c r="A5" s="840">
        <v>45303</v>
      </c>
      <c r="B5" s="841">
        <v>5.4399999999999997E-2</v>
      </c>
      <c r="C5" t="s">
        <v>713</v>
      </c>
      <c r="D5" s="841">
        <v>5.4100000000000002E-2</v>
      </c>
      <c r="E5" s="927">
        <f>Updated_Daily__Last_Update__3_07_20233[[#This Row],[1-month Term SOFR]]-Updated_Daily__Last_Update__3_07_20233[[#This Row],[Prior]]</f>
        <v>2.9999999999999472E-4</v>
      </c>
      <c r="I5" s="929"/>
      <c r="J5" s="931"/>
      <c r="K5" s="929"/>
    </row>
    <row r="6" spans="1:11" x14ac:dyDescent="0.35">
      <c r="A6" s="840">
        <v>45334</v>
      </c>
      <c r="B6" s="841">
        <v>5.45E-2</v>
      </c>
      <c r="C6" t="s">
        <v>713</v>
      </c>
      <c r="D6" s="841">
        <v>5.4100000000000002E-2</v>
      </c>
      <c r="E6" s="927">
        <f>Updated_Daily__Last_Update__3_07_20233[[#This Row],[1-month Term SOFR]]-Updated_Daily__Last_Update__3_07_20233[[#This Row],[Prior]]</f>
        <v>3.9999999999999758E-4</v>
      </c>
      <c r="I6" s="929"/>
      <c r="J6" s="931"/>
      <c r="K6" s="929"/>
    </row>
    <row r="7" spans="1:11" x14ac:dyDescent="0.35">
      <c r="A7" s="840">
        <v>45363</v>
      </c>
      <c r="B7" s="841">
        <v>5.3999999999999999E-2</v>
      </c>
      <c r="C7" t="s">
        <v>713</v>
      </c>
      <c r="D7" s="841">
        <v>5.3999999999999999E-2</v>
      </c>
      <c r="E7" s="927">
        <f>Updated_Daily__Last_Update__3_07_20233[[#This Row],[1-month Term SOFR]]-Updated_Daily__Last_Update__3_07_20233[[#This Row],[Prior]]</f>
        <v>0</v>
      </c>
      <c r="I7" s="929"/>
      <c r="J7" s="931"/>
      <c r="K7" s="929"/>
    </row>
    <row r="8" spans="1:11" x14ac:dyDescent="0.35">
      <c r="A8" s="840">
        <v>45394</v>
      </c>
      <c r="B8" s="841">
        <v>5.3499999999999999E-2</v>
      </c>
      <c r="C8" t="s">
        <v>714</v>
      </c>
      <c r="D8" s="841">
        <v>5.33E-2</v>
      </c>
      <c r="E8" s="927">
        <f>Updated_Daily__Last_Update__3_07_20233[[#This Row],[1-month Term SOFR]]-Updated_Daily__Last_Update__3_07_20233[[#This Row],[Prior]]</f>
        <v>1.9999999999999879E-4</v>
      </c>
      <c r="I8" s="929"/>
      <c r="J8" s="929"/>
      <c r="K8" s="929"/>
    </row>
    <row r="9" spans="1:11" x14ac:dyDescent="0.35">
      <c r="A9" s="840">
        <v>45424</v>
      </c>
      <c r="B9" s="841">
        <v>5.28E-2</v>
      </c>
      <c r="C9" t="s">
        <v>714</v>
      </c>
      <c r="D9" s="841">
        <v>5.2999999999999999E-2</v>
      </c>
      <c r="E9" s="927">
        <f>Updated_Daily__Last_Update__3_07_20233[[#This Row],[1-month Term SOFR]]-Updated_Daily__Last_Update__3_07_20233[[#This Row],[Prior]]</f>
        <v>-1.9999999999999879E-4</v>
      </c>
      <c r="I9" s="929"/>
      <c r="J9" s="931"/>
      <c r="K9" s="929"/>
    </row>
    <row r="10" spans="1:11" x14ac:dyDescent="0.35">
      <c r="A10" s="840">
        <v>45455</v>
      </c>
      <c r="B10" s="841">
        <v>5.21E-2</v>
      </c>
      <c r="C10" t="s">
        <v>714</v>
      </c>
      <c r="D10" s="841">
        <v>5.21E-2</v>
      </c>
      <c r="E10" s="927">
        <f>Updated_Daily__Last_Update__3_07_20233[[#This Row],[1-month Term SOFR]]-Updated_Daily__Last_Update__3_07_20233[[#This Row],[Prior]]</f>
        <v>0</v>
      </c>
    </row>
    <row r="11" spans="1:11" x14ac:dyDescent="0.35">
      <c r="A11" s="840">
        <v>45485</v>
      </c>
      <c r="B11" s="841">
        <v>5.1299999999999998E-2</v>
      </c>
      <c r="C11" t="s">
        <v>715</v>
      </c>
      <c r="D11" s="841">
        <v>5.0799999999999998E-2</v>
      </c>
      <c r="E11" s="927">
        <f>Updated_Daily__Last_Update__3_07_20233[[#This Row],[1-month Term SOFR]]-Updated_Daily__Last_Update__3_07_20233[[#This Row],[Prior]]</f>
        <v>5.0000000000000044E-4</v>
      </c>
      <c r="I11" s="930"/>
      <c r="K11" s="931"/>
    </row>
    <row r="12" spans="1:11" x14ac:dyDescent="0.35">
      <c r="A12" s="840">
        <v>45516</v>
      </c>
      <c r="B12" s="841">
        <v>5.0799999999999998E-2</v>
      </c>
      <c r="C12" t="s">
        <v>715</v>
      </c>
      <c r="D12" s="841">
        <v>4.99E-2</v>
      </c>
      <c r="E12" s="927">
        <f>Updated_Daily__Last_Update__3_07_20233[[#This Row],[1-month Term SOFR]]-Updated_Daily__Last_Update__3_07_20233[[#This Row],[Prior]]</f>
        <v>8.9999999999999802E-4</v>
      </c>
    </row>
    <row r="13" spans="1:11" x14ac:dyDescent="0.35">
      <c r="A13" s="840">
        <v>45547</v>
      </c>
      <c r="B13" s="841">
        <v>4.9399999999999999E-2</v>
      </c>
      <c r="C13" t="s">
        <v>715</v>
      </c>
      <c r="D13" s="841">
        <v>4.8800000000000003E-2</v>
      </c>
      <c r="E13" s="927">
        <f>Updated_Daily__Last_Update__3_07_20233[[#This Row],[1-month Term SOFR]]-Updated_Daily__Last_Update__3_07_20233[[#This Row],[Prior]]</f>
        <v>5.9999999999999637E-4</v>
      </c>
    </row>
    <row r="14" spans="1:11" x14ac:dyDescent="0.35">
      <c r="A14" s="840">
        <v>45577</v>
      </c>
      <c r="B14" s="841">
        <v>4.6199999999999998E-2</v>
      </c>
      <c r="C14" t="s">
        <v>716</v>
      </c>
      <c r="D14" s="841">
        <v>4.4400000000000002E-2</v>
      </c>
      <c r="E14" s="927">
        <f>Updated_Daily__Last_Update__3_07_20233[[#This Row],[1-month Term SOFR]]-Updated_Daily__Last_Update__3_07_20233[[#This Row],[Prior]]</f>
        <v>1.799999999999996E-3</v>
      </c>
    </row>
    <row r="15" spans="1:11" x14ac:dyDescent="0.35">
      <c r="A15" s="840">
        <v>45608</v>
      </c>
      <c r="B15" s="841">
        <v>4.6199999999999998E-2</v>
      </c>
      <c r="C15" t="s">
        <v>716</v>
      </c>
      <c r="D15" s="841">
        <v>4.4400000000000002E-2</v>
      </c>
      <c r="E15" s="927">
        <f>Updated_Daily__Last_Update__3_07_20233[[#This Row],[1-month Term SOFR]]-Updated_Daily__Last_Update__3_07_20233[[#This Row],[Prior]]</f>
        <v>1.799999999999996E-3</v>
      </c>
    </row>
    <row r="16" spans="1:11" x14ac:dyDescent="0.35">
      <c r="A16" s="840">
        <v>45638</v>
      </c>
      <c r="B16" s="841">
        <v>4.6199999999999998E-2</v>
      </c>
      <c r="C16" t="s">
        <v>716</v>
      </c>
      <c r="D16" s="841">
        <v>4.4400000000000002E-2</v>
      </c>
      <c r="E16" s="927">
        <f>Updated_Daily__Last_Update__3_07_20233[[#This Row],[1-month Term SOFR]]-Updated_Daily__Last_Update__3_07_20233[[#This Row],[Prior]]</f>
        <v>1.799999999999996E-3</v>
      </c>
    </row>
    <row r="17" spans="1:5" x14ac:dyDescent="0.35">
      <c r="A17" s="840">
        <v>45669</v>
      </c>
      <c r="B17" s="841">
        <v>4.6199999999999998E-2</v>
      </c>
      <c r="C17" t="s">
        <v>716</v>
      </c>
      <c r="D17" s="841">
        <v>4.4400000000000002E-2</v>
      </c>
      <c r="E17" s="927">
        <f>Updated_Daily__Last_Update__3_07_20233[[#This Row],[1-month Term SOFR]]-Updated_Daily__Last_Update__3_07_20233[[#This Row],[Prior]]</f>
        <v>1.799999999999996E-3</v>
      </c>
    </row>
    <row r="18" spans="1:5" x14ac:dyDescent="0.35">
      <c r="A18" s="840">
        <v>45700</v>
      </c>
      <c r="B18" s="841">
        <v>4.6199999999999998E-2</v>
      </c>
      <c r="C18" t="s">
        <v>717</v>
      </c>
      <c r="D18" s="841">
        <v>4.4400000000000002E-2</v>
      </c>
      <c r="E18" s="927">
        <f>Updated_Daily__Last_Update__3_07_20233[[#This Row],[1-month Term SOFR]]-Updated_Daily__Last_Update__3_07_20233[[#This Row],[Prior]]</f>
        <v>1.799999999999996E-3</v>
      </c>
    </row>
    <row r="19" spans="1:5" x14ac:dyDescent="0.35">
      <c r="A19" s="840">
        <v>45728</v>
      </c>
      <c r="B19" s="841">
        <v>4.6199999999999998E-2</v>
      </c>
      <c r="C19" t="s">
        <v>716</v>
      </c>
      <c r="D19" s="841">
        <v>4.4200000000000003E-2</v>
      </c>
      <c r="E19" s="927">
        <f>Updated_Daily__Last_Update__3_07_20233[[#This Row],[1-month Term SOFR]]-Updated_Daily__Last_Update__3_07_20233[[#This Row],[Prior]]</f>
        <v>1.9999999999999948E-3</v>
      </c>
    </row>
    <row r="20" spans="1:5" x14ac:dyDescent="0.35">
      <c r="A20" s="840">
        <v>45759</v>
      </c>
      <c r="B20" s="841">
        <v>4.1700000000000001E-2</v>
      </c>
      <c r="C20" t="s">
        <v>718</v>
      </c>
      <c r="D20" s="841">
        <v>3.8300000000000001E-2</v>
      </c>
      <c r="E20" s="927">
        <f>Updated_Daily__Last_Update__3_07_20233[[#This Row],[1-month Term SOFR]]-Updated_Daily__Last_Update__3_07_20233[[#This Row],[Prior]]</f>
        <v>3.4000000000000002E-3</v>
      </c>
    </row>
    <row r="21" spans="1:5" x14ac:dyDescent="0.35">
      <c r="A21" s="840">
        <v>45789</v>
      </c>
      <c r="B21" s="841">
        <v>4.1300000000000003E-2</v>
      </c>
      <c r="C21" t="s">
        <v>718</v>
      </c>
      <c r="D21" s="841">
        <v>3.8300000000000001E-2</v>
      </c>
      <c r="E21" s="927">
        <f>Updated_Daily__Last_Update__3_07_20233[[#This Row],[1-month Term SOFR]]-Updated_Daily__Last_Update__3_07_20233[[#This Row],[Prior]]</f>
        <v>3.0000000000000027E-3</v>
      </c>
    </row>
    <row r="22" spans="1:5" x14ac:dyDescent="0.35">
      <c r="A22" s="840">
        <v>45820</v>
      </c>
      <c r="B22" s="841">
        <v>4.1300000000000003E-2</v>
      </c>
      <c r="C22" t="s">
        <v>718</v>
      </c>
      <c r="D22" s="841">
        <v>3.8300000000000001E-2</v>
      </c>
      <c r="E22" s="927">
        <f>Updated_Daily__Last_Update__3_07_20233[[#This Row],[1-month Term SOFR]]-Updated_Daily__Last_Update__3_07_20233[[#This Row],[Prior]]</f>
        <v>3.0000000000000027E-3</v>
      </c>
    </row>
    <row r="23" spans="1:5" x14ac:dyDescent="0.35">
      <c r="A23" s="840">
        <v>45850</v>
      </c>
      <c r="B23" s="841">
        <v>4.1300000000000003E-2</v>
      </c>
      <c r="C23" t="s">
        <v>718</v>
      </c>
      <c r="D23" s="841">
        <v>3.8300000000000001E-2</v>
      </c>
      <c r="E23" s="927">
        <f>Updated_Daily__Last_Update__3_07_20233[[#This Row],[1-month Term SOFR]]-Updated_Daily__Last_Update__3_07_20233[[#This Row],[Prior]]</f>
        <v>3.0000000000000027E-3</v>
      </c>
    </row>
    <row r="24" spans="1:5" x14ac:dyDescent="0.35">
      <c r="A24" s="840">
        <v>45881</v>
      </c>
      <c r="B24" s="841">
        <v>4.1300000000000003E-2</v>
      </c>
      <c r="C24" t="s">
        <v>718</v>
      </c>
      <c r="D24" s="841">
        <v>3.8300000000000001E-2</v>
      </c>
      <c r="E24" s="927">
        <f>Updated_Daily__Last_Update__3_07_20233[[#This Row],[1-month Term SOFR]]-Updated_Daily__Last_Update__3_07_20233[[#This Row],[Prior]]</f>
        <v>3.0000000000000027E-3</v>
      </c>
    </row>
    <row r="25" spans="1:5" x14ac:dyDescent="0.35">
      <c r="A25" s="840">
        <v>45912</v>
      </c>
      <c r="B25" s="841">
        <v>4.1300000000000003E-2</v>
      </c>
      <c r="C25" t="s">
        <v>718</v>
      </c>
      <c r="D25" s="841">
        <v>3.8300000000000001E-2</v>
      </c>
      <c r="E25" s="927">
        <f>Updated_Daily__Last_Update__3_07_20233[[#This Row],[1-month Term SOFR]]-Updated_Daily__Last_Update__3_07_20233[[#This Row],[Prior]]</f>
        <v>3.0000000000000027E-3</v>
      </c>
    </row>
    <row r="26" spans="1:5" x14ac:dyDescent="0.35">
      <c r="A26" s="840">
        <v>45942</v>
      </c>
      <c r="B26" s="841">
        <v>3.9600000000000003E-2</v>
      </c>
      <c r="C26" t="s">
        <v>719</v>
      </c>
      <c r="D26" s="841">
        <v>3.49E-2</v>
      </c>
      <c r="E26" s="927">
        <f>Updated_Daily__Last_Update__3_07_20233[[#This Row],[1-month Term SOFR]]-Updated_Daily__Last_Update__3_07_20233[[#This Row],[Prior]]</f>
        <v>4.7000000000000028E-3</v>
      </c>
    </row>
    <row r="27" spans="1:5" x14ac:dyDescent="0.35">
      <c r="A27" s="840">
        <v>45973</v>
      </c>
      <c r="B27" s="841">
        <v>3.9300000000000002E-2</v>
      </c>
      <c r="C27" t="s">
        <v>719</v>
      </c>
      <c r="D27" s="841">
        <v>3.4799999999999998E-2</v>
      </c>
      <c r="E27" s="927">
        <f>Updated_Daily__Last_Update__3_07_20233[[#This Row],[1-month Term SOFR]]-Updated_Daily__Last_Update__3_07_20233[[#This Row],[Prior]]</f>
        <v>4.500000000000004E-3</v>
      </c>
    </row>
    <row r="28" spans="1:5" x14ac:dyDescent="0.35">
      <c r="A28" s="840">
        <v>46003</v>
      </c>
      <c r="B28" s="841">
        <v>3.9300000000000002E-2</v>
      </c>
      <c r="C28" t="s">
        <v>719</v>
      </c>
      <c r="D28" s="841">
        <v>3.4799999999999998E-2</v>
      </c>
      <c r="E28" s="927">
        <f>Updated_Daily__Last_Update__3_07_20233[[#This Row],[1-month Term SOFR]]-Updated_Daily__Last_Update__3_07_20233[[#This Row],[Prior]]</f>
        <v>4.500000000000004E-3</v>
      </c>
    </row>
    <row r="29" spans="1:5" x14ac:dyDescent="0.35">
      <c r="A29" s="840">
        <v>46034</v>
      </c>
      <c r="B29" s="841">
        <v>3.9300000000000002E-2</v>
      </c>
      <c r="C29" t="s">
        <v>719</v>
      </c>
      <c r="D29" s="841">
        <v>3.4799999999999998E-2</v>
      </c>
      <c r="E29" s="927">
        <f>Updated_Daily__Last_Update__3_07_20233[[#This Row],[1-month Term SOFR]]-Updated_Daily__Last_Update__3_07_20233[[#This Row],[Prior]]</f>
        <v>4.500000000000004E-3</v>
      </c>
    </row>
    <row r="30" spans="1:5" x14ac:dyDescent="0.35">
      <c r="A30" s="840">
        <v>46065</v>
      </c>
      <c r="B30" s="841">
        <v>3.9300000000000002E-2</v>
      </c>
      <c r="C30" t="s">
        <v>719</v>
      </c>
      <c r="D30" s="841">
        <v>3.4799999999999998E-2</v>
      </c>
      <c r="E30" s="927">
        <f>Updated_Daily__Last_Update__3_07_20233[[#This Row],[1-month Term SOFR]]-Updated_Daily__Last_Update__3_07_20233[[#This Row],[Prior]]</f>
        <v>4.500000000000004E-3</v>
      </c>
    </row>
    <row r="31" spans="1:5" x14ac:dyDescent="0.35">
      <c r="A31" s="840">
        <v>46093</v>
      </c>
      <c r="B31" s="841">
        <v>3.9300000000000002E-2</v>
      </c>
      <c r="C31" t="s">
        <v>719</v>
      </c>
      <c r="D31" s="841">
        <v>3.4799999999999998E-2</v>
      </c>
      <c r="E31" s="927">
        <f>Updated_Daily__Last_Update__3_07_20233[[#This Row],[1-month Term SOFR]]-Updated_Daily__Last_Update__3_07_20233[[#This Row],[Prior]]</f>
        <v>4.500000000000004E-3</v>
      </c>
    </row>
    <row r="32" spans="1:5" x14ac:dyDescent="0.35">
      <c r="A32" s="840">
        <v>46124</v>
      </c>
      <c r="B32" s="841">
        <v>3.9300000000000002E-2</v>
      </c>
      <c r="C32" t="s">
        <v>719</v>
      </c>
      <c r="D32" s="841">
        <v>3.4799999999999998E-2</v>
      </c>
      <c r="E32" s="927">
        <f>Updated_Daily__Last_Update__3_07_20233[[#This Row],[1-month Term SOFR]]-Updated_Daily__Last_Update__3_07_20233[[#This Row],[Prior]]</f>
        <v>4.500000000000004E-3</v>
      </c>
    </row>
    <row r="33" spans="1:6" x14ac:dyDescent="0.35">
      <c r="A33" s="840">
        <v>46154</v>
      </c>
      <c r="B33" s="841">
        <v>3.9300000000000002E-2</v>
      </c>
      <c r="C33" t="s">
        <v>719</v>
      </c>
      <c r="D33" s="841">
        <v>3.4799999999999998E-2</v>
      </c>
      <c r="E33" s="927">
        <f>Updated_Daily__Last_Update__3_07_20233[[#This Row],[1-month Term SOFR]]-Updated_Daily__Last_Update__3_07_20233[[#This Row],[Prior]]</f>
        <v>4.500000000000004E-3</v>
      </c>
    </row>
    <row r="34" spans="1:6" x14ac:dyDescent="0.35">
      <c r="A34" s="840">
        <v>46185</v>
      </c>
      <c r="B34" s="841">
        <v>3.9300000000000002E-2</v>
      </c>
      <c r="C34" t="s">
        <v>719</v>
      </c>
      <c r="D34" s="841">
        <v>3.4799999999999998E-2</v>
      </c>
      <c r="E34" s="927">
        <f>Updated_Daily__Last_Update__3_07_20233[[#This Row],[1-month Term SOFR]]-Updated_Daily__Last_Update__3_07_20233[[#This Row],[Prior]]</f>
        <v>4.500000000000004E-3</v>
      </c>
    </row>
    <row r="35" spans="1:6" x14ac:dyDescent="0.35">
      <c r="A35" s="840">
        <v>46215</v>
      </c>
      <c r="B35" s="841">
        <v>3.9300000000000002E-2</v>
      </c>
      <c r="C35" t="s">
        <v>719</v>
      </c>
      <c r="D35" s="841">
        <v>3.4799999999999998E-2</v>
      </c>
      <c r="E35" s="927">
        <f>Updated_Daily__Last_Update__3_07_20233[[#This Row],[1-month Term SOFR]]-Updated_Daily__Last_Update__3_07_20233[[#This Row],[Prior]]</f>
        <v>4.500000000000004E-3</v>
      </c>
    </row>
    <row r="36" spans="1:6" x14ac:dyDescent="0.35">
      <c r="A36" s="840">
        <v>46246</v>
      </c>
      <c r="B36" s="841">
        <v>3.9300000000000002E-2</v>
      </c>
      <c r="C36" t="s">
        <v>719</v>
      </c>
      <c r="D36" s="841">
        <v>3.4799999999999998E-2</v>
      </c>
      <c r="E36" s="927">
        <f>Updated_Daily__Last_Update__3_07_20233[[#This Row],[1-month Term SOFR]]-Updated_Daily__Last_Update__3_07_20233[[#This Row],[Prior]]</f>
        <v>4.500000000000004E-3</v>
      </c>
    </row>
    <row r="37" spans="1:6" x14ac:dyDescent="0.35">
      <c r="A37" s="840">
        <v>46277</v>
      </c>
      <c r="B37" s="841">
        <v>3.9300000000000002E-2</v>
      </c>
      <c r="C37" t="s">
        <v>719</v>
      </c>
      <c r="D37" s="841">
        <v>3.4799999999999998E-2</v>
      </c>
      <c r="E37" s="927">
        <f>Updated_Daily__Last_Update__3_07_20233[[#This Row],[1-month Term SOFR]]-Updated_Daily__Last_Update__3_07_20233[[#This Row],[Prior]]</f>
        <v>4.500000000000004E-3</v>
      </c>
      <c r="F37" s="927">
        <f>AVERAGE(E2:E37)</f>
        <v>2.4277777777777787E-3</v>
      </c>
    </row>
    <row r="38" spans="1:6" x14ac:dyDescent="0.35">
      <c r="A38" s="840">
        <v>46307</v>
      </c>
      <c r="B38" s="841">
        <v>3.8899999999999997E-2</v>
      </c>
      <c r="C38" t="s">
        <v>720</v>
      </c>
      <c r="D38" s="841">
        <v>3.2300000000000002E-2</v>
      </c>
      <c r="E38" s="927">
        <f>Updated_Daily__Last_Update__3_07_20233[[#This Row],[1-month Term SOFR]]-Updated_Daily__Last_Update__3_07_20233[[#This Row],[Prior]]</f>
        <v>6.5999999999999948E-3</v>
      </c>
    </row>
    <row r="39" spans="1:6" x14ac:dyDescent="0.35">
      <c r="A39" s="840">
        <v>46338</v>
      </c>
      <c r="B39" s="841">
        <v>3.8899999999999997E-2</v>
      </c>
      <c r="C39" t="s">
        <v>721</v>
      </c>
      <c r="D39" s="841">
        <v>3.2300000000000002E-2</v>
      </c>
      <c r="E39" s="927">
        <f>Updated_Daily__Last_Update__3_07_20233[[#This Row],[1-month Term SOFR]]-Updated_Daily__Last_Update__3_07_20233[[#This Row],[Prior]]</f>
        <v>6.5999999999999948E-3</v>
      </c>
    </row>
    <row r="40" spans="1:6" x14ac:dyDescent="0.35">
      <c r="A40" s="840">
        <v>46368</v>
      </c>
      <c r="B40" s="841">
        <v>3.8899999999999997E-2</v>
      </c>
      <c r="C40" t="s">
        <v>720</v>
      </c>
      <c r="D40" s="841">
        <v>3.2300000000000002E-2</v>
      </c>
      <c r="E40" s="927">
        <f>Updated_Daily__Last_Update__3_07_20233[[#This Row],[1-month Term SOFR]]-Updated_Daily__Last_Update__3_07_20233[[#This Row],[Prior]]</f>
        <v>6.5999999999999948E-3</v>
      </c>
    </row>
    <row r="41" spans="1:6" x14ac:dyDescent="0.35">
      <c r="A41" s="840">
        <v>46399</v>
      </c>
      <c r="B41" s="841">
        <v>3.8899999999999997E-2</v>
      </c>
      <c r="C41" t="s">
        <v>720</v>
      </c>
      <c r="D41" s="841">
        <v>3.2300000000000002E-2</v>
      </c>
      <c r="E41" s="927">
        <f>Updated_Daily__Last_Update__3_07_20233[[#This Row],[1-month Term SOFR]]-Updated_Daily__Last_Update__3_07_20233[[#This Row],[Prior]]</f>
        <v>6.5999999999999948E-3</v>
      </c>
    </row>
    <row r="42" spans="1:6" x14ac:dyDescent="0.35">
      <c r="A42" s="840">
        <v>46430</v>
      </c>
      <c r="B42" s="841">
        <v>3.8899999999999997E-2</v>
      </c>
      <c r="C42" t="s">
        <v>721</v>
      </c>
      <c r="D42" s="841">
        <v>3.2300000000000002E-2</v>
      </c>
      <c r="E42" s="927">
        <f>Updated_Daily__Last_Update__3_07_20233[[#This Row],[1-month Term SOFR]]-Updated_Daily__Last_Update__3_07_20233[[#This Row],[Prior]]</f>
        <v>6.5999999999999948E-3</v>
      </c>
    </row>
    <row r="43" spans="1:6" x14ac:dyDescent="0.35">
      <c r="A43" s="840">
        <v>46458</v>
      </c>
      <c r="B43" s="841">
        <v>3.8899999999999997E-2</v>
      </c>
      <c r="C43" t="s">
        <v>721</v>
      </c>
      <c r="D43" s="841">
        <v>3.2300000000000002E-2</v>
      </c>
      <c r="E43" s="927">
        <f>Updated_Daily__Last_Update__3_07_20233[[#This Row],[1-month Term SOFR]]-Updated_Daily__Last_Update__3_07_20233[[#This Row],[Prior]]</f>
        <v>6.5999999999999948E-3</v>
      </c>
    </row>
    <row r="44" spans="1:6" x14ac:dyDescent="0.35">
      <c r="A44" s="840">
        <v>46489</v>
      </c>
      <c r="B44" s="841">
        <v>3.8899999999999997E-2</v>
      </c>
      <c r="C44" t="s">
        <v>721</v>
      </c>
      <c r="D44" s="841">
        <v>3.2300000000000002E-2</v>
      </c>
      <c r="E44" s="927">
        <f>Updated_Daily__Last_Update__3_07_20233[[#This Row],[1-month Term SOFR]]-Updated_Daily__Last_Update__3_07_20233[[#This Row],[Prior]]</f>
        <v>6.5999999999999948E-3</v>
      </c>
    </row>
    <row r="45" spans="1:6" x14ac:dyDescent="0.35">
      <c r="A45" s="840">
        <v>46519</v>
      </c>
      <c r="B45" s="841">
        <v>3.8899999999999997E-2</v>
      </c>
      <c r="C45" t="s">
        <v>721</v>
      </c>
      <c r="D45" s="841">
        <v>3.2300000000000002E-2</v>
      </c>
      <c r="E45" s="927">
        <f>Updated_Daily__Last_Update__3_07_20233[[#This Row],[1-month Term SOFR]]-Updated_Daily__Last_Update__3_07_20233[[#This Row],[Prior]]</f>
        <v>6.5999999999999948E-3</v>
      </c>
    </row>
    <row r="46" spans="1:6" x14ac:dyDescent="0.35">
      <c r="A46" s="840">
        <v>46550</v>
      </c>
      <c r="B46" s="841">
        <v>3.8899999999999997E-2</v>
      </c>
      <c r="C46" t="s">
        <v>721</v>
      </c>
      <c r="D46" s="841">
        <v>3.2300000000000002E-2</v>
      </c>
      <c r="E46" s="927">
        <f>Updated_Daily__Last_Update__3_07_20233[[#This Row],[1-month Term SOFR]]-Updated_Daily__Last_Update__3_07_20233[[#This Row],[Prior]]</f>
        <v>6.5999999999999948E-3</v>
      </c>
    </row>
    <row r="47" spans="1:6" x14ac:dyDescent="0.35">
      <c r="A47" s="840">
        <v>46580</v>
      </c>
      <c r="B47" s="841">
        <v>3.8899999999999997E-2</v>
      </c>
      <c r="C47" t="s">
        <v>720</v>
      </c>
      <c r="D47" s="841">
        <v>3.2300000000000002E-2</v>
      </c>
      <c r="E47" s="927">
        <f>Updated_Daily__Last_Update__3_07_20233[[#This Row],[1-month Term SOFR]]-Updated_Daily__Last_Update__3_07_20233[[#This Row],[Prior]]</f>
        <v>6.5999999999999948E-3</v>
      </c>
    </row>
    <row r="48" spans="1:6" x14ac:dyDescent="0.35">
      <c r="A48" s="840">
        <v>46611</v>
      </c>
      <c r="B48" s="841">
        <v>3.8899999999999997E-2</v>
      </c>
      <c r="C48" t="s">
        <v>721</v>
      </c>
      <c r="D48" s="841">
        <v>3.2300000000000002E-2</v>
      </c>
      <c r="E48" s="927">
        <f>Updated_Daily__Last_Update__3_07_20233[[#This Row],[1-month Term SOFR]]-Updated_Daily__Last_Update__3_07_20233[[#This Row],[Prior]]</f>
        <v>6.5999999999999948E-3</v>
      </c>
    </row>
    <row r="49" spans="1:5" x14ac:dyDescent="0.35">
      <c r="A49" s="840">
        <v>46642</v>
      </c>
      <c r="B49" s="841">
        <v>3.8899999999999997E-2</v>
      </c>
      <c r="C49" t="s">
        <v>721</v>
      </c>
      <c r="D49" s="841">
        <v>3.2300000000000002E-2</v>
      </c>
      <c r="E49" s="927">
        <f>Updated_Daily__Last_Update__3_07_20233[[#This Row],[1-month Term SOFR]]-Updated_Daily__Last_Update__3_07_20233[[#This Row],[Prior]]</f>
        <v>6.5999999999999948E-3</v>
      </c>
    </row>
    <row r="50" spans="1:5" x14ac:dyDescent="0.35">
      <c r="A50" s="840">
        <v>46672</v>
      </c>
      <c r="B50" s="841">
        <v>3.9399999999999998E-2</v>
      </c>
      <c r="C50" t="s">
        <v>719</v>
      </c>
      <c r="D50" s="841">
        <v>3.1899999999999998E-2</v>
      </c>
      <c r="E50" s="927">
        <f>Updated_Daily__Last_Update__3_07_20233[[#This Row],[1-month Term SOFR]]-Updated_Daily__Last_Update__3_07_20233[[#This Row],[Prior]]</f>
        <v>7.4999999999999997E-3</v>
      </c>
    </row>
    <row r="51" spans="1:5" x14ac:dyDescent="0.35">
      <c r="A51" s="840">
        <v>46703</v>
      </c>
      <c r="B51" s="841">
        <v>3.95E-2</v>
      </c>
      <c r="C51" t="s">
        <v>722</v>
      </c>
      <c r="D51" s="841">
        <v>3.1899999999999998E-2</v>
      </c>
      <c r="E51" s="927">
        <f>Updated_Daily__Last_Update__3_07_20233[[#This Row],[1-month Term SOFR]]-Updated_Daily__Last_Update__3_07_20233[[#This Row],[Prior]]</f>
        <v>7.6000000000000026E-3</v>
      </c>
    </row>
    <row r="52" spans="1:5" x14ac:dyDescent="0.35">
      <c r="A52" s="840">
        <v>46733</v>
      </c>
      <c r="B52" s="841">
        <v>3.95E-2</v>
      </c>
      <c r="C52" t="s">
        <v>722</v>
      </c>
      <c r="D52" s="841">
        <v>3.1899999999999998E-2</v>
      </c>
      <c r="E52" s="927">
        <f>Updated_Daily__Last_Update__3_07_20233[[#This Row],[1-month Term SOFR]]-Updated_Daily__Last_Update__3_07_20233[[#This Row],[Prior]]</f>
        <v>7.6000000000000026E-3</v>
      </c>
    </row>
    <row r="53" spans="1:5" x14ac:dyDescent="0.35">
      <c r="A53" s="840">
        <v>46764</v>
      </c>
      <c r="B53" s="841">
        <v>3.95E-2</v>
      </c>
      <c r="C53" t="s">
        <v>722</v>
      </c>
      <c r="D53" s="841">
        <v>3.1899999999999998E-2</v>
      </c>
      <c r="E53" s="927">
        <f>Updated_Daily__Last_Update__3_07_20233[[#This Row],[1-month Term SOFR]]-Updated_Daily__Last_Update__3_07_20233[[#This Row],[Prior]]</f>
        <v>7.6000000000000026E-3</v>
      </c>
    </row>
    <row r="54" spans="1:5" x14ac:dyDescent="0.35">
      <c r="A54" s="840">
        <v>46795</v>
      </c>
      <c r="B54" s="841">
        <v>3.95E-2</v>
      </c>
      <c r="C54" t="s">
        <v>722</v>
      </c>
      <c r="D54" s="841">
        <v>3.1899999999999998E-2</v>
      </c>
      <c r="E54" s="927">
        <f>Updated_Daily__Last_Update__3_07_20233[[#This Row],[1-month Term SOFR]]-Updated_Daily__Last_Update__3_07_20233[[#This Row],[Prior]]</f>
        <v>7.6000000000000026E-3</v>
      </c>
    </row>
    <row r="55" spans="1:5" x14ac:dyDescent="0.35">
      <c r="A55" s="840">
        <v>46824</v>
      </c>
      <c r="B55" s="841">
        <v>3.95E-2</v>
      </c>
      <c r="C55" t="s">
        <v>722</v>
      </c>
      <c r="D55" s="841">
        <v>3.1899999999999998E-2</v>
      </c>
      <c r="E55" s="927">
        <f>Updated_Daily__Last_Update__3_07_20233[[#This Row],[1-month Term SOFR]]-Updated_Daily__Last_Update__3_07_20233[[#This Row],[Prior]]</f>
        <v>7.6000000000000026E-3</v>
      </c>
    </row>
    <row r="56" spans="1:5" x14ac:dyDescent="0.35">
      <c r="A56" s="840">
        <v>46855</v>
      </c>
      <c r="B56" s="841">
        <v>3.95E-2</v>
      </c>
      <c r="C56" t="s">
        <v>722</v>
      </c>
      <c r="D56" s="841">
        <v>3.1899999999999998E-2</v>
      </c>
      <c r="E56" s="927">
        <f>Updated_Daily__Last_Update__3_07_20233[[#This Row],[1-month Term SOFR]]-Updated_Daily__Last_Update__3_07_20233[[#This Row],[Prior]]</f>
        <v>7.6000000000000026E-3</v>
      </c>
    </row>
    <row r="57" spans="1:5" x14ac:dyDescent="0.35">
      <c r="A57" s="840">
        <v>46885</v>
      </c>
      <c r="B57" s="841">
        <v>3.95E-2</v>
      </c>
      <c r="C57" t="s">
        <v>722</v>
      </c>
      <c r="D57" s="841">
        <v>3.1899999999999998E-2</v>
      </c>
      <c r="E57" s="927">
        <f>Updated_Daily__Last_Update__3_07_20233[[#This Row],[1-month Term SOFR]]-Updated_Daily__Last_Update__3_07_20233[[#This Row],[Prior]]</f>
        <v>7.6000000000000026E-3</v>
      </c>
    </row>
    <row r="58" spans="1:5" x14ac:dyDescent="0.35">
      <c r="A58" s="840">
        <v>46916</v>
      </c>
      <c r="B58" s="841">
        <v>3.95E-2</v>
      </c>
      <c r="C58" t="s">
        <v>722</v>
      </c>
      <c r="D58" s="841">
        <v>3.1899999999999998E-2</v>
      </c>
      <c r="E58" s="927">
        <f>Updated_Daily__Last_Update__3_07_20233[[#This Row],[1-month Term SOFR]]-Updated_Daily__Last_Update__3_07_20233[[#This Row],[Prior]]</f>
        <v>7.6000000000000026E-3</v>
      </c>
    </row>
    <row r="59" spans="1:5" x14ac:dyDescent="0.35">
      <c r="A59" s="840">
        <v>46946</v>
      </c>
      <c r="B59" s="841">
        <v>3.95E-2</v>
      </c>
      <c r="C59" t="s">
        <v>722</v>
      </c>
      <c r="D59" s="841">
        <v>3.1899999999999998E-2</v>
      </c>
      <c r="E59" s="927">
        <f>Updated_Daily__Last_Update__3_07_20233[[#This Row],[1-month Term SOFR]]-Updated_Daily__Last_Update__3_07_20233[[#This Row],[Prior]]</f>
        <v>7.6000000000000026E-3</v>
      </c>
    </row>
    <row r="60" spans="1:5" x14ac:dyDescent="0.35">
      <c r="A60" s="840">
        <v>46977</v>
      </c>
      <c r="B60" s="841">
        <v>3.95E-2</v>
      </c>
      <c r="C60" t="s">
        <v>722</v>
      </c>
      <c r="D60" s="841">
        <v>3.1899999999999998E-2</v>
      </c>
      <c r="E60" s="927">
        <f>Updated_Daily__Last_Update__3_07_20233[[#This Row],[1-month Term SOFR]]-Updated_Daily__Last_Update__3_07_20233[[#This Row],[Prior]]</f>
        <v>7.6000000000000026E-3</v>
      </c>
    </row>
    <row r="61" spans="1:5" x14ac:dyDescent="0.35">
      <c r="A61" s="840">
        <v>47008</v>
      </c>
      <c r="B61" s="841">
        <v>3.95E-2</v>
      </c>
      <c r="C61" t="s">
        <v>722</v>
      </c>
      <c r="D61" s="841">
        <v>3.1899999999999998E-2</v>
      </c>
      <c r="E61" s="927">
        <f>Updated_Daily__Last_Update__3_07_20233[[#This Row],[1-month Term SOFR]]-Updated_Daily__Last_Update__3_07_20233[[#This Row],[Prior]]</f>
        <v>7.6000000000000026E-3</v>
      </c>
    </row>
    <row r="62" spans="1:5" x14ac:dyDescent="0.35">
      <c r="A62" s="840">
        <v>47038</v>
      </c>
      <c r="B62" s="841">
        <v>4.02E-2</v>
      </c>
      <c r="C62" t="s">
        <v>723</v>
      </c>
      <c r="D62" s="841">
        <v>3.2000000000000001E-2</v>
      </c>
      <c r="E62" s="927">
        <f>Updated_Daily__Last_Update__3_07_20233[[#This Row],[1-month Term SOFR]]-Updated_Daily__Last_Update__3_07_20233[[#This Row],[Prior]]</f>
        <v>8.199999999999999E-3</v>
      </c>
    </row>
    <row r="63" spans="1:5" x14ac:dyDescent="0.35">
      <c r="A63" s="840">
        <v>47069</v>
      </c>
      <c r="B63" s="841">
        <v>4.0300000000000002E-2</v>
      </c>
      <c r="C63" t="s">
        <v>723</v>
      </c>
      <c r="D63" s="841">
        <v>3.2000000000000001E-2</v>
      </c>
      <c r="E63" s="927">
        <f>Updated_Daily__Last_Update__3_07_20233[[#This Row],[1-month Term SOFR]]-Updated_Daily__Last_Update__3_07_20233[[#This Row],[Prior]]</f>
        <v>8.3000000000000018E-3</v>
      </c>
    </row>
    <row r="64" spans="1:5" x14ac:dyDescent="0.35">
      <c r="A64" s="840">
        <v>47099</v>
      </c>
      <c r="B64" s="841">
        <v>4.0300000000000002E-2</v>
      </c>
      <c r="C64" t="s">
        <v>723</v>
      </c>
      <c r="D64" s="841">
        <v>3.2000000000000001E-2</v>
      </c>
      <c r="E64" s="927">
        <f>Updated_Daily__Last_Update__3_07_20233[[#This Row],[1-month Term SOFR]]-Updated_Daily__Last_Update__3_07_20233[[#This Row],[Prior]]</f>
        <v>8.3000000000000018E-3</v>
      </c>
    </row>
    <row r="65" spans="1:5" x14ac:dyDescent="0.35">
      <c r="A65" s="840">
        <v>47130</v>
      </c>
      <c r="B65" s="841">
        <v>4.0300000000000002E-2</v>
      </c>
      <c r="C65" t="s">
        <v>723</v>
      </c>
      <c r="D65" s="841">
        <v>3.2000000000000001E-2</v>
      </c>
      <c r="E65" s="927">
        <f>Updated_Daily__Last_Update__3_07_20233[[#This Row],[1-month Term SOFR]]-Updated_Daily__Last_Update__3_07_20233[[#This Row],[Prior]]</f>
        <v>8.3000000000000018E-3</v>
      </c>
    </row>
    <row r="66" spans="1:5" x14ac:dyDescent="0.35">
      <c r="A66" s="840">
        <v>47161</v>
      </c>
      <c r="B66" s="841">
        <v>4.0300000000000002E-2</v>
      </c>
      <c r="C66" t="s">
        <v>723</v>
      </c>
      <c r="D66" s="841">
        <v>3.2000000000000001E-2</v>
      </c>
      <c r="E66" s="927">
        <f>Updated_Daily__Last_Update__3_07_20233[[#This Row],[1-month Term SOFR]]-Updated_Daily__Last_Update__3_07_20233[[#This Row],[Prior]]</f>
        <v>8.3000000000000018E-3</v>
      </c>
    </row>
    <row r="67" spans="1:5" x14ac:dyDescent="0.35">
      <c r="A67" s="840">
        <v>47189</v>
      </c>
      <c r="B67" s="841">
        <v>4.0300000000000002E-2</v>
      </c>
      <c r="C67" t="s">
        <v>723</v>
      </c>
      <c r="D67" s="841">
        <v>3.2000000000000001E-2</v>
      </c>
      <c r="E67" s="927">
        <f>Updated_Daily__Last_Update__3_07_20233[[#This Row],[1-month Term SOFR]]-Updated_Daily__Last_Update__3_07_20233[[#This Row],[Prior]]</f>
        <v>8.3000000000000018E-3</v>
      </c>
    </row>
    <row r="68" spans="1:5" x14ac:dyDescent="0.35">
      <c r="A68" s="840">
        <v>47220</v>
      </c>
      <c r="B68" s="841">
        <v>4.0300000000000002E-2</v>
      </c>
      <c r="C68" t="s">
        <v>723</v>
      </c>
      <c r="D68" s="841">
        <v>3.2000000000000001E-2</v>
      </c>
      <c r="E68" s="927">
        <f>Updated_Daily__Last_Update__3_07_20233[[#This Row],[1-month Term SOFR]]-Updated_Daily__Last_Update__3_07_20233[[#This Row],[Prior]]</f>
        <v>8.3000000000000018E-3</v>
      </c>
    </row>
    <row r="69" spans="1:5" x14ac:dyDescent="0.35">
      <c r="A69" s="840">
        <v>47250</v>
      </c>
      <c r="B69" s="841">
        <v>4.0300000000000002E-2</v>
      </c>
      <c r="C69" t="s">
        <v>723</v>
      </c>
      <c r="D69" s="841">
        <v>3.2000000000000001E-2</v>
      </c>
      <c r="E69" s="927">
        <f>Updated_Daily__Last_Update__3_07_20233[[#This Row],[1-month Term SOFR]]-Updated_Daily__Last_Update__3_07_20233[[#This Row],[Prior]]</f>
        <v>8.3000000000000018E-3</v>
      </c>
    </row>
    <row r="70" spans="1:5" x14ac:dyDescent="0.35">
      <c r="A70" s="840">
        <v>47281</v>
      </c>
      <c r="B70" s="841">
        <v>4.0300000000000002E-2</v>
      </c>
      <c r="C70" t="s">
        <v>723</v>
      </c>
      <c r="D70" s="841">
        <v>3.2000000000000001E-2</v>
      </c>
      <c r="E70" s="927">
        <f>Updated_Daily__Last_Update__3_07_20233[[#This Row],[1-month Term SOFR]]-Updated_Daily__Last_Update__3_07_20233[[#This Row],[Prior]]</f>
        <v>8.3000000000000018E-3</v>
      </c>
    </row>
    <row r="71" spans="1:5" x14ac:dyDescent="0.35">
      <c r="A71" s="840">
        <v>47311</v>
      </c>
      <c r="B71" s="841">
        <v>4.0300000000000002E-2</v>
      </c>
      <c r="C71" t="s">
        <v>723</v>
      </c>
      <c r="D71" s="841">
        <v>3.2000000000000001E-2</v>
      </c>
      <c r="E71" s="927">
        <f>Updated_Daily__Last_Update__3_07_20233[[#This Row],[1-month Term SOFR]]-Updated_Daily__Last_Update__3_07_20233[[#This Row],[Prior]]</f>
        <v>8.3000000000000018E-3</v>
      </c>
    </row>
    <row r="72" spans="1:5" x14ac:dyDescent="0.35">
      <c r="A72" s="840">
        <v>47342</v>
      </c>
      <c r="B72" s="841">
        <v>4.0300000000000002E-2</v>
      </c>
      <c r="C72" t="s">
        <v>723</v>
      </c>
      <c r="D72" s="841">
        <v>3.2000000000000001E-2</v>
      </c>
      <c r="E72" s="927">
        <f>Updated_Daily__Last_Update__3_07_20233[[#This Row],[1-month Term SOFR]]-Updated_Daily__Last_Update__3_07_20233[[#This Row],[Prior]]</f>
        <v>8.3000000000000018E-3</v>
      </c>
    </row>
    <row r="73" spans="1:5" x14ac:dyDescent="0.35">
      <c r="A73" s="840">
        <v>47373</v>
      </c>
      <c r="B73" s="841">
        <v>4.0300000000000002E-2</v>
      </c>
      <c r="C73" t="s">
        <v>723</v>
      </c>
      <c r="D73" s="841">
        <v>3.2000000000000001E-2</v>
      </c>
      <c r="E73" s="927">
        <f>Updated_Daily__Last_Update__3_07_20233[[#This Row],[1-month Term SOFR]]-Updated_Daily__Last_Update__3_07_20233[[#This Row],[Prior]]</f>
        <v>8.3000000000000018E-3</v>
      </c>
    </row>
    <row r="74" spans="1:5" x14ac:dyDescent="0.35">
      <c r="A74" s="840">
        <v>47403</v>
      </c>
      <c r="B74" s="841">
        <v>4.0500000000000001E-2</v>
      </c>
      <c r="C74" t="s">
        <v>724</v>
      </c>
      <c r="D74" s="841">
        <v>3.1899999999999998E-2</v>
      </c>
      <c r="E74" s="927">
        <f>Updated_Daily__Last_Update__3_07_20233[[#This Row],[1-month Term SOFR]]-Updated_Daily__Last_Update__3_07_20233[[#This Row],[Prior]]</f>
        <v>8.6000000000000035E-3</v>
      </c>
    </row>
    <row r="75" spans="1:5" x14ac:dyDescent="0.35">
      <c r="A75" s="840">
        <v>47434</v>
      </c>
      <c r="B75" s="841">
        <v>4.0500000000000001E-2</v>
      </c>
      <c r="C75" t="s">
        <v>724</v>
      </c>
      <c r="D75" s="841">
        <v>3.1800000000000002E-2</v>
      </c>
      <c r="E75" s="927">
        <f>Updated_Daily__Last_Update__3_07_20233[[#This Row],[1-month Term SOFR]]-Updated_Daily__Last_Update__3_07_20233[[#This Row],[Prior]]</f>
        <v>8.6999999999999994E-3</v>
      </c>
    </row>
    <row r="76" spans="1:5" x14ac:dyDescent="0.35">
      <c r="A76" s="840">
        <v>47464</v>
      </c>
      <c r="B76" s="841">
        <v>4.0500000000000001E-2</v>
      </c>
      <c r="C76" t="s">
        <v>724</v>
      </c>
      <c r="D76" s="841">
        <v>3.1800000000000002E-2</v>
      </c>
      <c r="E76" s="927">
        <f>Updated_Daily__Last_Update__3_07_20233[[#This Row],[1-month Term SOFR]]-Updated_Daily__Last_Update__3_07_20233[[#This Row],[Prior]]</f>
        <v>8.6999999999999994E-3</v>
      </c>
    </row>
    <row r="77" spans="1:5" x14ac:dyDescent="0.35">
      <c r="A77" s="840">
        <v>47495</v>
      </c>
      <c r="B77" s="841">
        <v>4.0500000000000001E-2</v>
      </c>
      <c r="C77" t="s">
        <v>724</v>
      </c>
      <c r="D77" s="841">
        <v>3.1800000000000002E-2</v>
      </c>
      <c r="E77" s="927">
        <f>Updated_Daily__Last_Update__3_07_20233[[#This Row],[1-month Term SOFR]]-Updated_Daily__Last_Update__3_07_20233[[#This Row],[Prior]]</f>
        <v>8.6999999999999994E-3</v>
      </c>
    </row>
    <row r="78" spans="1:5" x14ac:dyDescent="0.35">
      <c r="A78" s="840">
        <v>47526</v>
      </c>
      <c r="B78" s="841">
        <v>4.0500000000000001E-2</v>
      </c>
      <c r="C78" t="s">
        <v>724</v>
      </c>
      <c r="D78" s="841">
        <v>3.1800000000000002E-2</v>
      </c>
      <c r="E78" s="927">
        <f>Updated_Daily__Last_Update__3_07_20233[[#This Row],[1-month Term SOFR]]-Updated_Daily__Last_Update__3_07_20233[[#This Row],[Prior]]</f>
        <v>8.6999999999999994E-3</v>
      </c>
    </row>
    <row r="79" spans="1:5" x14ac:dyDescent="0.35">
      <c r="A79" s="840">
        <v>47554</v>
      </c>
      <c r="B79" s="841">
        <v>4.0500000000000001E-2</v>
      </c>
      <c r="C79" t="s">
        <v>724</v>
      </c>
      <c r="D79" s="841">
        <v>3.1800000000000002E-2</v>
      </c>
      <c r="E79" s="927">
        <f>Updated_Daily__Last_Update__3_07_20233[[#This Row],[1-month Term SOFR]]-Updated_Daily__Last_Update__3_07_20233[[#This Row],[Prior]]</f>
        <v>8.6999999999999994E-3</v>
      </c>
    </row>
    <row r="80" spans="1:5" x14ac:dyDescent="0.35">
      <c r="A80" s="840">
        <v>47585</v>
      </c>
      <c r="B80" s="841">
        <v>4.0500000000000001E-2</v>
      </c>
      <c r="C80" t="s">
        <v>724</v>
      </c>
      <c r="D80" s="841">
        <v>3.1800000000000002E-2</v>
      </c>
      <c r="E80" s="927">
        <f>Updated_Daily__Last_Update__3_07_20233[[#This Row],[1-month Term SOFR]]-Updated_Daily__Last_Update__3_07_20233[[#This Row],[Prior]]</f>
        <v>8.6999999999999994E-3</v>
      </c>
    </row>
    <row r="81" spans="1:5" x14ac:dyDescent="0.35">
      <c r="A81" s="840">
        <v>47615</v>
      </c>
      <c r="B81" s="841">
        <v>4.0500000000000001E-2</v>
      </c>
      <c r="C81" t="s">
        <v>724</v>
      </c>
      <c r="D81" s="841">
        <v>3.1800000000000002E-2</v>
      </c>
      <c r="E81" s="927">
        <f>Updated_Daily__Last_Update__3_07_20233[[#This Row],[1-month Term SOFR]]-Updated_Daily__Last_Update__3_07_20233[[#This Row],[Prior]]</f>
        <v>8.6999999999999994E-3</v>
      </c>
    </row>
    <row r="82" spans="1:5" x14ac:dyDescent="0.35">
      <c r="A82" s="840">
        <v>47646</v>
      </c>
      <c r="B82" s="841">
        <v>4.0500000000000001E-2</v>
      </c>
      <c r="C82" t="s">
        <v>724</v>
      </c>
      <c r="D82" s="841">
        <v>3.1800000000000002E-2</v>
      </c>
      <c r="E82" s="927">
        <f>Updated_Daily__Last_Update__3_07_20233[[#This Row],[1-month Term SOFR]]-Updated_Daily__Last_Update__3_07_20233[[#This Row],[Prior]]</f>
        <v>8.6999999999999994E-3</v>
      </c>
    </row>
    <row r="83" spans="1:5" x14ac:dyDescent="0.35">
      <c r="A83" s="840">
        <v>47676</v>
      </c>
      <c r="B83" s="841">
        <v>4.0500000000000001E-2</v>
      </c>
      <c r="C83" t="s">
        <v>724</v>
      </c>
      <c r="D83" s="841">
        <v>3.1800000000000002E-2</v>
      </c>
      <c r="E83" s="927">
        <f>Updated_Daily__Last_Update__3_07_20233[[#This Row],[1-month Term SOFR]]-Updated_Daily__Last_Update__3_07_20233[[#This Row],[Prior]]</f>
        <v>8.6999999999999994E-3</v>
      </c>
    </row>
    <row r="84" spans="1:5" x14ac:dyDescent="0.35">
      <c r="A84" s="840">
        <v>47707</v>
      </c>
      <c r="B84" s="841">
        <v>4.0500000000000001E-2</v>
      </c>
      <c r="C84" t="s">
        <v>724</v>
      </c>
      <c r="D84" s="841">
        <v>3.1800000000000002E-2</v>
      </c>
      <c r="E84" s="927">
        <f>Updated_Daily__Last_Update__3_07_20233[[#This Row],[1-month Term SOFR]]-Updated_Daily__Last_Update__3_07_20233[[#This Row],[Prior]]</f>
        <v>8.6999999999999994E-3</v>
      </c>
    </row>
    <row r="85" spans="1:5" x14ac:dyDescent="0.35">
      <c r="A85" s="840">
        <v>47738</v>
      </c>
      <c r="B85" s="841">
        <v>4.0500000000000001E-2</v>
      </c>
      <c r="C85" t="s">
        <v>724</v>
      </c>
      <c r="D85" s="841">
        <v>3.1800000000000002E-2</v>
      </c>
      <c r="E85" s="927">
        <f>Updated_Daily__Last_Update__3_07_20233[[#This Row],[1-month Term SOFR]]-Updated_Daily__Last_Update__3_07_20233[[#This Row],[Prior]]</f>
        <v>8.6999999999999994E-3</v>
      </c>
    </row>
    <row r="86" spans="1:5" x14ac:dyDescent="0.35">
      <c r="A86" s="840">
        <v>47768</v>
      </c>
      <c r="B86" s="841">
        <v>4.1000000000000002E-2</v>
      </c>
      <c r="C86" t="s">
        <v>725</v>
      </c>
      <c r="D86" s="841">
        <v>3.2000000000000001E-2</v>
      </c>
      <c r="E86" s="927">
        <f>Updated_Daily__Last_Update__3_07_20233[[#This Row],[1-month Term SOFR]]-Updated_Daily__Last_Update__3_07_20233[[#This Row],[Prior]]</f>
        <v>9.0000000000000011E-3</v>
      </c>
    </row>
    <row r="87" spans="1:5" x14ac:dyDescent="0.35">
      <c r="A87" s="840">
        <v>47799</v>
      </c>
      <c r="B87" s="841">
        <v>4.1000000000000002E-2</v>
      </c>
      <c r="C87" t="s">
        <v>725</v>
      </c>
      <c r="D87" s="841">
        <v>3.2000000000000001E-2</v>
      </c>
      <c r="E87" s="927">
        <f>Updated_Daily__Last_Update__3_07_20233[[#This Row],[1-month Term SOFR]]-Updated_Daily__Last_Update__3_07_20233[[#This Row],[Prior]]</f>
        <v>9.0000000000000011E-3</v>
      </c>
    </row>
    <row r="88" spans="1:5" x14ac:dyDescent="0.35">
      <c r="A88" s="840">
        <v>47829</v>
      </c>
      <c r="B88" s="841">
        <v>4.1000000000000002E-2</v>
      </c>
      <c r="C88" t="s">
        <v>725</v>
      </c>
      <c r="D88" s="841">
        <v>3.2000000000000001E-2</v>
      </c>
      <c r="E88" s="927">
        <f>Updated_Daily__Last_Update__3_07_20233[[#This Row],[1-month Term SOFR]]-Updated_Daily__Last_Update__3_07_20233[[#This Row],[Prior]]</f>
        <v>9.0000000000000011E-3</v>
      </c>
    </row>
    <row r="89" spans="1:5" x14ac:dyDescent="0.35">
      <c r="A89" s="840">
        <v>47860</v>
      </c>
      <c r="B89" s="841">
        <v>4.1000000000000002E-2</v>
      </c>
      <c r="C89" t="s">
        <v>725</v>
      </c>
      <c r="D89" s="841">
        <v>3.2000000000000001E-2</v>
      </c>
      <c r="E89" s="927">
        <f>Updated_Daily__Last_Update__3_07_20233[[#This Row],[1-month Term SOFR]]-Updated_Daily__Last_Update__3_07_20233[[#This Row],[Prior]]</f>
        <v>9.0000000000000011E-3</v>
      </c>
    </row>
    <row r="90" spans="1:5" x14ac:dyDescent="0.35">
      <c r="A90" s="840">
        <v>47891</v>
      </c>
      <c r="B90" s="841">
        <v>4.1000000000000002E-2</v>
      </c>
      <c r="C90" t="s">
        <v>725</v>
      </c>
      <c r="D90" s="841">
        <v>3.2000000000000001E-2</v>
      </c>
      <c r="E90" s="927">
        <f>Updated_Daily__Last_Update__3_07_20233[[#This Row],[1-month Term SOFR]]-Updated_Daily__Last_Update__3_07_20233[[#This Row],[Prior]]</f>
        <v>9.0000000000000011E-3</v>
      </c>
    </row>
    <row r="91" spans="1:5" x14ac:dyDescent="0.35">
      <c r="A91" s="840">
        <v>47919</v>
      </c>
      <c r="B91" s="841">
        <v>4.1000000000000002E-2</v>
      </c>
      <c r="C91" t="s">
        <v>725</v>
      </c>
      <c r="D91" s="841">
        <v>3.2000000000000001E-2</v>
      </c>
      <c r="E91" s="927">
        <f>Updated_Daily__Last_Update__3_07_20233[[#This Row],[1-month Term SOFR]]-Updated_Daily__Last_Update__3_07_20233[[#This Row],[Prior]]</f>
        <v>9.0000000000000011E-3</v>
      </c>
    </row>
    <row r="92" spans="1:5" x14ac:dyDescent="0.35">
      <c r="A92" s="840">
        <v>47950</v>
      </c>
      <c r="B92" s="841">
        <v>4.1000000000000002E-2</v>
      </c>
      <c r="C92" t="s">
        <v>725</v>
      </c>
      <c r="D92" s="841">
        <v>3.2000000000000001E-2</v>
      </c>
      <c r="E92" s="927">
        <f>Updated_Daily__Last_Update__3_07_20233[[#This Row],[1-month Term SOFR]]-Updated_Daily__Last_Update__3_07_20233[[#This Row],[Prior]]</f>
        <v>9.0000000000000011E-3</v>
      </c>
    </row>
    <row r="93" spans="1:5" x14ac:dyDescent="0.35">
      <c r="A93" s="840">
        <v>47980</v>
      </c>
      <c r="B93" s="841">
        <v>4.1000000000000002E-2</v>
      </c>
      <c r="C93" t="s">
        <v>725</v>
      </c>
      <c r="D93" s="841">
        <v>3.2000000000000001E-2</v>
      </c>
      <c r="E93" s="927">
        <f>Updated_Daily__Last_Update__3_07_20233[[#This Row],[1-month Term SOFR]]-Updated_Daily__Last_Update__3_07_20233[[#This Row],[Prior]]</f>
        <v>9.0000000000000011E-3</v>
      </c>
    </row>
    <row r="94" spans="1:5" x14ac:dyDescent="0.35">
      <c r="A94" s="840">
        <v>48011</v>
      </c>
      <c r="B94" s="841">
        <v>4.1000000000000002E-2</v>
      </c>
      <c r="C94" t="s">
        <v>725</v>
      </c>
      <c r="D94" s="841">
        <v>3.2000000000000001E-2</v>
      </c>
      <c r="E94" s="927">
        <f>Updated_Daily__Last_Update__3_07_20233[[#This Row],[1-month Term SOFR]]-Updated_Daily__Last_Update__3_07_20233[[#This Row],[Prior]]</f>
        <v>9.0000000000000011E-3</v>
      </c>
    </row>
    <row r="95" spans="1:5" x14ac:dyDescent="0.35">
      <c r="A95" s="840">
        <v>48041</v>
      </c>
      <c r="B95" s="841">
        <v>4.1000000000000002E-2</v>
      </c>
      <c r="C95" t="s">
        <v>725</v>
      </c>
      <c r="D95" s="841">
        <v>3.2000000000000001E-2</v>
      </c>
      <c r="E95" s="927">
        <f>Updated_Daily__Last_Update__3_07_20233[[#This Row],[1-month Term SOFR]]-Updated_Daily__Last_Update__3_07_20233[[#This Row],[Prior]]</f>
        <v>9.0000000000000011E-3</v>
      </c>
    </row>
    <row r="96" spans="1:5" x14ac:dyDescent="0.35">
      <c r="A96" s="840">
        <v>48072</v>
      </c>
      <c r="B96" s="841">
        <v>4.1000000000000002E-2</v>
      </c>
      <c r="C96" t="s">
        <v>725</v>
      </c>
      <c r="D96" s="841">
        <v>3.2000000000000001E-2</v>
      </c>
      <c r="E96" s="927">
        <f>Updated_Daily__Last_Update__3_07_20233[[#This Row],[1-month Term SOFR]]-Updated_Daily__Last_Update__3_07_20233[[#This Row],[Prior]]</f>
        <v>9.0000000000000011E-3</v>
      </c>
    </row>
    <row r="97" spans="1:5" x14ac:dyDescent="0.35">
      <c r="A97" s="840">
        <v>48103</v>
      </c>
      <c r="B97" s="841">
        <v>4.1000000000000002E-2</v>
      </c>
      <c r="C97" t="s">
        <v>725</v>
      </c>
      <c r="D97" s="841">
        <v>3.2000000000000001E-2</v>
      </c>
      <c r="E97" s="927">
        <f>Updated_Daily__Last_Update__3_07_20233[[#This Row],[1-month Term SOFR]]-Updated_Daily__Last_Update__3_07_20233[[#This Row],[Prior]]</f>
        <v>9.0000000000000011E-3</v>
      </c>
    </row>
    <row r="98" spans="1:5" x14ac:dyDescent="0.35">
      <c r="A98" s="840">
        <v>48133</v>
      </c>
      <c r="B98" s="841">
        <v>4.1200000000000001E-2</v>
      </c>
      <c r="C98" t="s">
        <v>726</v>
      </c>
      <c r="D98" s="841">
        <v>3.2500000000000001E-2</v>
      </c>
      <c r="E98" s="927">
        <f>Updated_Daily__Last_Update__3_07_20233[[#This Row],[1-month Term SOFR]]-Updated_Daily__Last_Update__3_07_20233[[#This Row],[Prior]]</f>
        <v>8.6999999999999994E-3</v>
      </c>
    </row>
    <row r="99" spans="1:5" x14ac:dyDescent="0.35">
      <c r="A99" s="840">
        <v>48164</v>
      </c>
      <c r="B99" s="841">
        <v>4.1300000000000003E-2</v>
      </c>
      <c r="C99" t="s">
        <v>726</v>
      </c>
      <c r="D99" s="841">
        <v>3.2500000000000001E-2</v>
      </c>
      <c r="E99" s="927">
        <f>Updated_Daily__Last_Update__3_07_20233[[#This Row],[1-month Term SOFR]]-Updated_Daily__Last_Update__3_07_20233[[#This Row],[Prior]]</f>
        <v>8.8000000000000023E-3</v>
      </c>
    </row>
    <row r="100" spans="1:5" x14ac:dyDescent="0.35">
      <c r="A100" s="840">
        <v>48194</v>
      </c>
      <c r="B100" s="841">
        <v>4.1300000000000003E-2</v>
      </c>
      <c r="C100" t="s">
        <v>726</v>
      </c>
      <c r="D100" s="841">
        <v>3.2500000000000001E-2</v>
      </c>
      <c r="E100" s="927">
        <f>Updated_Daily__Last_Update__3_07_20233[[#This Row],[1-month Term SOFR]]-Updated_Daily__Last_Update__3_07_20233[[#This Row],[Prior]]</f>
        <v>8.8000000000000023E-3</v>
      </c>
    </row>
    <row r="101" spans="1:5" x14ac:dyDescent="0.35">
      <c r="A101" s="840">
        <v>48225</v>
      </c>
      <c r="B101" s="841">
        <v>4.1300000000000003E-2</v>
      </c>
      <c r="C101" t="s">
        <v>726</v>
      </c>
      <c r="D101" s="841">
        <v>3.2500000000000001E-2</v>
      </c>
      <c r="E101" s="927">
        <f>Updated_Daily__Last_Update__3_07_20233[[#This Row],[1-month Term SOFR]]-Updated_Daily__Last_Update__3_07_20233[[#This Row],[Prior]]</f>
        <v>8.8000000000000023E-3</v>
      </c>
    </row>
    <row r="102" spans="1:5" x14ac:dyDescent="0.35">
      <c r="A102" s="840">
        <v>48256</v>
      </c>
      <c r="B102" s="841">
        <v>4.1300000000000003E-2</v>
      </c>
      <c r="C102" t="s">
        <v>726</v>
      </c>
      <c r="D102" s="841">
        <v>3.2500000000000001E-2</v>
      </c>
      <c r="E102" s="927">
        <f>Updated_Daily__Last_Update__3_07_20233[[#This Row],[1-month Term SOFR]]-Updated_Daily__Last_Update__3_07_20233[[#This Row],[Prior]]</f>
        <v>8.8000000000000023E-3</v>
      </c>
    </row>
    <row r="103" spans="1:5" x14ac:dyDescent="0.35">
      <c r="A103" s="840">
        <v>48285</v>
      </c>
      <c r="B103" s="841">
        <v>4.1300000000000003E-2</v>
      </c>
      <c r="C103" t="s">
        <v>726</v>
      </c>
      <c r="D103" s="841">
        <v>3.2500000000000001E-2</v>
      </c>
      <c r="E103" s="927">
        <f>Updated_Daily__Last_Update__3_07_20233[[#This Row],[1-month Term SOFR]]-Updated_Daily__Last_Update__3_07_20233[[#This Row],[Prior]]</f>
        <v>8.8000000000000023E-3</v>
      </c>
    </row>
    <row r="104" spans="1:5" x14ac:dyDescent="0.35">
      <c r="A104" s="840">
        <v>48316</v>
      </c>
      <c r="B104" s="841">
        <v>4.1300000000000003E-2</v>
      </c>
      <c r="C104" t="s">
        <v>726</v>
      </c>
      <c r="D104" s="841">
        <v>3.2500000000000001E-2</v>
      </c>
      <c r="E104" s="927">
        <f>Updated_Daily__Last_Update__3_07_20233[[#This Row],[1-month Term SOFR]]-Updated_Daily__Last_Update__3_07_20233[[#This Row],[Prior]]</f>
        <v>8.8000000000000023E-3</v>
      </c>
    </row>
    <row r="105" spans="1:5" x14ac:dyDescent="0.35">
      <c r="A105" s="840">
        <v>48346</v>
      </c>
      <c r="B105" s="841">
        <v>4.1300000000000003E-2</v>
      </c>
      <c r="C105" t="s">
        <v>726</v>
      </c>
      <c r="D105" s="841">
        <v>3.2500000000000001E-2</v>
      </c>
      <c r="E105" s="927">
        <f>Updated_Daily__Last_Update__3_07_20233[[#This Row],[1-month Term SOFR]]-Updated_Daily__Last_Update__3_07_20233[[#This Row],[Prior]]</f>
        <v>8.8000000000000023E-3</v>
      </c>
    </row>
    <row r="106" spans="1:5" x14ac:dyDescent="0.35">
      <c r="A106" s="840">
        <v>48377</v>
      </c>
      <c r="B106" s="841">
        <v>4.1300000000000003E-2</v>
      </c>
      <c r="C106" t="s">
        <v>726</v>
      </c>
      <c r="D106" s="841">
        <v>3.2500000000000001E-2</v>
      </c>
      <c r="E106" s="927">
        <f>Updated_Daily__Last_Update__3_07_20233[[#This Row],[1-month Term SOFR]]-Updated_Daily__Last_Update__3_07_20233[[#This Row],[Prior]]</f>
        <v>8.8000000000000023E-3</v>
      </c>
    </row>
    <row r="107" spans="1:5" x14ac:dyDescent="0.35">
      <c r="A107" s="840">
        <v>48407</v>
      </c>
      <c r="B107" s="841">
        <v>4.1300000000000003E-2</v>
      </c>
      <c r="C107" t="s">
        <v>726</v>
      </c>
      <c r="D107" s="841">
        <v>3.2500000000000001E-2</v>
      </c>
      <c r="E107" s="927">
        <f>Updated_Daily__Last_Update__3_07_20233[[#This Row],[1-month Term SOFR]]-Updated_Daily__Last_Update__3_07_20233[[#This Row],[Prior]]</f>
        <v>8.8000000000000023E-3</v>
      </c>
    </row>
    <row r="108" spans="1:5" x14ac:dyDescent="0.35">
      <c r="A108" s="840">
        <v>48438</v>
      </c>
      <c r="B108" s="841">
        <v>4.1300000000000003E-2</v>
      </c>
      <c r="C108" t="s">
        <v>726</v>
      </c>
      <c r="D108" s="841">
        <v>3.2500000000000001E-2</v>
      </c>
      <c r="E108" s="927">
        <f>Updated_Daily__Last_Update__3_07_20233[[#This Row],[1-month Term SOFR]]-Updated_Daily__Last_Update__3_07_20233[[#This Row],[Prior]]</f>
        <v>8.8000000000000023E-3</v>
      </c>
    </row>
    <row r="109" spans="1:5" x14ac:dyDescent="0.35">
      <c r="A109" s="840">
        <v>48469</v>
      </c>
      <c r="B109" s="841">
        <v>4.1300000000000003E-2</v>
      </c>
      <c r="C109" t="s">
        <v>726</v>
      </c>
      <c r="D109" s="841">
        <v>3.2500000000000001E-2</v>
      </c>
      <c r="E109" s="927">
        <f>Updated_Daily__Last_Update__3_07_20233[[#This Row],[1-month Term SOFR]]-Updated_Daily__Last_Update__3_07_20233[[#This Row],[Prior]]</f>
        <v>8.8000000000000023E-3</v>
      </c>
    </row>
    <row r="110" spans="1:5" x14ac:dyDescent="0.35">
      <c r="A110" s="840">
        <v>48499</v>
      </c>
      <c r="B110" s="841">
        <v>4.1700000000000001E-2</v>
      </c>
      <c r="C110" t="s">
        <v>727</v>
      </c>
      <c r="D110" s="841">
        <v>3.2800000000000003E-2</v>
      </c>
      <c r="E110" s="927">
        <f>Updated_Daily__Last_Update__3_07_20233[[#This Row],[1-month Term SOFR]]-Updated_Daily__Last_Update__3_07_20233[[#This Row],[Prior]]</f>
        <v>8.8999999999999982E-3</v>
      </c>
    </row>
    <row r="111" spans="1:5" x14ac:dyDescent="0.35">
      <c r="A111" s="840">
        <v>48530</v>
      </c>
      <c r="B111" s="841">
        <v>4.1799999999999997E-2</v>
      </c>
      <c r="C111" t="s">
        <v>727</v>
      </c>
      <c r="D111" s="841">
        <v>3.2800000000000003E-2</v>
      </c>
      <c r="E111" s="927">
        <f>Updated_Daily__Last_Update__3_07_20233[[#This Row],[1-month Term SOFR]]-Updated_Daily__Last_Update__3_07_20233[[#This Row],[Prior]]</f>
        <v>8.9999999999999941E-3</v>
      </c>
    </row>
    <row r="112" spans="1:5" x14ac:dyDescent="0.35">
      <c r="A112" s="840">
        <v>48560</v>
      </c>
      <c r="B112" s="841">
        <v>4.19E-2</v>
      </c>
      <c r="C112" t="s">
        <v>727</v>
      </c>
      <c r="D112" s="841">
        <v>3.2800000000000003E-2</v>
      </c>
      <c r="E112" s="927">
        <f>Updated_Daily__Last_Update__3_07_20233[[#This Row],[1-month Term SOFR]]-Updated_Daily__Last_Update__3_07_20233[[#This Row],[Prior]]</f>
        <v>9.099999999999997E-3</v>
      </c>
    </row>
    <row r="113" spans="1:5" x14ac:dyDescent="0.35">
      <c r="A113" s="840">
        <v>48591</v>
      </c>
      <c r="B113" s="841">
        <v>4.19E-2</v>
      </c>
      <c r="C113" t="s">
        <v>727</v>
      </c>
      <c r="D113" s="841">
        <v>3.2800000000000003E-2</v>
      </c>
      <c r="E113" s="927">
        <f>Updated_Daily__Last_Update__3_07_20233[[#This Row],[1-month Term SOFR]]-Updated_Daily__Last_Update__3_07_20233[[#This Row],[Prior]]</f>
        <v>9.099999999999997E-3</v>
      </c>
    </row>
    <row r="114" spans="1:5" x14ac:dyDescent="0.35">
      <c r="A114" s="840">
        <v>48622</v>
      </c>
      <c r="B114" s="841">
        <v>4.1799999999999997E-2</v>
      </c>
      <c r="C114" t="s">
        <v>727</v>
      </c>
      <c r="D114" s="841">
        <v>3.2800000000000003E-2</v>
      </c>
      <c r="E114" s="927">
        <f>Updated_Daily__Last_Update__3_07_20233[[#This Row],[1-month Term SOFR]]-Updated_Daily__Last_Update__3_07_20233[[#This Row],[Prior]]</f>
        <v>8.9999999999999941E-3</v>
      </c>
    </row>
    <row r="115" spans="1:5" x14ac:dyDescent="0.35">
      <c r="A115" s="840">
        <v>48650</v>
      </c>
      <c r="B115" s="841">
        <v>4.19E-2</v>
      </c>
      <c r="C115" t="s">
        <v>727</v>
      </c>
      <c r="D115" s="841">
        <v>3.2800000000000003E-2</v>
      </c>
      <c r="E115" s="927">
        <f>Updated_Daily__Last_Update__3_07_20233[[#This Row],[1-month Term SOFR]]-Updated_Daily__Last_Update__3_07_20233[[#This Row],[Prior]]</f>
        <v>9.099999999999997E-3</v>
      </c>
    </row>
    <row r="116" spans="1:5" x14ac:dyDescent="0.35">
      <c r="A116" s="840">
        <v>48681</v>
      </c>
      <c r="B116" s="841">
        <v>4.19E-2</v>
      </c>
      <c r="C116" t="s">
        <v>727</v>
      </c>
      <c r="D116" s="841">
        <v>3.2800000000000003E-2</v>
      </c>
      <c r="E116" s="927">
        <f>Updated_Daily__Last_Update__3_07_20233[[#This Row],[1-month Term SOFR]]-Updated_Daily__Last_Update__3_07_20233[[#This Row],[Prior]]</f>
        <v>9.099999999999997E-3</v>
      </c>
    </row>
    <row r="117" spans="1:5" x14ac:dyDescent="0.35">
      <c r="A117" s="840">
        <v>48711</v>
      </c>
      <c r="B117" s="841">
        <v>4.19E-2</v>
      </c>
      <c r="C117" t="s">
        <v>727</v>
      </c>
      <c r="D117" s="841">
        <v>3.2800000000000003E-2</v>
      </c>
      <c r="E117" s="927">
        <f>Updated_Daily__Last_Update__3_07_20233[[#This Row],[1-month Term SOFR]]-Updated_Daily__Last_Update__3_07_20233[[#This Row],[Prior]]</f>
        <v>9.099999999999997E-3</v>
      </c>
    </row>
    <row r="118" spans="1:5" x14ac:dyDescent="0.35">
      <c r="A118" s="840">
        <v>48742</v>
      </c>
      <c r="B118" s="841">
        <v>4.1799999999999997E-2</v>
      </c>
      <c r="C118" t="s">
        <v>727</v>
      </c>
      <c r="D118" s="841">
        <v>3.2800000000000003E-2</v>
      </c>
      <c r="E118" s="927">
        <f>Updated_Daily__Last_Update__3_07_20233[[#This Row],[1-month Term SOFR]]-Updated_Daily__Last_Update__3_07_20233[[#This Row],[Prior]]</f>
        <v>8.9999999999999941E-3</v>
      </c>
    </row>
    <row r="119" spans="1:5" x14ac:dyDescent="0.35">
      <c r="A119" s="840">
        <v>48772</v>
      </c>
      <c r="B119" s="841">
        <v>4.19E-2</v>
      </c>
      <c r="C119" t="s">
        <v>727</v>
      </c>
      <c r="D119" s="841">
        <v>3.2800000000000003E-2</v>
      </c>
      <c r="E119" s="927">
        <f>Updated_Daily__Last_Update__3_07_20233[[#This Row],[1-month Term SOFR]]-Updated_Daily__Last_Update__3_07_20233[[#This Row],[Prior]]</f>
        <v>9.099999999999997E-3</v>
      </c>
    </row>
    <row r="120" spans="1:5" x14ac:dyDescent="0.35">
      <c r="A120" s="840">
        <v>48803</v>
      </c>
      <c r="B120" s="841">
        <v>4.19E-2</v>
      </c>
      <c r="C120" t="s">
        <v>727</v>
      </c>
      <c r="D120" s="841">
        <v>3.2800000000000003E-2</v>
      </c>
      <c r="E120" s="927">
        <f>Updated_Daily__Last_Update__3_07_20233[[#This Row],[1-month Term SOFR]]-Updated_Daily__Last_Update__3_07_20233[[#This Row],[Prior]]</f>
        <v>9.099999999999997E-3</v>
      </c>
    </row>
    <row r="121" spans="1:5" x14ac:dyDescent="0.35">
      <c r="A121" s="840">
        <v>48834</v>
      </c>
      <c r="B121" s="841">
        <v>4.1799999999999997E-2</v>
      </c>
      <c r="C121" t="s">
        <v>727</v>
      </c>
      <c r="D121" s="841">
        <v>3.2800000000000003E-2</v>
      </c>
      <c r="E121" s="927">
        <f>Updated_Daily__Last_Update__3_07_20233[[#This Row],[1-month Term SOFR]]-Updated_Daily__Last_Update__3_07_20233[[#This Row],[Prior]]</f>
        <v>8.9999999999999941E-3</v>
      </c>
    </row>
    <row r="122" spans="1:5" x14ac:dyDescent="0.35">
      <c r="A122" s="840"/>
      <c r="B122" s="927"/>
      <c r="D122" s="927"/>
      <c r="E122" s="927"/>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E55761-F62C-474F-A45F-503318C9F6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11</vt:i4>
      </vt:variant>
    </vt:vector>
  </HeadingPairs>
  <TitlesOfParts>
    <vt:vector size="19" baseType="lpstr">
      <vt:lpstr>Budget</vt:lpstr>
      <vt:lpstr>Property CF</vt:lpstr>
      <vt:lpstr>JV Waterfall</vt:lpstr>
      <vt:lpstr>Refinance Analysis</vt:lpstr>
      <vt:lpstr>Strategy Summary</vt:lpstr>
      <vt:lpstr>Offering Memorandum</vt:lpstr>
      <vt:lpstr>Closing Costs </vt:lpstr>
      <vt:lpstr>Forward Curve</vt:lpstr>
      <vt:lpstr>CU?</vt:lpstr>
      <vt:lpstr>'JV Waterfall'!Equity_Share_GP</vt:lpstr>
      <vt:lpstr>'JV Waterfall'!Equity_Share_LP</vt:lpstr>
      <vt:lpstr>'JV Waterfall'!Preferred_Return</vt:lpstr>
      <vt:lpstr>Budget!Print_Area</vt:lpstr>
      <vt:lpstr>'Property CF'!Print_Area</vt:lpstr>
      <vt:lpstr>'Refinance Analysis'!Print_Area</vt:lpstr>
      <vt:lpstr>'Strategy Summary'!Print_Area</vt:lpstr>
      <vt:lpstr>'Strategy Summary'!Print_Titles</vt:lpstr>
      <vt:lpstr>SF</vt:lpstr>
      <vt:lpstr>'JV Waterfall'!Total_Equity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Chase Smith</dc:creator>
  <cp:lastModifiedBy>Chase Smith</cp:lastModifiedBy>
  <cp:lastPrinted>2023-05-10T14:30:14Z</cp:lastPrinted>
  <dcterms:created xsi:type="dcterms:W3CDTF">2021-07-12T19:32:37Z</dcterms:created>
  <dcterms:modified xsi:type="dcterms:W3CDTF">2026-03-16T19:20:24Z</dcterms:modified>
</cp:coreProperties>
</file>